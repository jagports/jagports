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1001" documentId="14_{96912548-1A72-406D-8F9E-817F5CAF1171}" xr6:coauthVersionLast="47" xr6:coauthVersionMax="47" xr10:uidLastSave="{2B84E14F-CBEA-4CCF-9B71-D7AC76728909}"/>
  <bookViews>
    <workbookView xWindow="-120" yWindow="-120" windowWidth="29040" windowHeight="15840" tabRatio="783" xr2:uid="{00000000-000D-0000-FFFF-FFFF00000000}"/>
  </bookViews>
  <sheets>
    <sheet name="PartsMaster" sheetId="1" r:id="rId1"/>
    <sheet name="eBay-TurboLister-2016071" sheetId="2" r:id="rId2"/>
    <sheet name="parts-eBay-UK-FileExchange" sheetId="3" r:id="rId3"/>
  </sheets>
  <definedNames>
    <definedName name="_xlnm._FilterDatabase" localSheetId="1" hidden="1">'eBay-TurboLister-2016071'!$A$1:$DU$414</definedName>
    <definedName name="_xlnm._FilterDatabase" localSheetId="0" hidden="1">PartsMaster!$B$1:$AE$442</definedName>
    <definedName name="PartsMaster">Parts[#All]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42" i="1" l="1"/>
  <c r="AC442" i="1"/>
  <c r="AC440" i="1"/>
  <c r="AC439" i="1"/>
  <c r="AC438" i="1"/>
  <c r="AC437" i="1"/>
  <c r="AE436" i="1" l="1"/>
  <c r="U436" i="1"/>
  <c r="R43" i="1"/>
  <c r="AC43" i="1"/>
  <c r="AE43" i="1"/>
  <c r="AE435" i="1" l="1"/>
  <c r="AE434" i="1"/>
  <c r="AC435" i="1"/>
  <c r="AC434" i="1"/>
  <c r="AE433" i="1" l="1"/>
  <c r="AC433" i="1"/>
  <c r="AC432" i="1"/>
  <c r="AC2" i="1" l="1"/>
  <c r="AE2" i="1"/>
  <c r="AC41" i="1"/>
  <c r="AE41" i="1"/>
  <c r="R205" i="1"/>
  <c r="AC205" i="1"/>
  <c r="AE205" i="1"/>
  <c r="C5" i="1"/>
  <c r="R5" i="1"/>
  <c r="AC5" i="1"/>
  <c r="AE5" i="1"/>
  <c r="R248" i="1"/>
  <c r="AC248" i="1"/>
  <c r="AE248" i="1"/>
  <c r="AE233" i="1"/>
  <c r="AC263" i="1"/>
  <c r="AE263" i="1"/>
  <c r="AC264" i="1"/>
  <c r="AE264" i="1"/>
  <c r="R266" i="1"/>
  <c r="AC266" i="1"/>
  <c r="AE266" i="1"/>
  <c r="U262" i="1"/>
  <c r="AC262" i="1"/>
  <c r="AE262" i="1"/>
  <c r="C12" i="1"/>
  <c r="R12" i="1"/>
  <c r="AC12" i="1"/>
  <c r="AE12" i="1"/>
  <c r="AC267" i="1"/>
  <c r="AE267" i="1"/>
  <c r="AC268" i="1"/>
  <c r="AE268" i="1"/>
  <c r="AC265" i="1"/>
  <c r="AE265" i="1"/>
  <c r="AC16" i="1"/>
  <c r="AE16" i="1"/>
  <c r="AC308" i="1"/>
  <c r="AE308" i="1"/>
  <c r="AC18" i="1"/>
  <c r="AE18" i="1"/>
  <c r="AC108" i="1"/>
  <c r="AE108" i="1"/>
  <c r="AC209" i="1"/>
  <c r="AE209" i="1"/>
  <c r="AC317" i="1"/>
  <c r="AE317" i="1"/>
  <c r="AC318" i="1"/>
  <c r="AE318" i="1"/>
  <c r="AC319" i="1"/>
  <c r="AE319" i="1"/>
  <c r="AC320" i="1"/>
  <c r="AE320" i="1"/>
  <c r="AC324" i="1"/>
  <c r="AE324" i="1"/>
  <c r="R27" i="1"/>
  <c r="AC27" i="1"/>
  <c r="AE27" i="1"/>
  <c r="AC325" i="1"/>
  <c r="AE325" i="1"/>
  <c r="AC326" i="1"/>
  <c r="AE326" i="1"/>
  <c r="AC327" i="1"/>
  <c r="AE327" i="1"/>
  <c r="R31" i="1"/>
  <c r="AC31" i="1"/>
  <c r="AE31" i="1"/>
  <c r="AC332" i="1"/>
  <c r="AE332" i="1"/>
  <c r="AC333" i="1"/>
  <c r="AE333" i="1"/>
  <c r="AC334" i="1"/>
  <c r="AE334" i="1"/>
  <c r="AC335" i="1"/>
  <c r="AE335" i="1"/>
  <c r="Q101" i="1"/>
  <c r="Q103" i="1"/>
  <c r="R112" i="1"/>
  <c r="AC112" i="1"/>
  <c r="AE112" i="1"/>
  <c r="R113" i="1"/>
  <c r="AC113" i="1"/>
  <c r="AE113" i="1"/>
  <c r="R114" i="1"/>
  <c r="AC114" i="1"/>
  <c r="AE114" i="1"/>
  <c r="AC127" i="1"/>
  <c r="AE127" i="1"/>
  <c r="AC128" i="1"/>
  <c r="AE128" i="1"/>
  <c r="AC134" i="1"/>
  <c r="AE134" i="1"/>
  <c r="AC135" i="1"/>
  <c r="AE135" i="1"/>
  <c r="AC136" i="1"/>
  <c r="AE136" i="1"/>
  <c r="AC137" i="1"/>
  <c r="AE137" i="1"/>
  <c r="AC146" i="1"/>
  <c r="AE146" i="1"/>
  <c r="AC147" i="1"/>
  <c r="AE147" i="1"/>
  <c r="AC148" i="1"/>
  <c r="AE148" i="1"/>
  <c r="AC133" i="1"/>
  <c r="AE133" i="1"/>
  <c r="AC143" i="1"/>
  <c r="AE143" i="1"/>
  <c r="AC144" i="1"/>
  <c r="AE144" i="1"/>
  <c r="AC55" i="1"/>
  <c r="AE55" i="1"/>
  <c r="AC56" i="1"/>
  <c r="AE56" i="1"/>
  <c r="AC57" i="1"/>
  <c r="AE57" i="1"/>
  <c r="AC58" i="1"/>
  <c r="AE58" i="1"/>
  <c r="AC138" i="1"/>
  <c r="AE138" i="1"/>
  <c r="AC139" i="1"/>
  <c r="AE139" i="1"/>
  <c r="AC61" i="1"/>
  <c r="AE61" i="1"/>
  <c r="AC141" i="1"/>
  <c r="AE141" i="1"/>
  <c r="AC142" i="1"/>
  <c r="AE142" i="1"/>
  <c r="U145" i="1"/>
  <c r="AC145" i="1"/>
  <c r="AE145" i="1"/>
  <c r="U77" i="1"/>
  <c r="AC77" i="1"/>
  <c r="AE77" i="1"/>
  <c r="R66" i="1"/>
  <c r="AC66" i="1"/>
  <c r="AE66" i="1"/>
  <c r="AC67" i="1"/>
  <c r="AE67" i="1"/>
  <c r="AC68" i="1"/>
  <c r="AE68" i="1"/>
  <c r="AC69" i="1"/>
  <c r="AE69" i="1"/>
  <c r="AC70" i="1"/>
  <c r="AE70" i="1"/>
  <c r="AC76" i="1"/>
  <c r="AE76" i="1"/>
  <c r="AC71" i="1"/>
  <c r="AE71" i="1"/>
  <c r="AC73" i="1"/>
  <c r="AE73" i="1"/>
  <c r="U74" i="1"/>
  <c r="AC74" i="1"/>
  <c r="AE74" i="1"/>
  <c r="AC72" i="1"/>
  <c r="AE72" i="1"/>
  <c r="R171" i="1"/>
  <c r="U171" i="1"/>
  <c r="AC171" i="1"/>
  <c r="AE171" i="1"/>
  <c r="AC118" i="1"/>
  <c r="AE118" i="1"/>
  <c r="AC117" i="1"/>
  <c r="AE117" i="1"/>
  <c r="AC75" i="1"/>
  <c r="AE75" i="1"/>
  <c r="AC78" i="1"/>
  <c r="AE78" i="1"/>
  <c r="AC121" i="1"/>
  <c r="AE121" i="1"/>
  <c r="AC120" i="1"/>
  <c r="AE120" i="1"/>
  <c r="AC119" i="1"/>
  <c r="AE119" i="1"/>
  <c r="AC104" i="1"/>
  <c r="AE104" i="1"/>
  <c r="AC105" i="1"/>
  <c r="AE105" i="1"/>
  <c r="AC59" i="1"/>
  <c r="AE59" i="1"/>
  <c r="AC60" i="1"/>
  <c r="AE60" i="1"/>
  <c r="AC62" i="1"/>
  <c r="AE62" i="1"/>
  <c r="AC63" i="1"/>
  <c r="AE63" i="1"/>
  <c r="AC177" i="1"/>
  <c r="AE177" i="1"/>
  <c r="AC234" i="1"/>
  <c r="AE234" i="1"/>
  <c r="AC284" i="1"/>
  <c r="AE284" i="1"/>
  <c r="AC93" i="1"/>
  <c r="AE93" i="1"/>
  <c r="R186" i="1"/>
  <c r="AC186" i="1"/>
  <c r="AE186" i="1"/>
  <c r="Q269" i="1"/>
  <c r="R269" i="1"/>
  <c r="AC269" i="1"/>
  <c r="AE269" i="1"/>
  <c r="R168" i="1"/>
  <c r="AC168" i="1"/>
  <c r="AE168" i="1"/>
  <c r="AC213" i="1"/>
  <c r="AE213" i="1"/>
  <c r="AC203" i="1"/>
  <c r="AE203" i="1"/>
  <c r="AC115" i="1"/>
  <c r="AE115" i="1"/>
  <c r="AC116" i="1"/>
  <c r="AE116" i="1"/>
  <c r="AC316" i="1"/>
  <c r="AE316" i="1"/>
  <c r="R224" i="1"/>
  <c r="AC224" i="1"/>
  <c r="AE224" i="1"/>
  <c r="R225" i="1"/>
  <c r="AC225" i="1"/>
  <c r="AE225" i="1"/>
  <c r="AC214" i="1"/>
  <c r="AE214" i="1"/>
  <c r="Q216" i="1"/>
  <c r="U216" i="1"/>
  <c r="AC216" i="1"/>
  <c r="AE216" i="1"/>
  <c r="AC292" i="1"/>
  <c r="AE292" i="1"/>
  <c r="AC293" i="1"/>
  <c r="AE293" i="1"/>
  <c r="U46" i="1"/>
  <c r="AC46" i="1"/>
  <c r="AE46" i="1"/>
  <c r="U296" i="1"/>
  <c r="AC296" i="1"/>
  <c r="AE296" i="1"/>
  <c r="AC338" i="1"/>
  <c r="AE338" i="1"/>
  <c r="AC298" i="1"/>
  <c r="AE298" i="1"/>
  <c r="AC322" i="1"/>
  <c r="AE322" i="1"/>
  <c r="AC323" i="1"/>
  <c r="AE323" i="1"/>
  <c r="U299" i="1"/>
  <c r="AC299" i="1"/>
  <c r="AE299" i="1"/>
  <c r="R321" i="1"/>
  <c r="U321" i="1"/>
  <c r="AC321" i="1"/>
  <c r="AE321" i="1"/>
  <c r="AC107" i="1"/>
  <c r="AE107" i="1"/>
  <c r="AC155" i="1"/>
  <c r="AE155" i="1"/>
  <c r="R156" i="1"/>
  <c r="AC156" i="1"/>
  <c r="AE156" i="1"/>
  <c r="R122" i="1"/>
  <c r="AC122" i="1"/>
  <c r="AE122" i="1"/>
  <c r="R123" i="1"/>
  <c r="AC123" i="1"/>
  <c r="AE123" i="1"/>
  <c r="AC124" i="1"/>
  <c r="AE124" i="1"/>
  <c r="R126" i="1"/>
  <c r="AC126" i="1"/>
  <c r="AE126" i="1"/>
  <c r="AC191" i="1"/>
  <c r="AE191" i="1"/>
  <c r="R218" i="1"/>
  <c r="AC218" i="1"/>
  <c r="AE218" i="1"/>
  <c r="R217" i="1"/>
  <c r="AC217" i="1"/>
  <c r="AE217" i="1"/>
  <c r="V210" i="1"/>
  <c r="AC210" i="1"/>
  <c r="AE210" i="1"/>
  <c r="U227" i="1"/>
  <c r="V227" i="1" s="1"/>
  <c r="AE227" i="1"/>
  <c r="R79" i="1"/>
  <c r="U79" i="1"/>
  <c r="AC79" i="1"/>
  <c r="AE79" i="1"/>
  <c r="AC94" i="1"/>
  <c r="AE94" i="1"/>
  <c r="AC95" i="1"/>
  <c r="AE95" i="1"/>
  <c r="R85" i="1"/>
  <c r="AC85" i="1"/>
  <c r="AE85" i="1"/>
  <c r="AC86" i="1"/>
  <c r="AE86" i="1"/>
  <c r="R153" i="1"/>
  <c r="AC153" i="1"/>
  <c r="AE153" i="1"/>
  <c r="AC154" i="1"/>
  <c r="AE154" i="1"/>
  <c r="R232" i="1"/>
  <c r="AC232" i="1"/>
  <c r="AE232" i="1"/>
  <c r="R231" i="1"/>
  <c r="AC231" i="1"/>
  <c r="AE231" i="1"/>
  <c r="AC140" i="1"/>
  <c r="AE140" i="1"/>
  <c r="AC183" i="1"/>
  <c r="AE183" i="1"/>
  <c r="AC184" i="1"/>
  <c r="AE184" i="1"/>
  <c r="AC220" i="1"/>
  <c r="AE220" i="1"/>
  <c r="R100" i="1"/>
  <c r="AC100" i="1"/>
  <c r="AE100" i="1"/>
  <c r="AC256" i="1"/>
  <c r="AE256" i="1"/>
  <c r="AC219" i="1"/>
  <c r="AE219" i="1"/>
  <c r="U20" i="1"/>
  <c r="AE20" i="1"/>
  <c r="AC125" i="1"/>
  <c r="AE125" i="1"/>
  <c r="AC152" i="1"/>
  <c r="AE152" i="1"/>
  <c r="AC151" i="1"/>
  <c r="AE151" i="1"/>
  <c r="AC170" i="1"/>
  <c r="AE170" i="1"/>
  <c r="R109" i="1"/>
  <c r="AC109" i="1"/>
  <c r="AE109" i="1"/>
  <c r="R110" i="1"/>
  <c r="AC110" i="1"/>
  <c r="AE110" i="1"/>
  <c r="R176" i="1"/>
  <c r="AC176" i="1"/>
  <c r="AE176" i="1"/>
  <c r="AC129" i="1"/>
  <c r="AE129" i="1"/>
  <c r="AC130" i="1"/>
  <c r="AE130" i="1"/>
  <c r="R157" i="1"/>
  <c r="AC157" i="1"/>
  <c r="AE157" i="1"/>
  <c r="AC131" i="1"/>
  <c r="AE131" i="1"/>
  <c r="AC132" i="1"/>
  <c r="AE132" i="1"/>
  <c r="R159" i="1"/>
  <c r="AC159" i="1"/>
  <c r="AE159" i="1"/>
  <c r="AC160" i="1"/>
  <c r="AE160" i="1"/>
  <c r="AC161" i="1"/>
  <c r="AE161" i="1"/>
  <c r="AC162" i="1"/>
  <c r="AE162" i="1"/>
  <c r="AC82" i="1"/>
  <c r="AE82" i="1"/>
  <c r="AC83" i="1"/>
  <c r="AE83" i="1"/>
  <c r="AC97" i="1"/>
  <c r="AE97" i="1"/>
  <c r="AC167" i="1"/>
  <c r="AE167" i="1"/>
  <c r="AC99" i="1"/>
  <c r="AE99" i="1"/>
  <c r="AC96" i="1"/>
  <c r="AE96" i="1"/>
  <c r="AC98" i="1"/>
  <c r="AE98" i="1"/>
  <c r="AC253" i="1"/>
  <c r="AE253" i="1"/>
  <c r="AC254" i="1"/>
  <c r="AE254" i="1"/>
  <c r="AC255" i="1"/>
  <c r="AE255" i="1"/>
  <c r="R252" i="1"/>
  <c r="AC252" i="1"/>
  <c r="AE252" i="1"/>
  <c r="C175" i="1"/>
  <c r="AC175" i="1"/>
  <c r="AE175" i="1"/>
  <c r="R30" i="1"/>
  <c r="U30" i="1"/>
  <c r="AC30" i="1"/>
  <c r="AE30" i="1"/>
  <c r="R38" i="1"/>
  <c r="AC38" i="1"/>
  <c r="AE38" i="1"/>
  <c r="R178" i="1"/>
  <c r="AC178" i="1"/>
  <c r="AE178" i="1"/>
  <c r="R174" i="1"/>
  <c r="AC174" i="1"/>
  <c r="AE174" i="1"/>
  <c r="R32" i="1"/>
  <c r="AC32" i="1"/>
  <c r="AE32" i="1"/>
  <c r="R198" i="1"/>
  <c r="AC198" i="1"/>
  <c r="AE198" i="1"/>
  <c r="R34" i="1"/>
  <c r="AC34" i="1"/>
  <c r="AE34" i="1"/>
  <c r="R40" i="1"/>
  <c r="AC40" i="1"/>
  <c r="AE40" i="1"/>
  <c r="U261" i="1"/>
  <c r="V261" i="1" s="1"/>
  <c r="AC261" i="1"/>
  <c r="AE261" i="1"/>
  <c r="U42" i="1"/>
  <c r="AE42" i="1"/>
  <c r="AC187" i="1"/>
  <c r="AE187" i="1"/>
  <c r="AC188" i="1"/>
  <c r="AE188" i="1"/>
  <c r="R189" i="1"/>
  <c r="AC189" i="1"/>
  <c r="AE189" i="1"/>
  <c r="R190" i="1"/>
  <c r="AC190" i="1"/>
  <c r="AE190" i="1"/>
  <c r="Q165" i="1"/>
  <c r="R165" i="1"/>
  <c r="AC165" i="1"/>
  <c r="AE165" i="1"/>
  <c r="R192" i="1"/>
  <c r="AC192" i="1"/>
  <c r="AE192" i="1"/>
  <c r="R251" i="1"/>
  <c r="AC251" i="1"/>
  <c r="AE251" i="1"/>
  <c r="C194" i="1"/>
  <c r="AC194" i="1"/>
  <c r="AE194" i="1"/>
  <c r="Q197" i="1"/>
  <c r="R197" i="1"/>
  <c r="AC197" i="1"/>
  <c r="AE197" i="1"/>
  <c r="Q278" i="1"/>
  <c r="R278" i="1"/>
  <c r="AC278" i="1"/>
  <c r="AE278" i="1"/>
  <c r="Q277" i="1"/>
  <c r="R277" i="1"/>
  <c r="AC277" i="1"/>
  <c r="AE277" i="1"/>
  <c r="R280" i="1"/>
  <c r="AC280" i="1"/>
  <c r="AE280" i="1"/>
  <c r="R257" i="1"/>
  <c r="AC257" i="1"/>
  <c r="AE257" i="1"/>
  <c r="AC149" i="1"/>
  <c r="AE149" i="1"/>
  <c r="AC150" i="1"/>
  <c r="AE150" i="1"/>
  <c r="R36" i="1"/>
  <c r="AC36" i="1"/>
  <c r="AE36" i="1"/>
  <c r="R37" i="1"/>
  <c r="AC37" i="1"/>
  <c r="AE37" i="1"/>
  <c r="R39" i="1"/>
  <c r="AC39" i="1"/>
  <c r="AE39" i="1"/>
  <c r="R271" i="1"/>
  <c r="AC271" i="1"/>
  <c r="AE271" i="1"/>
  <c r="R272" i="1"/>
  <c r="AC272" i="1"/>
  <c r="AE272" i="1"/>
  <c r="R270" i="1"/>
  <c r="AC270" i="1"/>
  <c r="AE270" i="1"/>
  <c r="AC206" i="1"/>
  <c r="AE206" i="1"/>
  <c r="AC26" i="1"/>
  <c r="AE26" i="1"/>
  <c r="R35" i="1"/>
  <c r="AC35" i="1"/>
  <c r="AE35" i="1"/>
  <c r="R4" i="1"/>
  <c r="U4" i="1"/>
  <c r="V4" i="1" s="1"/>
  <c r="AC4" i="1"/>
  <c r="AE4" i="1"/>
  <c r="AC80" i="1"/>
  <c r="AE80" i="1"/>
  <c r="AC275" i="1"/>
  <c r="AE275" i="1"/>
  <c r="AC276" i="1"/>
  <c r="AE276" i="1"/>
  <c r="AC87" i="1"/>
  <c r="AE87" i="1"/>
  <c r="AC285" i="1"/>
  <c r="AE285" i="1"/>
  <c r="R3" i="1"/>
  <c r="AC3" i="1"/>
  <c r="AE3" i="1"/>
  <c r="R6" i="1"/>
  <c r="AC6" i="1"/>
  <c r="AE6" i="1"/>
  <c r="C7" i="1"/>
  <c r="R7" i="1"/>
  <c r="AC7" i="1"/>
  <c r="AE7" i="1"/>
  <c r="AC8" i="1"/>
  <c r="AE8" i="1"/>
  <c r="AC221" i="1"/>
  <c r="AE221" i="1"/>
  <c r="AC222" i="1"/>
  <c r="AE222" i="1"/>
  <c r="C9" i="1"/>
  <c r="R9" i="1"/>
  <c r="AC9" i="1"/>
  <c r="AE9" i="1"/>
  <c r="AC10" i="1"/>
  <c r="AE10" i="1"/>
  <c r="R11" i="1"/>
  <c r="AC11" i="1"/>
  <c r="AE11" i="1"/>
  <c r="AC226" i="1"/>
  <c r="AE226" i="1"/>
  <c r="C13" i="1"/>
  <c r="R13" i="1"/>
  <c r="AC13" i="1"/>
  <c r="AE13" i="1"/>
  <c r="C228" i="1"/>
  <c r="R228" i="1"/>
  <c r="AC228" i="1"/>
  <c r="AE228" i="1"/>
  <c r="AC229" i="1"/>
  <c r="AE229" i="1"/>
  <c r="AC14" i="1"/>
  <c r="AE14" i="1"/>
  <c r="AC15" i="1"/>
  <c r="AE15" i="1"/>
  <c r="C17" i="1"/>
  <c r="R17" i="1"/>
  <c r="AC17" i="1"/>
  <c r="AE17" i="1"/>
  <c r="C19" i="1"/>
  <c r="R19" i="1"/>
  <c r="AC19" i="1"/>
  <c r="AE19" i="1"/>
  <c r="AC21" i="1"/>
  <c r="AE21" i="1"/>
  <c r="R235" i="1"/>
  <c r="AC235" i="1"/>
  <c r="AE235" i="1"/>
  <c r="R236" i="1"/>
  <c r="AC236" i="1"/>
  <c r="AE236" i="1"/>
  <c r="R237" i="1"/>
  <c r="AC237" i="1"/>
  <c r="AE237" i="1"/>
  <c r="R238" i="1"/>
  <c r="AC238" i="1"/>
  <c r="AE238" i="1"/>
  <c r="R239" i="1"/>
  <c r="AC239" i="1"/>
  <c r="AE239" i="1"/>
  <c r="R240" i="1"/>
  <c r="AC240" i="1"/>
  <c r="AE240" i="1"/>
  <c r="R241" i="1"/>
  <c r="AC241" i="1"/>
  <c r="AE241" i="1"/>
  <c r="R242" i="1"/>
  <c r="AC242" i="1"/>
  <c r="AE242" i="1"/>
  <c r="R243" i="1"/>
  <c r="AC243" i="1"/>
  <c r="AE243" i="1"/>
  <c r="R244" i="1"/>
  <c r="AC244" i="1"/>
  <c r="AE244" i="1"/>
  <c r="R245" i="1"/>
  <c r="AC245" i="1"/>
  <c r="AE245" i="1"/>
  <c r="R246" i="1"/>
  <c r="AC246" i="1"/>
  <c r="AE246" i="1"/>
  <c r="R247" i="1"/>
  <c r="AC247" i="1"/>
  <c r="AE247" i="1"/>
  <c r="R22" i="1"/>
  <c r="AC22" i="1"/>
  <c r="AE22" i="1"/>
  <c r="AC249" i="1"/>
  <c r="AE249" i="1"/>
  <c r="R23" i="1"/>
  <c r="AC23" i="1"/>
  <c r="AE23" i="1"/>
  <c r="R24" i="1"/>
  <c r="AC24" i="1"/>
  <c r="AE24" i="1"/>
  <c r="R25" i="1"/>
  <c r="AC25" i="1"/>
  <c r="AE25" i="1"/>
  <c r="AC28" i="1"/>
  <c r="AE28" i="1"/>
  <c r="AC29" i="1"/>
  <c r="AE29" i="1"/>
  <c r="C33" i="1"/>
  <c r="R33" i="1"/>
  <c r="AC33" i="1"/>
  <c r="AE33" i="1"/>
  <c r="R44" i="1"/>
  <c r="AC44" i="1"/>
  <c r="AE44" i="1"/>
  <c r="R258" i="1"/>
  <c r="AC258" i="1"/>
  <c r="AE258" i="1"/>
  <c r="R259" i="1"/>
  <c r="AC259" i="1"/>
  <c r="AE259" i="1"/>
  <c r="R260" i="1"/>
  <c r="AC260" i="1"/>
  <c r="AE260" i="1"/>
  <c r="AC45" i="1"/>
  <c r="AE45" i="1"/>
  <c r="C47" i="1"/>
  <c r="R47" i="1"/>
  <c r="AC47" i="1"/>
  <c r="AE47" i="1"/>
  <c r="AC48" i="1"/>
  <c r="AE48" i="1"/>
  <c r="AC49" i="1"/>
  <c r="AE49" i="1"/>
  <c r="AC50" i="1"/>
  <c r="AE50" i="1"/>
  <c r="AC51" i="1"/>
  <c r="AE51" i="1"/>
  <c r="AC52" i="1"/>
  <c r="AE52" i="1"/>
  <c r="AC53" i="1"/>
  <c r="AE53" i="1"/>
  <c r="AC54" i="1"/>
  <c r="AE54" i="1"/>
  <c r="R64" i="1"/>
  <c r="AC64" i="1"/>
  <c r="AE64" i="1"/>
  <c r="R65" i="1"/>
  <c r="AC65" i="1"/>
  <c r="AE65" i="1"/>
  <c r="R81" i="1"/>
  <c r="AC81" i="1"/>
  <c r="AE81" i="1"/>
  <c r="R84" i="1"/>
  <c r="AC84" i="1"/>
  <c r="AE84" i="1"/>
  <c r="C88" i="1"/>
  <c r="R88" i="1"/>
  <c r="AC88" i="1"/>
  <c r="AE88" i="1"/>
  <c r="C89" i="1"/>
  <c r="R89" i="1"/>
  <c r="AC89" i="1"/>
  <c r="AE89" i="1"/>
  <c r="C90" i="1"/>
  <c r="R90" i="1"/>
  <c r="AC90" i="1"/>
  <c r="AE90" i="1"/>
  <c r="C91" i="1"/>
  <c r="R91" i="1"/>
  <c r="AC91" i="1"/>
  <c r="AE91" i="1"/>
  <c r="C92" i="1"/>
  <c r="R92" i="1"/>
  <c r="AC92" i="1"/>
  <c r="AE92" i="1"/>
  <c r="R106" i="1"/>
  <c r="AC106" i="1"/>
  <c r="AE106" i="1"/>
  <c r="R281" i="1"/>
  <c r="AC281" i="1"/>
  <c r="AE281" i="1"/>
  <c r="AC282" i="1"/>
  <c r="AE282" i="1"/>
  <c r="R111" i="1"/>
  <c r="AC111" i="1"/>
  <c r="AE111" i="1"/>
  <c r="AC158" i="1"/>
  <c r="AE158" i="1"/>
  <c r="AC163" i="1"/>
  <c r="AE163" i="1"/>
  <c r="AC164" i="1"/>
  <c r="AE164" i="1"/>
  <c r="AC166" i="1"/>
  <c r="AE166" i="1"/>
  <c r="R288" i="1"/>
  <c r="AC288" i="1"/>
  <c r="AE288" i="1"/>
  <c r="C169" i="1"/>
  <c r="R169" i="1"/>
  <c r="AC169" i="1"/>
  <c r="AE169" i="1"/>
  <c r="R172" i="1"/>
  <c r="AC172" i="1"/>
  <c r="AE172" i="1"/>
  <c r="AC173" i="1"/>
  <c r="AE173" i="1"/>
  <c r="C179" i="1"/>
  <c r="R179" i="1"/>
  <c r="AC179" i="1"/>
  <c r="AE179" i="1"/>
  <c r="C180" i="1"/>
  <c r="R180" i="1"/>
  <c r="AC180" i="1"/>
  <c r="AE180" i="1"/>
  <c r="R181" i="1"/>
  <c r="AC181" i="1"/>
  <c r="AE181" i="1"/>
  <c r="R182" i="1"/>
  <c r="AC182" i="1"/>
  <c r="AE182" i="1"/>
  <c r="AC193" i="1"/>
  <c r="AE193" i="1"/>
  <c r="AC195" i="1"/>
  <c r="AE195" i="1"/>
  <c r="R196" i="1"/>
  <c r="AC196" i="1"/>
  <c r="AE196" i="1"/>
  <c r="AC199" i="1"/>
  <c r="AE199" i="1"/>
  <c r="AC200" i="1"/>
  <c r="AE200" i="1"/>
  <c r="R201" i="1"/>
  <c r="AC201" i="1"/>
  <c r="AE201" i="1"/>
  <c r="C202" i="1"/>
  <c r="R202" i="1"/>
  <c r="AC202" i="1"/>
  <c r="AE202" i="1"/>
  <c r="AC204" i="1"/>
  <c r="AE204" i="1"/>
  <c r="AC207" i="1"/>
  <c r="AE207" i="1"/>
  <c r="AC208" i="1"/>
  <c r="AE208" i="1"/>
  <c r="C307" i="1"/>
  <c r="R307" i="1"/>
  <c r="AC307" i="1"/>
  <c r="AE307" i="1"/>
  <c r="R211" i="1"/>
  <c r="AC211" i="1"/>
  <c r="AE211" i="1"/>
  <c r="AC212" i="1"/>
  <c r="AE212" i="1"/>
  <c r="AC310" i="1"/>
  <c r="AE310" i="1"/>
  <c r="R215" i="1"/>
  <c r="AC215" i="1"/>
  <c r="AE215" i="1"/>
  <c r="R223" i="1"/>
  <c r="AC223" i="1"/>
  <c r="AE223" i="1"/>
  <c r="AC313" i="1"/>
  <c r="AE313" i="1"/>
  <c r="AC230" i="1"/>
  <c r="AE230" i="1"/>
  <c r="C250" i="1"/>
  <c r="R250" i="1"/>
  <c r="AC250" i="1"/>
  <c r="AE250" i="1"/>
  <c r="C273" i="1"/>
  <c r="R273" i="1"/>
  <c r="AC273" i="1"/>
  <c r="AE273" i="1"/>
  <c r="C279" i="1"/>
  <c r="R279" i="1"/>
  <c r="AC279" i="1"/>
  <c r="AE279" i="1"/>
  <c r="C283" i="1"/>
  <c r="R283" i="1"/>
  <c r="AC283" i="1"/>
  <c r="AE283" i="1"/>
  <c r="AC286" i="1"/>
  <c r="AE286" i="1"/>
  <c r="AC287" i="1"/>
  <c r="AE287" i="1"/>
  <c r="R289" i="1"/>
  <c r="AC289" i="1"/>
  <c r="AE289" i="1"/>
  <c r="R290" i="1"/>
  <c r="AC290" i="1"/>
  <c r="AE290" i="1"/>
  <c r="AC291" i="1"/>
  <c r="AE291" i="1"/>
  <c r="AC294" i="1"/>
  <c r="AE294" i="1"/>
  <c r="AC295" i="1"/>
  <c r="AE295" i="1"/>
  <c r="AC297" i="1"/>
  <c r="AE297" i="1"/>
  <c r="C300" i="1"/>
  <c r="R300" i="1"/>
  <c r="AC300" i="1"/>
  <c r="AE300" i="1"/>
  <c r="U328" i="1"/>
  <c r="V328" i="1" s="1"/>
  <c r="AE328" i="1"/>
  <c r="C301" i="1"/>
  <c r="R301" i="1"/>
  <c r="AC301" i="1"/>
  <c r="AE301" i="1"/>
  <c r="C302" i="1"/>
  <c r="R302" i="1"/>
  <c r="AC302" i="1"/>
  <c r="AE302" i="1"/>
  <c r="AC331" i="1"/>
  <c r="AE331" i="1"/>
  <c r="C303" i="1"/>
  <c r="R303" i="1"/>
  <c r="AC303" i="1"/>
  <c r="AE303" i="1"/>
  <c r="C304" i="1"/>
  <c r="R304" i="1"/>
  <c r="AC304" i="1"/>
  <c r="AE304" i="1"/>
  <c r="C305" i="1"/>
  <c r="R305" i="1"/>
  <c r="AC305" i="1"/>
  <c r="AE305" i="1"/>
  <c r="C306" i="1"/>
  <c r="R306" i="1"/>
  <c r="AC306" i="1"/>
  <c r="AE306" i="1"/>
  <c r="AC336" i="1"/>
  <c r="AE336" i="1"/>
  <c r="AC337" i="1"/>
  <c r="AE337" i="1"/>
  <c r="C309" i="1"/>
  <c r="R309" i="1"/>
  <c r="AC309" i="1"/>
  <c r="AE309" i="1"/>
  <c r="C311" i="1"/>
  <c r="R311" i="1"/>
  <c r="AC311" i="1"/>
  <c r="AE311" i="1"/>
  <c r="C312" i="1"/>
  <c r="R312" i="1"/>
  <c r="AC312" i="1"/>
  <c r="AE312" i="1"/>
  <c r="C314" i="1"/>
  <c r="R314" i="1"/>
  <c r="AC314" i="1"/>
  <c r="AE314" i="1"/>
  <c r="AC315" i="1"/>
  <c r="AE315" i="1"/>
  <c r="C329" i="1"/>
  <c r="R329" i="1"/>
  <c r="AC329" i="1"/>
  <c r="AE329" i="1"/>
  <c r="AC339" i="1"/>
  <c r="AE339" i="1"/>
  <c r="C330" i="1"/>
  <c r="R330" i="1"/>
  <c r="AC330" i="1"/>
  <c r="AE330" i="1"/>
  <c r="AC340" i="1"/>
  <c r="AE340" i="1"/>
  <c r="AC341" i="1"/>
  <c r="AE341" i="1"/>
  <c r="AC342" i="1"/>
  <c r="AE342" i="1"/>
  <c r="C343" i="1"/>
  <c r="AC343" i="1"/>
  <c r="AE343" i="1"/>
  <c r="AC344" i="1"/>
  <c r="AE344" i="1"/>
  <c r="AC345" i="1"/>
  <c r="AE345" i="1"/>
  <c r="AC346" i="1"/>
  <c r="AE346" i="1"/>
  <c r="AC347" i="1"/>
  <c r="AE347" i="1"/>
  <c r="AC348" i="1"/>
  <c r="AE348" i="1"/>
  <c r="AC349" i="1"/>
  <c r="AE349" i="1"/>
  <c r="AC350" i="1"/>
  <c r="AE350" i="1"/>
  <c r="AC351" i="1"/>
  <c r="AE351" i="1"/>
  <c r="AC352" i="1"/>
  <c r="AE352" i="1"/>
  <c r="AC353" i="1"/>
  <c r="AE353" i="1"/>
  <c r="AC354" i="1"/>
  <c r="AE354" i="1"/>
  <c r="AC355" i="1"/>
  <c r="AE355" i="1"/>
  <c r="AC356" i="1"/>
  <c r="AE356" i="1"/>
  <c r="AC357" i="1"/>
  <c r="AE357" i="1"/>
  <c r="AC358" i="1"/>
  <c r="AE358" i="1"/>
  <c r="AC359" i="1"/>
  <c r="AE359" i="1"/>
  <c r="AC360" i="1"/>
  <c r="AE360" i="1"/>
  <c r="AC361" i="1"/>
  <c r="AE361" i="1"/>
  <c r="AC362" i="1"/>
  <c r="AE362" i="1"/>
  <c r="AC363" i="1"/>
  <c r="AE363" i="1"/>
  <c r="AC364" i="1"/>
  <c r="AE364" i="1"/>
  <c r="AC365" i="1"/>
  <c r="AE365" i="1"/>
  <c r="AC366" i="1"/>
  <c r="AE366" i="1"/>
  <c r="AC367" i="1"/>
  <c r="AE367" i="1"/>
  <c r="AC368" i="1"/>
  <c r="AE368" i="1"/>
  <c r="AC369" i="1"/>
  <c r="AE369" i="1"/>
  <c r="AC370" i="1"/>
  <c r="AE370" i="1"/>
  <c r="AC371" i="1"/>
  <c r="AE371" i="1"/>
  <c r="AC372" i="1"/>
  <c r="AE372" i="1"/>
  <c r="AC373" i="1"/>
  <c r="AE373" i="1"/>
  <c r="AC374" i="1"/>
  <c r="AE374" i="1"/>
  <c r="AC375" i="1"/>
  <c r="AE375" i="1"/>
  <c r="AC376" i="1"/>
  <c r="AE376" i="1"/>
  <c r="AC377" i="1"/>
  <c r="AE377" i="1"/>
  <c r="AC378" i="1"/>
  <c r="AE378" i="1"/>
  <c r="AC379" i="1"/>
  <c r="AE379" i="1"/>
  <c r="AC380" i="1"/>
  <c r="AE380" i="1"/>
  <c r="AC381" i="1"/>
  <c r="AE381" i="1"/>
  <c r="AC382" i="1"/>
  <c r="AE382" i="1"/>
  <c r="AC383" i="1"/>
  <c r="AE383" i="1"/>
  <c r="AC384" i="1"/>
  <c r="AE384" i="1"/>
  <c r="AC385" i="1"/>
  <c r="AE385" i="1"/>
  <c r="AC386" i="1"/>
  <c r="AE386" i="1"/>
  <c r="AC387" i="1"/>
  <c r="AE387" i="1"/>
  <c r="AC388" i="1"/>
  <c r="AE388" i="1"/>
  <c r="AC389" i="1"/>
  <c r="AE389" i="1"/>
  <c r="AC390" i="1"/>
  <c r="AE390" i="1"/>
  <c r="AC391" i="1"/>
  <c r="AE391" i="1"/>
  <c r="AC392" i="1"/>
  <c r="AE392" i="1"/>
  <c r="AC393" i="1"/>
  <c r="AE393" i="1"/>
  <c r="AC394" i="1"/>
  <c r="AE394" i="1"/>
  <c r="AC395" i="1"/>
  <c r="AE395" i="1"/>
  <c r="AC396" i="1"/>
  <c r="AE396" i="1"/>
  <c r="AC397" i="1"/>
  <c r="AE397" i="1"/>
  <c r="AC398" i="1"/>
  <c r="AE398" i="1"/>
  <c r="AC399" i="1"/>
  <c r="AE399" i="1"/>
  <c r="AC400" i="1"/>
  <c r="AE400" i="1"/>
  <c r="AC401" i="1"/>
  <c r="AE401" i="1"/>
  <c r="AC402" i="1"/>
  <c r="AE402" i="1"/>
  <c r="AC403" i="1"/>
  <c r="AE403" i="1"/>
  <c r="AC404" i="1"/>
  <c r="AE404" i="1"/>
  <c r="AC405" i="1"/>
  <c r="AE405" i="1"/>
  <c r="AC406" i="1"/>
  <c r="AE406" i="1"/>
  <c r="AC407" i="1"/>
  <c r="AE407" i="1"/>
  <c r="AC408" i="1"/>
  <c r="AE408" i="1"/>
  <c r="AC409" i="1"/>
  <c r="AE409" i="1"/>
  <c r="AC410" i="1"/>
  <c r="AE410" i="1"/>
  <c r="AC411" i="1"/>
  <c r="AE411" i="1"/>
  <c r="AC412" i="1"/>
  <c r="AE412" i="1"/>
  <c r="AC413" i="1"/>
  <c r="AE413" i="1"/>
  <c r="AC414" i="1"/>
  <c r="AE414" i="1"/>
  <c r="AC415" i="1"/>
  <c r="AE415" i="1"/>
  <c r="AC416" i="1"/>
  <c r="AE416" i="1"/>
  <c r="AC417" i="1"/>
  <c r="AE417" i="1"/>
  <c r="AC418" i="1"/>
  <c r="AE418" i="1"/>
  <c r="AC419" i="1"/>
  <c r="AE419" i="1"/>
  <c r="AC420" i="1"/>
  <c r="AE420" i="1"/>
  <c r="AC421" i="1"/>
  <c r="AE421" i="1"/>
  <c r="AC422" i="1"/>
  <c r="AE422" i="1"/>
  <c r="AC423" i="1"/>
  <c r="AE423" i="1"/>
  <c r="AC424" i="1"/>
  <c r="AE424" i="1"/>
  <c r="AC425" i="1"/>
  <c r="AE425" i="1"/>
  <c r="AE274" i="1"/>
  <c r="AC426" i="1"/>
  <c r="AE426" i="1"/>
  <c r="AC427" i="1"/>
  <c r="AE427" i="1"/>
  <c r="AC428" i="1"/>
  <c r="AE428" i="1"/>
  <c r="AC429" i="1"/>
  <c r="AE429" i="1"/>
  <c r="AC430" i="1"/>
  <c r="AE430" i="1"/>
  <c r="AC431" i="1"/>
  <c r="AE431" i="1"/>
  <c r="Q102" i="1"/>
  <c r="AC102" i="1"/>
  <c r="AC185" i="1"/>
  <c r="AE2" i="3" l="1"/>
  <c r="E2" i="3"/>
  <c r="T2" i="3"/>
  <c r="K2" i="3"/>
  <c r="U2" i="3"/>
  <c r="DS414" i="2"/>
  <c r="DQ414" i="2"/>
  <c r="P414" i="2"/>
  <c r="M414" i="2"/>
  <c r="H414" i="2"/>
  <c r="DS199" i="2" l="1"/>
  <c r="DQ199" i="2"/>
  <c r="P199" i="2"/>
  <c r="M199" i="2"/>
  <c r="H199" i="2"/>
  <c r="DS90" i="2" l="1"/>
  <c r="DQ90" i="2"/>
  <c r="P90" i="2"/>
  <c r="M90" i="2"/>
  <c r="H90" i="2"/>
  <c r="DS392" i="2"/>
  <c r="DQ392" i="2"/>
  <c r="Z392" i="2" s="1"/>
  <c r="P392" i="2"/>
  <c r="M392" i="2"/>
  <c r="H392" i="2"/>
  <c r="D392" i="2"/>
  <c r="DS394" i="2"/>
  <c r="DQ394" i="2"/>
  <c r="Z394" i="2" s="1"/>
  <c r="P394" i="2"/>
  <c r="M394" i="2"/>
  <c r="H394" i="2"/>
  <c r="D394" i="2"/>
  <c r="DS385" i="2"/>
  <c r="DQ385" i="2"/>
  <c r="Z385" i="2" s="1"/>
  <c r="P385" i="2"/>
  <c r="M385" i="2"/>
  <c r="H385" i="2"/>
  <c r="D385" i="2"/>
  <c r="DS6" i="2"/>
  <c r="DQ6" i="2"/>
  <c r="Z6" i="2" s="1"/>
  <c r="P6" i="2"/>
  <c r="M6" i="2"/>
  <c r="H6" i="2"/>
  <c r="D6" i="2"/>
  <c r="DS3" i="2" l="1"/>
  <c r="DQ3" i="2"/>
  <c r="P3" i="2"/>
  <c r="M3" i="2"/>
  <c r="H3" i="2"/>
  <c r="D3" i="2"/>
  <c r="DS2" i="2"/>
  <c r="DQ2" i="2"/>
  <c r="Z2" i="2" s="1"/>
  <c r="P2" i="2"/>
  <c r="M2" i="2"/>
  <c r="H2" i="2"/>
  <c r="D2" i="2"/>
  <c r="DS375" i="2" l="1"/>
  <c r="DQ375" i="2"/>
  <c r="P375" i="2"/>
  <c r="M375" i="2"/>
  <c r="H375" i="2"/>
  <c r="D375" i="2"/>
  <c r="DS374" i="2" l="1"/>
  <c r="DQ374" i="2"/>
  <c r="P374" i="2"/>
  <c r="M374" i="2"/>
  <c r="H374" i="2"/>
  <c r="D374" i="2"/>
  <c r="DS387" i="2"/>
  <c r="DQ387" i="2"/>
  <c r="P387" i="2"/>
  <c r="M387" i="2"/>
  <c r="H387" i="2"/>
  <c r="D387" i="2"/>
  <c r="DS399" i="2"/>
  <c r="DQ399" i="2"/>
  <c r="Z399" i="2" s="1"/>
  <c r="P399" i="2"/>
  <c r="M399" i="2"/>
  <c r="H399" i="2"/>
  <c r="D399" i="2"/>
  <c r="DS413" i="2"/>
  <c r="DQ413" i="2"/>
  <c r="P413" i="2"/>
  <c r="M413" i="2"/>
  <c r="H413" i="2"/>
  <c r="D413" i="2"/>
  <c r="DS384" i="2"/>
  <c r="DQ384" i="2"/>
  <c r="P384" i="2"/>
  <c r="M384" i="2"/>
  <c r="H384" i="2"/>
  <c r="D384" i="2"/>
  <c r="DS412" i="2"/>
  <c r="DQ412" i="2"/>
  <c r="Z412" i="2" s="1"/>
  <c r="P412" i="2"/>
  <c r="M412" i="2"/>
  <c r="H412" i="2"/>
  <c r="D412" i="2"/>
  <c r="DS398" i="2"/>
  <c r="DQ398" i="2"/>
  <c r="Z398" i="2" s="1"/>
  <c r="P398" i="2"/>
  <c r="M398" i="2"/>
  <c r="H398" i="2"/>
  <c r="D398" i="2"/>
  <c r="DS396" i="2"/>
  <c r="DQ396" i="2"/>
  <c r="Z396" i="2" s="1"/>
  <c r="P396" i="2"/>
  <c r="M396" i="2"/>
  <c r="H396" i="2"/>
  <c r="D396" i="2"/>
  <c r="DS298" i="2"/>
  <c r="DQ298" i="2"/>
  <c r="Z298" i="2" s="1"/>
  <c r="P298" i="2"/>
  <c r="M298" i="2"/>
  <c r="H298" i="2"/>
  <c r="D298" i="2"/>
  <c r="DS410" i="2"/>
  <c r="DQ410" i="2"/>
  <c r="P410" i="2"/>
  <c r="M410" i="2"/>
  <c r="H410" i="2"/>
  <c r="D410" i="2"/>
  <c r="DS409" i="2"/>
  <c r="DQ409" i="2"/>
  <c r="P409" i="2"/>
  <c r="M409" i="2"/>
  <c r="H409" i="2"/>
  <c r="D409" i="2"/>
  <c r="DS408" i="2"/>
  <c r="DQ408" i="2"/>
  <c r="Z408" i="2" s="1"/>
  <c r="P408" i="2"/>
  <c r="M408" i="2"/>
  <c r="H408" i="2"/>
  <c r="D408" i="2"/>
  <c r="DS407" i="2"/>
  <c r="DQ407" i="2"/>
  <c r="P407" i="2"/>
  <c r="M407" i="2"/>
  <c r="D407" i="2"/>
  <c r="DS406" i="2"/>
  <c r="DQ406" i="2"/>
  <c r="P406" i="2"/>
  <c r="M406" i="2"/>
  <c r="D406" i="2"/>
  <c r="DS405" i="2"/>
  <c r="DQ405" i="2"/>
  <c r="P405" i="2"/>
  <c r="M405" i="2"/>
  <c r="H405" i="2"/>
  <c r="D405" i="2"/>
  <c r="DS404" i="2"/>
  <c r="DQ404" i="2"/>
  <c r="P404" i="2"/>
  <c r="M404" i="2"/>
  <c r="H404" i="2"/>
  <c r="D404" i="2"/>
  <c r="DS403" i="2"/>
  <c r="DQ403" i="2"/>
  <c r="P403" i="2"/>
  <c r="M403" i="2"/>
  <c r="H403" i="2"/>
  <c r="DS402" i="2"/>
  <c r="DQ402" i="2"/>
  <c r="P402" i="2"/>
  <c r="M402" i="2"/>
  <c r="H402" i="2"/>
  <c r="D402" i="2"/>
  <c r="DS401" i="2"/>
  <c r="DQ401" i="2"/>
  <c r="P401" i="2"/>
  <c r="M401" i="2"/>
  <c r="H401" i="2"/>
  <c r="D401" i="2"/>
  <c r="DS113" i="2"/>
  <c r="DQ113" i="2"/>
  <c r="P113" i="2"/>
  <c r="M113" i="2"/>
  <c r="H113" i="2"/>
  <c r="D113" i="2"/>
  <c r="DS48" i="2"/>
  <c r="DQ48" i="2"/>
  <c r="P48" i="2"/>
  <c r="M48" i="2"/>
  <c r="H48" i="2"/>
  <c r="DS125" i="2"/>
  <c r="DQ125" i="2"/>
  <c r="P125" i="2"/>
  <c r="M125" i="2"/>
  <c r="H125" i="2"/>
  <c r="DS395" i="2"/>
  <c r="DQ395" i="2"/>
  <c r="P395" i="2"/>
  <c r="M395" i="2"/>
  <c r="H395" i="2"/>
  <c r="D395" i="2"/>
  <c r="DS118" i="2"/>
  <c r="DQ118" i="2"/>
  <c r="P118" i="2"/>
  <c r="M118" i="2"/>
  <c r="H118" i="2"/>
  <c r="DS389" i="2"/>
  <c r="DQ389" i="2"/>
  <c r="P389" i="2"/>
  <c r="M389" i="2"/>
  <c r="H389" i="2"/>
  <c r="D389" i="2"/>
  <c r="DS192" i="2"/>
  <c r="DQ192" i="2"/>
  <c r="P192" i="2"/>
  <c r="M192" i="2"/>
  <c r="H192" i="2"/>
  <c r="DS151" i="2"/>
  <c r="DQ151" i="2"/>
  <c r="P151" i="2"/>
  <c r="M151" i="2"/>
  <c r="H151" i="2"/>
  <c r="DS386" i="2"/>
  <c r="DQ386" i="2"/>
  <c r="P386" i="2"/>
  <c r="M386" i="2"/>
  <c r="H386" i="2"/>
  <c r="D386" i="2"/>
  <c r="DS61" i="2"/>
  <c r="DQ61" i="2"/>
  <c r="P61" i="2"/>
  <c r="M61" i="2"/>
  <c r="H61" i="2"/>
  <c r="D61" i="2"/>
  <c r="DS27" i="2"/>
  <c r="DQ27" i="2"/>
  <c r="P27" i="2"/>
  <c r="M27" i="2"/>
  <c r="H27" i="2"/>
  <c r="D27" i="2"/>
  <c r="DS92" i="2"/>
  <c r="DQ92" i="2"/>
  <c r="P92" i="2"/>
  <c r="M92" i="2"/>
  <c r="H92" i="2"/>
  <c r="D92" i="2"/>
  <c r="DS97" i="2"/>
  <c r="DQ97" i="2"/>
  <c r="P97" i="2"/>
  <c r="M97" i="2"/>
  <c r="H97" i="2"/>
  <c r="D97" i="2"/>
  <c r="DS153" i="2"/>
  <c r="DQ153" i="2"/>
  <c r="P153" i="2"/>
  <c r="M153" i="2"/>
  <c r="H153" i="2"/>
  <c r="D153" i="2"/>
  <c r="DS379" i="2"/>
  <c r="DQ379" i="2"/>
  <c r="P379" i="2"/>
  <c r="M379" i="2"/>
  <c r="H379" i="2"/>
  <c r="DS378" i="2"/>
  <c r="DQ378" i="2"/>
  <c r="P378" i="2"/>
  <c r="M378" i="2"/>
  <c r="H378" i="2"/>
  <c r="DS377" i="2"/>
  <c r="DQ377" i="2"/>
  <c r="P377" i="2"/>
  <c r="M377" i="2"/>
  <c r="H377" i="2"/>
  <c r="DS376" i="2"/>
  <c r="DQ376" i="2"/>
  <c r="P376" i="2"/>
  <c r="M376" i="2"/>
  <c r="H376" i="2"/>
  <c r="D376" i="2"/>
  <c r="DS98" i="2"/>
  <c r="DQ98" i="2"/>
  <c r="P98" i="2"/>
  <c r="M98" i="2"/>
  <c r="D98" i="2"/>
  <c r="DS309" i="2"/>
  <c r="DQ309" i="2"/>
  <c r="P309" i="2"/>
  <c r="M309" i="2"/>
  <c r="D309" i="2"/>
  <c r="DS307" i="2"/>
  <c r="DQ307" i="2"/>
  <c r="P307" i="2"/>
  <c r="M307" i="2"/>
  <c r="H307" i="2"/>
  <c r="D307" i="2"/>
  <c r="DS21" i="2"/>
  <c r="DQ21" i="2"/>
  <c r="P21" i="2"/>
  <c r="M21" i="2"/>
  <c r="H21" i="2"/>
  <c r="D21" i="2"/>
  <c r="DS371" i="2"/>
  <c r="DQ371" i="2"/>
  <c r="Z371" i="2" s="1"/>
  <c r="P371" i="2"/>
  <c r="M371" i="2"/>
  <c r="H371" i="2"/>
  <c r="D371" i="2"/>
  <c r="DS370" i="2"/>
  <c r="DQ370" i="2"/>
  <c r="P370" i="2"/>
  <c r="M370" i="2"/>
  <c r="H370" i="2"/>
  <c r="D370" i="2"/>
  <c r="DS369" i="2"/>
  <c r="DQ369" i="2"/>
  <c r="P369" i="2"/>
  <c r="M369" i="2"/>
  <c r="H369" i="2"/>
  <c r="D369" i="2"/>
  <c r="DS368" i="2"/>
  <c r="DQ368" i="2"/>
  <c r="P368" i="2"/>
  <c r="M368" i="2"/>
  <c r="H368" i="2"/>
  <c r="DS367" i="2"/>
  <c r="DQ367" i="2"/>
  <c r="P367" i="2"/>
  <c r="M367" i="2"/>
  <c r="H367" i="2"/>
  <c r="D367" i="2"/>
  <c r="DS366" i="2"/>
  <c r="DQ366" i="2"/>
  <c r="Z366" i="2" s="1"/>
  <c r="P366" i="2"/>
  <c r="M366" i="2"/>
  <c r="H366" i="2"/>
  <c r="D366" i="2"/>
  <c r="DS365" i="2"/>
  <c r="DQ365" i="2"/>
  <c r="Z365" i="2" s="1"/>
  <c r="P365" i="2"/>
  <c r="M365" i="2"/>
  <c r="H365" i="2"/>
  <c r="D365" i="2"/>
  <c r="DS364" i="2"/>
  <c r="DQ364" i="2"/>
  <c r="Z364" i="2" s="1"/>
  <c r="P364" i="2"/>
  <c r="M364" i="2"/>
  <c r="H364" i="2"/>
  <c r="D364" i="2"/>
  <c r="DS363" i="2"/>
  <c r="DQ363" i="2"/>
  <c r="Z363" i="2" s="1"/>
  <c r="P363" i="2"/>
  <c r="M363" i="2"/>
  <c r="H363" i="2"/>
  <c r="D363" i="2"/>
  <c r="DS362" i="2"/>
  <c r="DQ362" i="2"/>
  <c r="P362" i="2"/>
  <c r="M362" i="2"/>
  <c r="H362" i="2"/>
  <c r="D362" i="2"/>
  <c r="DS361" i="2"/>
  <c r="DQ361" i="2"/>
  <c r="Z361" i="2" s="1"/>
  <c r="P361" i="2"/>
  <c r="M361" i="2"/>
  <c r="H361" i="2"/>
  <c r="D361" i="2"/>
  <c r="DS358" i="2"/>
  <c r="DQ358" i="2"/>
  <c r="P358" i="2"/>
  <c r="M358" i="2"/>
  <c r="D358" i="2"/>
  <c r="DS360" i="2"/>
  <c r="DQ360" i="2"/>
  <c r="P360" i="2"/>
  <c r="M360" i="2"/>
  <c r="D360" i="2"/>
  <c r="DS359" i="2"/>
  <c r="DQ359" i="2"/>
  <c r="P359" i="2"/>
  <c r="M359" i="2"/>
  <c r="D359" i="2"/>
  <c r="DS185" i="2"/>
  <c r="DQ185" i="2"/>
  <c r="P185" i="2"/>
  <c r="M185" i="2"/>
  <c r="H185" i="2"/>
  <c r="DS124" i="2"/>
  <c r="DQ124" i="2"/>
  <c r="P124" i="2"/>
  <c r="M124" i="2"/>
  <c r="H124" i="2"/>
  <c r="DS355" i="2"/>
  <c r="DQ355" i="2"/>
  <c r="P355" i="2"/>
  <c r="M355" i="2"/>
  <c r="H355" i="2"/>
  <c r="D355" i="2"/>
  <c r="DS354" i="2"/>
  <c r="DQ354" i="2"/>
  <c r="P354" i="2"/>
  <c r="M354" i="2"/>
  <c r="H354" i="2"/>
  <c r="DS353" i="2"/>
  <c r="DQ353" i="2"/>
  <c r="P353" i="2"/>
  <c r="M353" i="2"/>
  <c r="H353" i="2"/>
  <c r="DS352" i="2"/>
  <c r="DQ352" i="2"/>
  <c r="P352" i="2"/>
  <c r="M352" i="2"/>
  <c r="H352" i="2"/>
  <c r="D352" i="2"/>
  <c r="DS351" i="2"/>
  <c r="DQ351" i="2"/>
  <c r="P351" i="2"/>
  <c r="M351" i="2"/>
  <c r="H351" i="2"/>
  <c r="D351" i="2"/>
  <c r="DS350" i="2"/>
  <c r="DQ350" i="2"/>
  <c r="P350" i="2"/>
  <c r="M350" i="2"/>
  <c r="H350" i="2"/>
  <c r="D350" i="2"/>
  <c r="DS349" i="2"/>
  <c r="DQ349" i="2"/>
  <c r="P349" i="2"/>
  <c r="M349" i="2"/>
  <c r="H349" i="2"/>
  <c r="D349" i="2"/>
  <c r="DS348" i="2"/>
  <c r="DQ348" i="2"/>
  <c r="P348" i="2"/>
  <c r="M348" i="2"/>
  <c r="H348" i="2"/>
  <c r="DS347" i="2"/>
  <c r="DQ347" i="2"/>
  <c r="P347" i="2"/>
  <c r="M347" i="2"/>
  <c r="H347" i="2"/>
  <c r="DS346" i="2"/>
  <c r="DQ346" i="2"/>
  <c r="P346" i="2"/>
  <c r="M346" i="2"/>
  <c r="H346" i="2"/>
  <c r="D346" i="2"/>
  <c r="DS345" i="2"/>
  <c r="DQ345" i="2"/>
  <c r="P345" i="2"/>
  <c r="M345" i="2"/>
  <c r="H345" i="2"/>
  <c r="D345" i="2"/>
  <c r="DS344" i="2"/>
  <c r="DQ344" i="2"/>
  <c r="P344" i="2"/>
  <c r="M344" i="2"/>
  <c r="H344" i="2"/>
  <c r="DS343" i="2"/>
  <c r="DQ343" i="2"/>
  <c r="P343" i="2"/>
  <c r="M343" i="2"/>
  <c r="H343" i="2"/>
  <c r="D343" i="2"/>
  <c r="DS342" i="2"/>
  <c r="DQ342" i="2"/>
  <c r="P342" i="2"/>
  <c r="M342" i="2"/>
  <c r="H342" i="2"/>
  <c r="DS341" i="2"/>
  <c r="DQ341" i="2"/>
  <c r="P341" i="2"/>
  <c r="M341" i="2"/>
  <c r="H341" i="2"/>
  <c r="D341" i="2"/>
  <c r="DS340" i="2"/>
  <c r="DQ340" i="2"/>
  <c r="P340" i="2"/>
  <c r="M340" i="2"/>
  <c r="H340" i="2"/>
  <c r="DS339" i="2"/>
  <c r="DQ339" i="2"/>
  <c r="P339" i="2"/>
  <c r="M339" i="2"/>
  <c r="H339" i="2"/>
  <c r="DS338" i="2"/>
  <c r="DQ338" i="2"/>
  <c r="P338" i="2"/>
  <c r="M338" i="2"/>
  <c r="H338" i="2"/>
  <c r="DS337" i="2"/>
  <c r="DQ337" i="2"/>
  <c r="P337" i="2"/>
  <c r="M337" i="2"/>
  <c r="H337" i="2"/>
  <c r="DS336" i="2"/>
  <c r="DQ336" i="2"/>
  <c r="P336" i="2"/>
  <c r="M336" i="2"/>
  <c r="H336" i="2"/>
  <c r="D336" i="2"/>
  <c r="DS335" i="2"/>
  <c r="DQ335" i="2"/>
  <c r="P335" i="2"/>
  <c r="M335" i="2"/>
  <c r="H335" i="2"/>
  <c r="D335" i="2"/>
  <c r="DS334" i="2"/>
  <c r="DQ334" i="2"/>
  <c r="P334" i="2"/>
  <c r="M334" i="2"/>
  <c r="H334" i="2"/>
  <c r="DS333" i="2"/>
  <c r="DQ333" i="2"/>
  <c r="P333" i="2"/>
  <c r="M333" i="2"/>
  <c r="H333" i="2"/>
  <c r="DS332" i="2"/>
  <c r="DQ332" i="2"/>
  <c r="P332" i="2"/>
  <c r="M332" i="2"/>
  <c r="H332" i="2"/>
  <c r="DS331" i="2"/>
  <c r="DQ331" i="2"/>
  <c r="P331" i="2"/>
  <c r="M331" i="2"/>
  <c r="H331" i="2"/>
  <c r="DS121" i="2"/>
  <c r="DQ121" i="2"/>
  <c r="P121" i="2"/>
  <c r="M121" i="2"/>
  <c r="H121" i="2"/>
  <c r="DS329" i="2"/>
  <c r="DQ329" i="2"/>
  <c r="P329" i="2"/>
  <c r="M329" i="2"/>
  <c r="H329" i="2"/>
  <c r="DS382" i="2"/>
  <c r="DQ382" i="2"/>
  <c r="P382" i="2"/>
  <c r="M382" i="2"/>
  <c r="H382" i="2"/>
  <c r="DS381" i="2"/>
  <c r="DQ381" i="2"/>
  <c r="P381" i="2"/>
  <c r="M381" i="2"/>
  <c r="DS326" i="2"/>
  <c r="DQ326" i="2"/>
  <c r="P326" i="2"/>
  <c r="M326" i="2"/>
  <c r="H326" i="2"/>
  <c r="DS325" i="2"/>
  <c r="DQ325" i="2"/>
  <c r="Z325" i="2" s="1"/>
  <c r="P325" i="2"/>
  <c r="M325" i="2"/>
  <c r="H325" i="2"/>
  <c r="D325" i="2"/>
  <c r="DS383" i="2"/>
  <c r="DQ383" i="2"/>
  <c r="P383" i="2"/>
  <c r="M383" i="2"/>
  <c r="D383" i="2"/>
  <c r="DS54" i="2"/>
  <c r="DQ54" i="2"/>
  <c r="P54" i="2"/>
  <c r="M54" i="2"/>
  <c r="D54" i="2"/>
  <c r="DS306" i="2"/>
  <c r="DQ306" i="2"/>
  <c r="P306" i="2"/>
  <c r="M306" i="2"/>
  <c r="H306" i="2"/>
  <c r="DS32" i="2"/>
  <c r="DQ32" i="2"/>
  <c r="P32" i="2"/>
  <c r="M32" i="2"/>
  <c r="H32" i="2"/>
  <c r="DS320" i="2"/>
  <c r="DQ320" i="2"/>
  <c r="P320" i="2"/>
  <c r="M320" i="2"/>
  <c r="H320" i="2"/>
  <c r="DS319" i="2"/>
  <c r="DQ319" i="2"/>
  <c r="P319" i="2"/>
  <c r="M319" i="2"/>
  <c r="H319" i="2"/>
  <c r="DS318" i="2"/>
  <c r="DQ318" i="2"/>
  <c r="P318" i="2"/>
  <c r="M318" i="2"/>
  <c r="H318" i="2"/>
  <c r="D318" i="2"/>
  <c r="DS31" i="2"/>
  <c r="DQ31" i="2"/>
  <c r="P31" i="2"/>
  <c r="M31" i="2"/>
  <c r="H31" i="2"/>
  <c r="DS315" i="2"/>
  <c r="DQ315" i="2"/>
  <c r="P315" i="2"/>
  <c r="M315" i="2"/>
  <c r="H315" i="2"/>
  <c r="DS316" i="2"/>
  <c r="DQ316" i="2"/>
  <c r="P316" i="2"/>
  <c r="M316" i="2"/>
  <c r="H316" i="2"/>
  <c r="DS314" i="2"/>
  <c r="DQ314" i="2"/>
  <c r="P314" i="2"/>
  <c r="M314" i="2"/>
  <c r="H314" i="2"/>
  <c r="DS313" i="2"/>
  <c r="DQ313" i="2"/>
  <c r="P313" i="2"/>
  <c r="M313" i="2"/>
  <c r="H313" i="2"/>
  <c r="DS312" i="2"/>
  <c r="DQ312" i="2"/>
  <c r="P312" i="2"/>
  <c r="M312" i="2"/>
  <c r="H312" i="2"/>
  <c r="D312" i="2"/>
  <c r="DS311" i="2"/>
  <c r="DQ311" i="2"/>
  <c r="P311" i="2"/>
  <c r="M311" i="2"/>
  <c r="H311" i="2"/>
  <c r="DS310" i="2"/>
  <c r="DQ310" i="2"/>
  <c r="P310" i="2"/>
  <c r="M310" i="2"/>
  <c r="H310" i="2"/>
  <c r="DS109" i="2"/>
  <c r="DQ109" i="2"/>
  <c r="P109" i="2"/>
  <c r="M109" i="2"/>
  <c r="DS308" i="2"/>
  <c r="DQ308" i="2"/>
  <c r="P308" i="2"/>
  <c r="M308" i="2"/>
  <c r="H308" i="2"/>
  <c r="DS300" i="2"/>
  <c r="DQ300" i="2"/>
  <c r="P300" i="2"/>
  <c r="M300" i="2"/>
  <c r="H300" i="2"/>
  <c r="D300" i="2"/>
  <c r="DS154" i="2"/>
  <c r="DQ154" i="2"/>
  <c r="P154" i="2"/>
  <c r="M154" i="2"/>
  <c r="H154" i="2"/>
  <c r="DS30" i="2"/>
  <c r="DQ30" i="2"/>
  <c r="P30" i="2"/>
  <c r="M30" i="2"/>
  <c r="H30" i="2"/>
  <c r="DS305" i="2"/>
  <c r="DQ305" i="2"/>
  <c r="P305" i="2"/>
  <c r="M305" i="2"/>
  <c r="H305" i="2"/>
  <c r="DS304" i="2"/>
  <c r="DQ304" i="2"/>
  <c r="P304" i="2"/>
  <c r="M304" i="2"/>
  <c r="H304" i="2"/>
  <c r="DS303" i="2"/>
  <c r="DQ303" i="2"/>
  <c r="P303" i="2"/>
  <c r="M303" i="2"/>
  <c r="H303" i="2"/>
  <c r="DS302" i="2"/>
  <c r="DQ302" i="2"/>
  <c r="P302" i="2"/>
  <c r="M302" i="2"/>
  <c r="H302" i="2"/>
  <c r="DS301" i="2"/>
  <c r="DQ301" i="2"/>
  <c r="P301" i="2"/>
  <c r="M301" i="2"/>
  <c r="H301" i="2"/>
  <c r="DS299" i="2"/>
  <c r="DQ299" i="2"/>
  <c r="P299" i="2"/>
  <c r="M299" i="2"/>
  <c r="H299" i="2"/>
  <c r="DS123" i="2"/>
  <c r="DQ123" i="2"/>
  <c r="P123" i="2"/>
  <c r="M123" i="2"/>
  <c r="H123" i="2"/>
  <c r="DS28" i="2"/>
  <c r="DQ28" i="2"/>
  <c r="P28" i="2"/>
  <c r="M28" i="2"/>
  <c r="H28" i="2"/>
  <c r="DS65" i="2"/>
  <c r="DQ65" i="2"/>
  <c r="P65" i="2"/>
  <c r="M65" i="2"/>
  <c r="H65" i="2"/>
  <c r="DS178" i="2"/>
  <c r="DQ178" i="2"/>
  <c r="P178" i="2"/>
  <c r="M178" i="2"/>
  <c r="H178" i="2"/>
  <c r="DS294" i="2"/>
  <c r="DQ294" i="2"/>
  <c r="P294" i="2"/>
  <c r="M294" i="2"/>
  <c r="H294" i="2"/>
  <c r="DS293" i="2"/>
  <c r="DQ293" i="2"/>
  <c r="P293" i="2"/>
  <c r="M293" i="2"/>
  <c r="H293" i="2"/>
  <c r="DS76" i="2"/>
  <c r="DQ76" i="2"/>
  <c r="P76" i="2"/>
  <c r="M76" i="2"/>
  <c r="H76" i="2"/>
  <c r="DS290" i="2"/>
  <c r="DQ290" i="2"/>
  <c r="Z290" i="2" s="1"/>
  <c r="P290" i="2"/>
  <c r="M290" i="2"/>
  <c r="H290" i="2"/>
  <c r="D290" i="2"/>
  <c r="DS289" i="2"/>
  <c r="DQ289" i="2"/>
  <c r="P289" i="2"/>
  <c r="M289" i="2"/>
  <c r="H289" i="2"/>
  <c r="DS288" i="2"/>
  <c r="DQ288" i="2"/>
  <c r="P288" i="2"/>
  <c r="M288" i="2"/>
  <c r="H288" i="2"/>
  <c r="DS287" i="2"/>
  <c r="DQ287" i="2"/>
  <c r="P287" i="2"/>
  <c r="M287" i="2"/>
  <c r="H287" i="2"/>
  <c r="DS286" i="2"/>
  <c r="DQ286" i="2"/>
  <c r="P286" i="2"/>
  <c r="M286" i="2"/>
  <c r="H286" i="2"/>
  <c r="D286" i="2"/>
  <c r="DS285" i="2"/>
  <c r="DQ285" i="2"/>
  <c r="P285" i="2"/>
  <c r="M285" i="2"/>
  <c r="H285" i="2"/>
  <c r="D285" i="2"/>
  <c r="DS284" i="2"/>
  <c r="DQ284" i="2"/>
  <c r="P284" i="2"/>
  <c r="M284" i="2"/>
  <c r="H284" i="2"/>
  <c r="D284" i="2"/>
  <c r="DS283" i="2"/>
  <c r="DQ283" i="2"/>
  <c r="P283" i="2"/>
  <c r="M283" i="2"/>
  <c r="H283" i="2"/>
  <c r="D283" i="2"/>
  <c r="DS282" i="2"/>
  <c r="DQ282" i="2"/>
  <c r="P282" i="2"/>
  <c r="M282" i="2"/>
  <c r="H282" i="2"/>
  <c r="DS281" i="2"/>
  <c r="DQ281" i="2"/>
  <c r="Z281" i="2" s="1"/>
  <c r="P281" i="2"/>
  <c r="M281" i="2"/>
  <c r="H281" i="2"/>
  <c r="D281" i="2"/>
  <c r="DS280" i="2"/>
  <c r="DQ280" i="2"/>
  <c r="P280" i="2"/>
  <c r="M280" i="2"/>
  <c r="H280" i="2"/>
  <c r="D280" i="2"/>
  <c r="DS279" i="2"/>
  <c r="DQ279" i="2"/>
  <c r="P279" i="2"/>
  <c r="M279" i="2"/>
  <c r="H279" i="2"/>
  <c r="DS278" i="2"/>
  <c r="DQ278" i="2"/>
  <c r="P278" i="2"/>
  <c r="M278" i="2"/>
  <c r="H278" i="2"/>
  <c r="DS277" i="2"/>
  <c r="DQ277" i="2"/>
  <c r="P277" i="2"/>
  <c r="M277" i="2"/>
  <c r="DS276" i="2"/>
  <c r="DQ276" i="2"/>
  <c r="P276" i="2"/>
  <c r="M276" i="2"/>
  <c r="DS275" i="2"/>
  <c r="DQ275" i="2"/>
  <c r="P275" i="2"/>
  <c r="M275" i="2"/>
  <c r="H275" i="2"/>
  <c r="DS274" i="2"/>
  <c r="DQ274" i="2"/>
  <c r="P274" i="2"/>
  <c r="M274" i="2"/>
  <c r="DS273" i="2"/>
  <c r="DQ273" i="2"/>
  <c r="P273" i="2"/>
  <c r="M273" i="2"/>
  <c r="DS272" i="2"/>
  <c r="DQ272" i="2"/>
  <c r="P272" i="2"/>
  <c r="M272" i="2"/>
  <c r="H272" i="2"/>
  <c r="DS271" i="2"/>
  <c r="DQ271" i="2"/>
  <c r="P271" i="2"/>
  <c r="M271" i="2"/>
  <c r="D271" i="2"/>
  <c r="DS270" i="2"/>
  <c r="DQ270" i="2"/>
  <c r="P270" i="2"/>
  <c r="M270" i="2"/>
  <c r="DS269" i="2"/>
  <c r="DQ269" i="2"/>
  <c r="P269" i="2"/>
  <c r="M269" i="2"/>
  <c r="D269" i="2"/>
  <c r="DS268" i="2"/>
  <c r="DQ268" i="2"/>
  <c r="P268" i="2"/>
  <c r="M268" i="2"/>
  <c r="H268" i="2"/>
  <c r="D268" i="2"/>
  <c r="DS267" i="2"/>
  <c r="DQ267" i="2"/>
  <c r="P267" i="2"/>
  <c r="M267" i="2"/>
  <c r="H267" i="2"/>
  <c r="DS266" i="2"/>
  <c r="DQ266" i="2"/>
  <c r="P266" i="2"/>
  <c r="M266" i="2"/>
  <c r="D266" i="2"/>
  <c r="DS265" i="2"/>
  <c r="DQ265" i="2"/>
  <c r="P265" i="2"/>
  <c r="M265" i="2"/>
  <c r="H265" i="2"/>
  <c r="D265" i="2"/>
  <c r="DS264" i="2"/>
  <c r="DQ264" i="2"/>
  <c r="P264" i="2"/>
  <c r="M264" i="2"/>
  <c r="H264" i="2"/>
  <c r="D264" i="2"/>
  <c r="DS263" i="2"/>
  <c r="DQ263" i="2"/>
  <c r="P263" i="2"/>
  <c r="M263" i="2"/>
  <c r="D263" i="2"/>
  <c r="DS262" i="2"/>
  <c r="DQ262" i="2"/>
  <c r="P262" i="2"/>
  <c r="M262" i="2"/>
  <c r="H262" i="2"/>
  <c r="DS261" i="2"/>
  <c r="DQ261" i="2"/>
  <c r="Z261" i="2" s="1"/>
  <c r="P261" i="2"/>
  <c r="M261" i="2"/>
  <c r="H261" i="2"/>
  <c r="D261" i="2"/>
  <c r="DS260" i="2"/>
  <c r="DQ260" i="2"/>
  <c r="P260" i="2"/>
  <c r="M260" i="2"/>
  <c r="H260" i="2"/>
  <c r="D260" i="2"/>
  <c r="DS259" i="2"/>
  <c r="DQ259" i="2"/>
  <c r="P259" i="2"/>
  <c r="M259" i="2"/>
  <c r="H259" i="2"/>
  <c r="D259" i="2"/>
  <c r="DS258" i="2"/>
  <c r="DQ258" i="2"/>
  <c r="P258" i="2"/>
  <c r="M258" i="2"/>
  <c r="H258" i="2"/>
  <c r="D258" i="2"/>
  <c r="DS257" i="2"/>
  <c r="DQ257" i="2"/>
  <c r="P257" i="2"/>
  <c r="M257" i="2"/>
  <c r="H257" i="2"/>
  <c r="D257" i="2"/>
  <c r="DS256" i="2"/>
  <c r="DQ256" i="2"/>
  <c r="P256" i="2"/>
  <c r="M256" i="2"/>
  <c r="H256" i="2"/>
  <c r="D256" i="2"/>
  <c r="DS255" i="2"/>
  <c r="DQ255" i="2"/>
  <c r="P255" i="2"/>
  <c r="M255" i="2"/>
  <c r="H255" i="2"/>
  <c r="DS254" i="2"/>
  <c r="DQ254" i="2"/>
  <c r="P254" i="2"/>
  <c r="M254" i="2"/>
  <c r="H254" i="2"/>
  <c r="D254" i="2"/>
  <c r="DS253" i="2"/>
  <c r="DQ253" i="2"/>
  <c r="P253" i="2"/>
  <c r="M253" i="2"/>
  <c r="H253" i="2"/>
  <c r="D253" i="2"/>
  <c r="DS252" i="2"/>
  <c r="DQ252" i="2"/>
  <c r="P252" i="2"/>
  <c r="M252" i="2"/>
  <c r="H252" i="2"/>
  <c r="DS251" i="2"/>
  <c r="DQ251" i="2"/>
  <c r="P251" i="2"/>
  <c r="M251" i="2"/>
  <c r="H251" i="2"/>
  <c r="D251" i="2"/>
  <c r="DS250" i="2"/>
  <c r="DQ250" i="2"/>
  <c r="P250" i="2"/>
  <c r="M250" i="2"/>
  <c r="H250" i="2"/>
  <c r="DS249" i="2"/>
  <c r="DQ249" i="2"/>
  <c r="P249" i="2"/>
  <c r="M249" i="2"/>
  <c r="H249" i="2"/>
  <c r="D249" i="2"/>
  <c r="DS248" i="2"/>
  <c r="DQ248" i="2"/>
  <c r="P248" i="2"/>
  <c r="M248" i="2"/>
  <c r="H248" i="2"/>
  <c r="DS247" i="2"/>
  <c r="DQ247" i="2"/>
  <c r="P247" i="2"/>
  <c r="M247" i="2"/>
  <c r="H247" i="2"/>
  <c r="DS246" i="2"/>
  <c r="DQ246" i="2"/>
  <c r="P246" i="2"/>
  <c r="M246" i="2"/>
  <c r="H246" i="2"/>
  <c r="D246" i="2"/>
  <c r="DS245" i="2"/>
  <c r="DQ245" i="2"/>
  <c r="P245" i="2"/>
  <c r="M245" i="2"/>
  <c r="H245" i="2"/>
  <c r="DS244" i="2"/>
  <c r="DQ244" i="2"/>
  <c r="P244" i="2"/>
  <c r="M244" i="2"/>
  <c r="H244" i="2"/>
  <c r="D244" i="2"/>
  <c r="DS243" i="2"/>
  <c r="DQ243" i="2"/>
  <c r="P243" i="2"/>
  <c r="M243" i="2"/>
  <c r="H243" i="2"/>
  <c r="D243" i="2"/>
  <c r="DS242" i="2"/>
  <c r="DQ242" i="2"/>
  <c r="P242" i="2"/>
  <c r="M242" i="2"/>
  <c r="H242" i="2"/>
  <c r="D242" i="2"/>
  <c r="DS241" i="2"/>
  <c r="DQ241" i="2"/>
  <c r="P241" i="2"/>
  <c r="M241" i="2"/>
  <c r="H241" i="2"/>
  <c r="D241" i="2"/>
  <c r="DS240" i="2"/>
  <c r="DQ240" i="2"/>
  <c r="P240" i="2"/>
  <c r="M240" i="2"/>
  <c r="H240" i="2"/>
  <c r="D240" i="2"/>
  <c r="DS239" i="2"/>
  <c r="DQ239" i="2"/>
  <c r="P239" i="2"/>
  <c r="M239" i="2"/>
  <c r="H239" i="2"/>
  <c r="D239" i="2"/>
  <c r="DS238" i="2"/>
  <c r="DQ238" i="2"/>
  <c r="P238" i="2"/>
  <c r="M238" i="2"/>
  <c r="H238" i="2"/>
  <c r="D238" i="2"/>
  <c r="DS237" i="2"/>
  <c r="DQ237" i="2"/>
  <c r="P237" i="2"/>
  <c r="M237" i="2"/>
  <c r="H237" i="2"/>
  <c r="D237" i="2"/>
  <c r="DS236" i="2"/>
  <c r="DQ236" i="2"/>
  <c r="P236" i="2"/>
  <c r="M236" i="2"/>
  <c r="H236" i="2"/>
  <c r="D236" i="2"/>
  <c r="DS235" i="2"/>
  <c r="DQ235" i="2"/>
  <c r="P235" i="2"/>
  <c r="M235" i="2"/>
  <c r="H235" i="2"/>
  <c r="D235" i="2"/>
  <c r="DS234" i="2"/>
  <c r="DQ234" i="2"/>
  <c r="P234" i="2"/>
  <c r="M234" i="2"/>
  <c r="H234" i="2"/>
  <c r="D234" i="2"/>
  <c r="DS233" i="2"/>
  <c r="DQ233" i="2"/>
  <c r="P233" i="2"/>
  <c r="M233" i="2"/>
  <c r="H233" i="2"/>
  <c r="DS232" i="2"/>
  <c r="DQ232" i="2"/>
  <c r="P232" i="2"/>
  <c r="M232" i="2"/>
  <c r="H232" i="2"/>
  <c r="DS231" i="2"/>
  <c r="DQ231" i="2"/>
  <c r="P231" i="2"/>
  <c r="M231" i="2"/>
  <c r="H231" i="2"/>
  <c r="DS230" i="2"/>
  <c r="DQ230" i="2"/>
  <c r="P230" i="2"/>
  <c r="M230" i="2"/>
  <c r="H230" i="2"/>
  <c r="D230" i="2"/>
  <c r="DS229" i="2"/>
  <c r="DQ229" i="2"/>
  <c r="P229" i="2"/>
  <c r="M229" i="2"/>
  <c r="H229" i="2"/>
  <c r="D229" i="2"/>
  <c r="DS228" i="2"/>
  <c r="DQ228" i="2"/>
  <c r="P228" i="2"/>
  <c r="M228" i="2"/>
  <c r="H228" i="2"/>
  <c r="DS227" i="2"/>
  <c r="DQ227" i="2"/>
  <c r="P227" i="2"/>
  <c r="M227" i="2"/>
  <c r="H227" i="2"/>
  <c r="DS226" i="2"/>
  <c r="DQ226" i="2"/>
  <c r="P226" i="2"/>
  <c r="M226" i="2"/>
  <c r="H226" i="2"/>
  <c r="DS225" i="2"/>
  <c r="DQ225" i="2"/>
  <c r="P225" i="2"/>
  <c r="M225" i="2"/>
  <c r="H225" i="2"/>
  <c r="D225" i="2"/>
  <c r="DS224" i="2"/>
  <c r="DQ224" i="2"/>
  <c r="P224" i="2"/>
  <c r="M224" i="2"/>
  <c r="H224" i="2"/>
  <c r="DS223" i="2"/>
  <c r="DQ223" i="2"/>
  <c r="P223" i="2"/>
  <c r="M223" i="2"/>
  <c r="H223" i="2"/>
  <c r="DS222" i="2"/>
  <c r="DQ222" i="2"/>
  <c r="P222" i="2"/>
  <c r="M222" i="2"/>
  <c r="H222" i="2"/>
  <c r="D222" i="2"/>
  <c r="DS221" i="2"/>
  <c r="DQ221" i="2"/>
  <c r="P221" i="2"/>
  <c r="M221" i="2"/>
  <c r="H221" i="2"/>
  <c r="D221" i="2"/>
  <c r="DS25" i="2"/>
  <c r="DQ25" i="2"/>
  <c r="P25" i="2"/>
  <c r="M25" i="2"/>
  <c r="H25" i="2"/>
  <c r="D25" i="2"/>
  <c r="DS78" i="2"/>
  <c r="DQ78" i="2"/>
  <c r="P78" i="2"/>
  <c r="M78" i="2"/>
  <c r="H78" i="2"/>
  <c r="DS23" i="2"/>
  <c r="DQ23" i="2"/>
  <c r="P23" i="2"/>
  <c r="M23" i="2"/>
  <c r="H23" i="2"/>
  <c r="D23" i="2"/>
  <c r="DS209" i="2"/>
  <c r="DQ209" i="2"/>
  <c r="P209" i="2"/>
  <c r="M209" i="2"/>
  <c r="H209" i="2"/>
  <c r="D209" i="2"/>
  <c r="DS207" i="2"/>
  <c r="DQ207" i="2"/>
  <c r="P207" i="2"/>
  <c r="M207" i="2"/>
  <c r="D207" i="2"/>
  <c r="DS215" i="2"/>
  <c r="DQ215" i="2"/>
  <c r="P215" i="2"/>
  <c r="M215" i="2"/>
  <c r="DS214" i="2"/>
  <c r="DQ214" i="2"/>
  <c r="P214" i="2"/>
  <c r="M214" i="2"/>
  <c r="DS213" i="2"/>
  <c r="DQ213" i="2"/>
  <c r="P213" i="2"/>
  <c r="M213" i="2"/>
  <c r="H213" i="2"/>
  <c r="D213" i="2"/>
  <c r="DS212" i="2"/>
  <c r="DQ212" i="2"/>
  <c r="P212" i="2"/>
  <c r="M212" i="2"/>
  <c r="H212" i="2"/>
  <c r="D212" i="2"/>
  <c r="DS211" i="2"/>
  <c r="DQ211" i="2"/>
  <c r="P211" i="2"/>
  <c r="M211" i="2"/>
  <c r="H211" i="2"/>
  <c r="D211" i="2"/>
  <c r="DS210" i="2"/>
  <c r="DQ210" i="2"/>
  <c r="P210" i="2"/>
  <c r="M210" i="2"/>
  <c r="H210" i="2"/>
  <c r="D210" i="2"/>
  <c r="DS208" i="2"/>
  <c r="DQ208" i="2"/>
  <c r="P208" i="2"/>
  <c r="M208" i="2"/>
  <c r="H208" i="2"/>
  <c r="DS155" i="2"/>
  <c r="DQ155" i="2"/>
  <c r="P155" i="2"/>
  <c r="M155" i="2"/>
  <c r="H155" i="2"/>
  <c r="D155" i="2"/>
  <c r="DS292" i="2"/>
  <c r="DQ292" i="2"/>
  <c r="P292" i="2"/>
  <c r="M292" i="2"/>
  <c r="H292" i="2"/>
  <c r="D292" i="2"/>
  <c r="DS206" i="2"/>
  <c r="DQ206" i="2"/>
  <c r="P206" i="2"/>
  <c r="M206" i="2"/>
  <c r="H206" i="2"/>
  <c r="DS205" i="2"/>
  <c r="DQ205" i="2"/>
  <c r="P205" i="2"/>
  <c r="M205" i="2"/>
  <c r="H205" i="2"/>
  <c r="DS204" i="2"/>
  <c r="DQ204" i="2"/>
  <c r="P204" i="2"/>
  <c r="M204" i="2"/>
  <c r="H204" i="2"/>
  <c r="DS203" i="2"/>
  <c r="DQ203" i="2"/>
  <c r="P203" i="2"/>
  <c r="M203" i="2"/>
  <c r="H203" i="2"/>
  <c r="DS202" i="2"/>
  <c r="DQ202" i="2"/>
  <c r="P202" i="2"/>
  <c r="M202" i="2"/>
  <c r="H202" i="2"/>
  <c r="DS291" i="2"/>
  <c r="DQ291" i="2"/>
  <c r="P291" i="2"/>
  <c r="M291" i="2"/>
  <c r="DS198" i="2"/>
  <c r="DQ198" i="2"/>
  <c r="P198" i="2"/>
  <c r="M198" i="2"/>
  <c r="D198" i="2"/>
  <c r="DS114" i="2"/>
  <c r="DQ114" i="2"/>
  <c r="P114" i="2"/>
  <c r="M114" i="2"/>
  <c r="D114" i="2"/>
  <c r="DS24" i="2"/>
  <c r="DQ24" i="2"/>
  <c r="P24" i="2"/>
  <c r="M24" i="2"/>
  <c r="H24" i="2"/>
  <c r="D24" i="2"/>
  <c r="DS196" i="2"/>
  <c r="DQ196" i="2"/>
  <c r="P196" i="2"/>
  <c r="M196" i="2"/>
  <c r="D196" i="2"/>
  <c r="DS195" i="2"/>
  <c r="DQ195" i="2"/>
  <c r="P195" i="2"/>
  <c r="M195" i="2"/>
  <c r="D195" i="2"/>
  <c r="DS194" i="2"/>
  <c r="DQ194" i="2"/>
  <c r="P194" i="2"/>
  <c r="M194" i="2"/>
  <c r="D194" i="2"/>
  <c r="DS193" i="2"/>
  <c r="DQ193" i="2"/>
  <c r="Z193" i="2" s="1"/>
  <c r="P193" i="2"/>
  <c r="M193" i="2"/>
  <c r="H193" i="2"/>
  <c r="DS120" i="2"/>
  <c r="DQ120" i="2"/>
  <c r="P120" i="2"/>
  <c r="M120" i="2"/>
  <c r="H120" i="2"/>
  <c r="DS77" i="2"/>
  <c r="DQ77" i="2"/>
  <c r="P77" i="2"/>
  <c r="M77" i="2"/>
  <c r="D77" i="2"/>
  <c r="DS190" i="2"/>
  <c r="DQ190" i="2"/>
  <c r="P190" i="2"/>
  <c r="M190" i="2"/>
  <c r="H190" i="2"/>
  <c r="D190" i="2"/>
  <c r="DS189" i="2"/>
  <c r="DQ189" i="2"/>
  <c r="P189" i="2"/>
  <c r="M189" i="2"/>
  <c r="H189" i="2"/>
  <c r="DS119" i="2"/>
  <c r="DQ119" i="2"/>
  <c r="P119" i="2"/>
  <c r="M119" i="2"/>
  <c r="H119" i="2"/>
  <c r="DS400" i="2"/>
  <c r="DQ400" i="2"/>
  <c r="P400" i="2"/>
  <c r="M400" i="2"/>
  <c r="H400" i="2"/>
  <c r="D400" i="2"/>
  <c r="DS94" i="2"/>
  <c r="DQ94" i="2"/>
  <c r="Z94" i="2" s="1"/>
  <c r="P94" i="2"/>
  <c r="M94" i="2"/>
  <c r="H94" i="2"/>
  <c r="D94" i="2"/>
  <c r="DS93" i="2"/>
  <c r="DQ93" i="2"/>
  <c r="P93" i="2"/>
  <c r="M93" i="2"/>
  <c r="H93" i="2"/>
  <c r="D93" i="2"/>
  <c r="DS388" i="2"/>
  <c r="DQ388" i="2"/>
  <c r="P388" i="2"/>
  <c r="M388" i="2"/>
  <c r="H388" i="2"/>
  <c r="D388" i="2"/>
  <c r="DS183" i="2"/>
  <c r="DQ183" i="2"/>
  <c r="P183" i="2"/>
  <c r="M183" i="2"/>
  <c r="H183" i="2"/>
  <c r="DS182" i="2"/>
  <c r="DQ182" i="2"/>
  <c r="P182" i="2"/>
  <c r="M182" i="2"/>
  <c r="H182" i="2"/>
  <c r="D182" i="2"/>
  <c r="DS181" i="2"/>
  <c r="DQ181" i="2"/>
  <c r="P181" i="2"/>
  <c r="M181" i="2"/>
  <c r="H181" i="2"/>
  <c r="D181" i="2"/>
  <c r="DS55" i="2"/>
  <c r="DQ55" i="2"/>
  <c r="P55" i="2"/>
  <c r="M55" i="2"/>
  <c r="DS56" i="2"/>
  <c r="DQ56" i="2"/>
  <c r="P56" i="2"/>
  <c r="M56" i="2"/>
  <c r="H56" i="2"/>
  <c r="DS180" i="2"/>
  <c r="DQ180" i="2"/>
  <c r="P180" i="2"/>
  <c r="M180" i="2"/>
  <c r="H180" i="2"/>
  <c r="DS177" i="2"/>
  <c r="DQ177" i="2"/>
  <c r="P177" i="2"/>
  <c r="M177" i="2"/>
  <c r="H177" i="2"/>
  <c r="D177" i="2"/>
  <c r="DS176" i="2"/>
  <c r="DQ176" i="2"/>
  <c r="P176" i="2"/>
  <c r="M176" i="2"/>
  <c r="H176" i="2"/>
  <c r="D176" i="2"/>
  <c r="DS175" i="2"/>
  <c r="DQ175" i="2"/>
  <c r="P175" i="2"/>
  <c r="M175" i="2"/>
  <c r="H175" i="2"/>
  <c r="DS174" i="2"/>
  <c r="DQ174" i="2"/>
  <c r="P174" i="2"/>
  <c r="M174" i="2"/>
  <c r="H174" i="2"/>
  <c r="DS173" i="2"/>
  <c r="DQ173" i="2"/>
  <c r="P173" i="2"/>
  <c r="M173" i="2"/>
  <c r="H173" i="2"/>
  <c r="D173" i="2"/>
  <c r="DS172" i="2"/>
  <c r="DQ172" i="2"/>
  <c r="P172" i="2"/>
  <c r="M172" i="2"/>
  <c r="H172" i="2"/>
  <c r="D172" i="2"/>
  <c r="DS171" i="2"/>
  <c r="DQ171" i="2"/>
  <c r="P171" i="2"/>
  <c r="M171" i="2"/>
  <c r="H171" i="2"/>
  <c r="D171" i="2"/>
  <c r="DS170" i="2"/>
  <c r="DQ170" i="2"/>
  <c r="P170" i="2"/>
  <c r="M170" i="2"/>
  <c r="H170" i="2"/>
  <c r="DS179" i="2"/>
  <c r="DQ179" i="2"/>
  <c r="P179" i="2"/>
  <c r="M179" i="2"/>
  <c r="DS19" i="2"/>
  <c r="DQ19" i="2"/>
  <c r="P19" i="2"/>
  <c r="M19" i="2"/>
  <c r="H19" i="2"/>
  <c r="DS83" i="2"/>
  <c r="DQ83" i="2"/>
  <c r="P83" i="2"/>
  <c r="M83" i="2"/>
  <c r="H83" i="2"/>
  <c r="D83" i="2"/>
  <c r="DS150" i="2"/>
  <c r="DQ150" i="2"/>
  <c r="Z150" i="2" s="1"/>
  <c r="P150" i="2"/>
  <c r="M150" i="2"/>
  <c r="H150" i="2"/>
  <c r="D150" i="2"/>
  <c r="DS149" i="2"/>
  <c r="DQ149" i="2"/>
  <c r="P149" i="2"/>
  <c r="M149" i="2"/>
  <c r="H149" i="2"/>
  <c r="DS111" i="2"/>
  <c r="DQ111" i="2"/>
  <c r="P111" i="2"/>
  <c r="M111" i="2"/>
  <c r="H111" i="2"/>
  <c r="DS110" i="2"/>
  <c r="DQ110" i="2"/>
  <c r="P110" i="2"/>
  <c r="M110" i="2"/>
  <c r="H110" i="2"/>
  <c r="DS297" i="2"/>
  <c r="DQ297" i="2"/>
  <c r="Z297" i="2" s="1"/>
  <c r="P297" i="2"/>
  <c r="M297" i="2"/>
  <c r="H297" i="2"/>
  <c r="D297" i="2"/>
  <c r="DS296" i="2"/>
  <c r="DQ296" i="2"/>
  <c r="P296" i="2"/>
  <c r="M296" i="2"/>
  <c r="H296" i="2"/>
  <c r="D296" i="2"/>
  <c r="DS159" i="2"/>
  <c r="DQ159" i="2"/>
  <c r="P159" i="2"/>
  <c r="M159" i="2"/>
  <c r="H159" i="2"/>
  <c r="D159" i="2"/>
  <c r="DS160" i="2"/>
  <c r="DQ160" i="2"/>
  <c r="P160" i="2"/>
  <c r="M160" i="2"/>
  <c r="H160" i="2"/>
  <c r="D160" i="2"/>
  <c r="DS158" i="2"/>
  <c r="DQ158" i="2"/>
  <c r="P158" i="2"/>
  <c r="M158" i="2"/>
  <c r="H158" i="2"/>
  <c r="D158" i="2"/>
  <c r="DS157" i="2"/>
  <c r="DQ157" i="2"/>
  <c r="P157" i="2"/>
  <c r="M157" i="2"/>
  <c r="H157" i="2"/>
  <c r="D157" i="2"/>
  <c r="DS166" i="2"/>
  <c r="DQ166" i="2"/>
  <c r="P166" i="2"/>
  <c r="M166" i="2"/>
  <c r="H166" i="2"/>
  <c r="D166" i="2"/>
  <c r="DS165" i="2"/>
  <c r="DQ165" i="2"/>
  <c r="P165" i="2"/>
  <c r="M165" i="2"/>
  <c r="H165" i="2"/>
  <c r="D165" i="2"/>
  <c r="DS162" i="2"/>
  <c r="DQ162" i="2"/>
  <c r="P162" i="2"/>
  <c r="M162" i="2"/>
  <c r="H162" i="2"/>
  <c r="D162" i="2"/>
  <c r="DS152" i="2"/>
  <c r="DQ152" i="2"/>
  <c r="P152" i="2"/>
  <c r="M152" i="2"/>
  <c r="H152" i="2"/>
  <c r="D152" i="2"/>
  <c r="DS188" i="2"/>
  <c r="DQ188" i="2"/>
  <c r="P188" i="2"/>
  <c r="M188" i="2"/>
  <c r="H188" i="2"/>
  <c r="DS164" i="2"/>
  <c r="DQ164" i="2"/>
  <c r="P164" i="2"/>
  <c r="M164" i="2"/>
  <c r="H164" i="2"/>
  <c r="D164" i="2"/>
  <c r="DS156" i="2"/>
  <c r="DQ156" i="2"/>
  <c r="Z156" i="2" s="1"/>
  <c r="P156" i="2"/>
  <c r="M156" i="2"/>
  <c r="H156" i="2"/>
  <c r="D156" i="2"/>
  <c r="DS163" i="2"/>
  <c r="DQ163" i="2"/>
  <c r="P163" i="2"/>
  <c r="M163" i="2"/>
  <c r="H163" i="2"/>
  <c r="D163" i="2"/>
  <c r="DS147" i="2"/>
  <c r="DQ147" i="2"/>
  <c r="Z147" i="2" s="1"/>
  <c r="P147" i="2"/>
  <c r="M147" i="2"/>
  <c r="H147" i="2"/>
  <c r="D147" i="2"/>
  <c r="DS161" i="2"/>
  <c r="DQ161" i="2"/>
  <c r="P161" i="2"/>
  <c r="M161" i="2"/>
  <c r="H161" i="2"/>
  <c r="D161" i="2"/>
  <c r="DS220" i="2"/>
  <c r="DQ220" i="2"/>
  <c r="P220" i="2"/>
  <c r="M220" i="2"/>
  <c r="H220" i="2"/>
  <c r="D220" i="2"/>
  <c r="DS219" i="2"/>
  <c r="DQ219" i="2"/>
  <c r="Z219" i="2" s="1"/>
  <c r="P219" i="2"/>
  <c r="M219" i="2"/>
  <c r="H219" i="2"/>
  <c r="D219" i="2"/>
  <c r="DS218" i="2"/>
  <c r="DQ218" i="2"/>
  <c r="P218" i="2"/>
  <c r="M218" i="2"/>
  <c r="H218" i="2"/>
  <c r="D218" i="2"/>
  <c r="DS217" i="2"/>
  <c r="DQ217" i="2"/>
  <c r="Z217" i="2" s="1"/>
  <c r="P217" i="2"/>
  <c r="M217" i="2"/>
  <c r="H217" i="2"/>
  <c r="D217" i="2"/>
  <c r="DS169" i="2"/>
  <c r="DQ169" i="2"/>
  <c r="P169" i="2"/>
  <c r="M169" i="2"/>
  <c r="H169" i="2"/>
  <c r="D169" i="2"/>
  <c r="DS140" i="2"/>
  <c r="DQ140" i="2"/>
  <c r="P140" i="2"/>
  <c r="M140" i="2"/>
  <c r="H140" i="2"/>
  <c r="D140" i="2"/>
  <c r="DS139" i="2"/>
  <c r="DQ139" i="2"/>
  <c r="P139" i="2"/>
  <c r="M139" i="2"/>
  <c r="H139" i="2"/>
  <c r="D139" i="2"/>
  <c r="DS138" i="2"/>
  <c r="DQ138" i="2"/>
  <c r="P138" i="2"/>
  <c r="M138" i="2"/>
  <c r="H138" i="2"/>
  <c r="D138" i="2"/>
  <c r="DS137" i="2"/>
  <c r="DQ137" i="2"/>
  <c r="P137" i="2"/>
  <c r="M137" i="2"/>
  <c r="H137" i="2"/>
  <c r="D137" i="2"/>
  <c r="DS136" i="2"/>
  <c r="DQ136" i="2"/>
  <c r="P136" i="2"/>
  <c r="M136" i="2"/>
  <c r="H136" i="2"/>
  <c r="DS135" i="2"/>
  <c r="DQ135" i="2"/>
  <c r="P135" i="2"/>
  <c r="M135" i="2"/>
  <c r="H135" i="2"/>
  <c r="DS134" i="2"/>
  <c r="DQ134" i="2"/>
  <c r="P134" i="2"/>
  <c r="M134" i="2"/>
  <c r="H134" i="2"/>
  <c r="DS133" i="2"/>
  <c r="DQ133" i="2"/>
  <c r="P133" i="2"/>
  <c r="M133" i="2"/>
  <c r="H133" i="2"/>
  <c r="DS132" i="2"/>
  <c r="DQ132" i="2"/>
  <c r="P132" i="2"/>
  <c r="M132" i="2"/>
  <c r="H132" i="2"/>
  <c r="DS131" i="2"/>
  <c r="DQ131" i="2"/>
  <c r="P131" i="2"/>
  <c r="M131" i="2"/>
  <c r="H131" i="2"/>
  <c r="DS130" i="2"/>
  <c r="DQ130" i="2"/>
  <c r="P130" i="2"/>
  <c r="M130" i="2"/>
  <c r="H130" i="2"/>
  <c r="DS129" i="2"/>
  <c r="DQ129" i="2"/>
  <c r="P129" i="2"/>
  <c r="M129" i="2"/>
  <c r="H129" i="2"/>
  <c r="DS128" i="2"/>
  <c r="DQ128" i="2"/>
  <c r="Z128" i="2" s="1"/>
  <c r="P128" i="2"/>
  <c r="M128" i="2"/>
  <c r="H128" i="2"/>
  <c r="D128" i="2"/>
  <c r="DS127" i="2"/>
  <c r="DQ127" i="2"/>
  <c r="P127" i="2"/>
  <c r="M127" i="2"/>
  <c r="H127" i="2"/>
  <c r="D127" i="2"/>
  <c r="DS126" i="2"/>
  <c r="DQ126" i="2"/>
  <c r="Z126" i="2" s="1"/>
  <c r="P126" i="2"/>
  <c r="M126" i="2"/>
  <c r="H126" i="2"/>
  <c r="D126" i="2"/>
  <c r="DS184" i="2"/>
  <c r="DQ184" i="2"/>
  <c r="P184" i="2"/>
  <c r="M184" i="2"/>
  <c r="H184" i="2"/>
  <c r="DS186" i="2"/>
  <c r="DQ186" i="2"/>
  <c r="P186" i="2"/>
  <c r="M186" i="2"/>
  <c r="H186" i="2"/>
  <c r="DS117" i="2"/>
  <c r="DQ117" i="2"/>
  <c r="P117" i="2"/>
  <c r="M117" i="2"/>
  <c r="H117" i="2"/>
  <c r="D117" i="2"/>
  <c r="DS168" i="2"/>
  <c r="DQ168" i="2"/>
  <c r="P168" i="2"/>
  <c r="M168" i="2"/>
  <c r="H168" i="2"/>
  <c r="D168" i="2"/>
  <c r="DS167" i="2"/>
  <c r="DQ167" i="2"/>
  <c r="P167" i="2"/>
  <c r="M167" i="2"/>
  <c r="H167" i="2"/>
  <c r="D167" i="2"/>
  <c r="DS295" i="2"/>
  <c r="DQ295" i="2"/>
  <c r="P295" i="2"/>
  <c r="M295" i="2"/>
  <c r="H295" i="2"/>
  <c r="D295" i="2"/>
  <c r="DS40" i="2"/>
  <c r="DQ40" i="2"/>
  <c r="P40" i="2"/>
  <c r="M40" i="2"/>
  <c r="H40" i="2"/>
  <c r="D40" i="2"/>
  <c r="DS52" i="2"/>
  <c r="DQ52" i="2"/>
  <c r="P52" i="2"/>
  <c r="M52" i="2"/>
  <c r="H52" i="2"/>
  <c r="DS53" i="2"/>
  <c r="DQ53" i="2"/>
  <c r="P53" i="2"/>
  <c r="M53" i="2"/>
  <c r="H53" i="2"/>
  <c r="D53" i="2"/>
  <c r="DS116" i="2"/>
  <c r="DQ116" i="2"/>
  <c r="P116" i="2"/>
  <c r="M116" i="2"/>
  <c r="H116" i="2"/>
  <c r="D116" i="2"/>
  <c r="DS115" i="2"/>
  <c r="DQ115" i="2"/>
  <c r="P115" i="2"/>
  <c r="M115" i="2"/>
  <c r="H115" i="2"/>
  <c r="D115" i="2"/>
  <c r="DS216" i="2"/>
  <c r="DQ216" i="2"/>
  <c r="Z216" i="2" s="1"/>
  <c r="P216" i="2"/>
  <c r="M216" i="2"/>
  <c r="H216" i="2"/>
  <c r="D216" i="2"/>
  <c r="DS328" i="2"/>
  <c r="DQ328" i="2"/>
  <c r="P328" i="2"/>
  <c r="M328" i="2"/>
  <c r="H328" i="2"/>
  <c r="D328" i="2"/>
  <c r="DS327" i="2"/>
  <c r="DQ327" i="2"/>
  <c r="P327" i="2"/>
  <c r="M327" i="2"/>
  <c r="H327" i="2"/>
  <c r="D327" i="2"/>
  <c r="DS87" i="2"/>
  <c r="DQ87" i="2"/>
  <c r="P87" i="2"/>
  <c r="M87" i="2"/>
  <c r="H87" i="2"/>
  <c r="D87" i="2"/>
  <c r="DS86" i="2"/>
  <c r="DQ86" i="2"/>
  <c r="P86" i="2"/>
  <c r="M86" i="2"/>
  <c r="H86" i="2"/>
  <c r="D86" i="2"/>
  <c r="DS104" i="2"/>
  <c r="DQ104" i="2"/>
  <c r="P104" i="2"/>
  <c r="M104" i="2"/>
  <c r="H104" i="2"/>
  <c r="D104" i="2"/>
  <c r="DS51" i="2"/>
  <c r="DQ51" i="2"/>
  <c r="P51" i="2"/>
  <c r="M51" i="2"/>
  <c r="H51" i="2"/>
  <c r="D51" i="2"/>
  <c r="DS50" i="2"/>
  <c r="DQ50" i="2"/>
  <c r="P50" i="2"/>
  <c r="M50" i="2"/>
  <c r="DS106" i="2"/>
  <c r="DQ106" i="2"/>
  <c r="Z106" i="2" s="1"/>
  <c r="P106" i="2"/>
  <c r="M106" i="2"/>
  <c r="H106" i="2"/>
  <c r="D106" i="2"/>
  <c r="DS105" i="2"/>
  <c r="DQ105" i="2"/>
  <c r="P105" i="2"/>
  <c r="M105" i="2"/>
  <c r="H105" i="2"/>
  <c r="D105" i="2"/>
  <c r="DS101" i="2"/>
  <c r="DQ101" i="2"/>
  <c r="P101" i="2"/>
  <c r="M101" i="2"/>
  <c r="H101" i="2"/>
  <c r="DS85" i="2"/>
  <c r="DQ85" i="2"/>
  <c r="P85" i="2"/>
  <c r="M85" i="2"/>
  <c r="H85" i="2"/>
  <c r="D85" i="2"/>
  <c r="DS103" i="2"/>
  <c r="DQ103" i="2"/>
  <c r="P103" i="2"/>
  <c r="M103" i="2"/>
  <c r="H103" i="2"/>
  <c r="D103" i="2"/>
  <c r="DS64" i="2"/>
  <c r="DQ64" i="2"/>
  <c r="P64" i="2"/>
  <c r="M64" i="2"/>
  <c r="H64" i="2"/>
  <c r="D64" i="2"/>
  <c r="DS58" i="2"/>
  <c r="DQ58" i="2"/>
  <c r="Z58" i="2" s="1"/>
  <c r="P58" i="2"/>
  <c r="M58" i="2"/>
  <c r="H58" i="2"/>
  <c r="DS57" i="2"/>
  <c r="DQ57" i="2"/>
  <c r="P57" i="2"/>
  <c r="M57" i="2"/>
  <c r="H57" i="2"/>
  <c r="DS102" i="2"/>
  <c r="DQ102" i="2"/>
  <c r="P102" i="2"/>
  <c r="M102" i="2"/>
  <c r="DS141" i="2"/>
  <c r="DQ141" i="2"/>
  <c r="P141" i="2"/>
  <c r="M141" i="2"/>
  <c r="D141" i="2"/>
  <c r="DS96" i="2"/>
  <c r="DQ96" i="2"/>
  <c r="P96" i="2"/>
  <c r="M96" i="2"/>
  <c r="H96" i="2"/>
  <c r="DS95" i="2"/>
  <c r="DQ95" i="2"/>
  <c r="P95" i="2"/>
  <c r="M95" i="2"/>
  <c r="H95" i="2"/>
  <c r="D95" i="2"/>
  <c r="DS122" i="2"/>
  <c r="DQ122" i="2"/>
  <c r="P122" i="2"/>
  <c r="M122" i="2"/>
  <c r="H122" i="2"/>
  <c r="DS390" i="2"/>
  <c r="DQ390" i="2"/>
  <c r="P390" i="2"/>
  <c r="M390" i="2"/>
  <c r="H390" i="2"/>
  <c r="DS108" i="2"/>
  <c r="DQ108" i="2"/>
  <c r="P108" i="2"/>
  <c r="M108" i="2"/>
  <c r="H108" i="2"/>
  <c r="DS91" i="2"/>
  <c r="DQ91" i="2"/>
  <c r="P91" i="2"/>
  <c r="M91" i="2"/>
  <c r="H91" i="2"/>
  <c r="DS357" i="2"/>
  <c r="DQ357" i="2"/>
  <c r="P357" i="2"/>
  <c r="M357" i="2"/>
  <c r="H357" i="2"/>
  <c r="DS356" i="2"/>
  <c r="DQ356" i="2"/>
  <c r="P356" i="2"/>
  <c r="M356" i="2"/>
  <c r="H356" i="2"/>
  <c r="D356" i="2"/>
  <c r="DS112" i="2"/>
  <c r="DQ112" i="2"/>
  <c r="P112" i="2"/>
  <c r="M112" i="2"/>
  <c r="H112" i="2"/>
  <c r="DS330" i="2"/>
  <c r="DQ330" i="2"/>
  <c r="P330" i="2"/>
  <c r="M330" i="2"/>
  <c r="H330" i="2"/>
  <c r="DS89" i="2"/>
  <c r="DQ89" i="2"/>
  <c r="P89" i="2"/>
  <c r="M89" i="2"/>
  <c r="H89" i="2"/>
  <c r="D89" i="2"/>
  <c r="DS107" i="2"/>
  <c r="DQ107" i="2"/>
  <c r="Z107" i="2" s="1"/>
  <c r="P107" i="2"/>
  <c r="M107" i="2"/>
  <c r="H107" i="2"/>
  <c r="D107" i="2"/>
  <c r="DS380" i="2"/>
  <c r="DQ380" i="2"/>
  <c r="Z380" i="2" s="1"/>
  <c r="P380" i="2"/>
  <c r="M380" i="2"/>
  <c r="H380" i="2"/>
  <c r="D380" i="2"/>
  <c r="DS100" i="2"/>
  <c r="DQ100" i="2"/>
  <c r="P100" i="2"/>
  <c r="M100" i="2"/>
  <c r="H100" i="2"/>
  <c r="D100" i="2"/>
  <c r="DS99" i="2"/>
  <c r="DQ99" i="2"/>
  <c r="P99" i="2"/>
  <c r="M99" i="2"/>
  <c r="H99" i="2"/>
  <c r="D99" i="2"/>
  <c r="DS81" i="2"/>
  <c r="DQ81" i="2"/>
  <c r="P81" i="2"/>
  <c r="M81" i="2"/>
  <c r="H81" i="2"/>
  <c r="D81" i="2"/>
  <c r="DS79" i="2"/>
  <c r="DQ79" i="2"/>
  <c r="P79" i="2"/>
  <c r="M79" i="2"/>
  <c r="H79" i="2"/>
  <c r="DS68" i="2"/>
  <c r="DQ68" i="2"/>
  <c r="P68" i="2"/>
  <c r="M68" i="2"/>
  <c r="H68" i="2"/>
  <c r="D68" i="2"/>
  <c r="DS197" i="2"/>
  <c r="DQ197" i="2"/>
  <c r="P197" i="2"/>
  <c r="M197" i="2"/>
  <c r="H197" i="2"/>
  <c r="D197" i="2"/>
  <c r="DS373" i="2"/>
  <c r="DQ373" i="2"/>
  <c r="P373" i="2"/>
  <c r="M373" i="2"/>
  <c r="H373" i="2"/>
  <c r="D373" i="2"/>
  <c r="DS391" i="2"/>
  <c r="DQ391" i="2"/>
  <c r="Z391" i="2" s="1"/>
  <c r="P391" i="2"/>
  <c r="M391" i="2"/>
  <c r="H391" i="2"/>
  <c r="D391" i="2"/>
  <c r="DS74" i="2"/>
  <c r="DQ74" i="2"/>
  <c r="Z74" i="2" s="1"/>
  <c r="P74" i="2"/>
  <c r="M74" i="2"/>
  <c r="H74" i="2"/>
  <c r="D74" i="2"/>
  <c r="DS73" i="2"/>
  <c r="DQ73" i="2"/>
  <c r="P73" i="2"/>
  <c r="M73" i="2"/>
  <c r="H73" i="2"/>
  <c r="DS72" i="2"/>
  <c r="DQ72" i="2"/>
  <c r="P72" i="2"/>
  <c r="M72" i="2"/>
  <c r="H72" i="2"/>
  <c r="D72" i="2"/>
  <c r="DS71" i="2"/>
  <c r="DQ71" i="2"/>
  <c r="P71" i="2"/>
  <c r="M71" i="2"/>
  <c r="H71" i="2"/>
  <c r="D71" i="2"/>
  <c r="DS70" i="2"/>
  <c r="DQ70" i="2"/>
  <c r="P70" i="2"/>
  <c r="M70" i="2"/>
  <c r="H70" i="2"/>
  <c r="D70" i="2"/>
  <c r="DS69" i="2"/>
  <c r="DQ69" i="2"/>
  <c r="P69" i="2"/>
  <c r="M69" i="2"/>
  <c r="H69" i="2"/>
  <c r="D69" i="2"/>
  <c r="DS146" i="2"/>
  <c r="DQ146" i="2"/>
  <c r="P146" i="2"/>
  <c r="M146" i="2"/>
  <c r="H146" i="2"/>
  <c r="D146" i="2"/>
  <c r="DS393" i="2"/>
  <c r="DQ393" i="2"/>
  <c r="P393" i="2"/>
  <c r="M393" i="2"/>
  <c r="H393" i="2"/>
  <c r="D393" i="2"/>
  <c r="DS66" i="2"/>
  <c r="DQ66" i="2"/>
  <c r="P66" i="2"/>
  <c r="M66" i="2"/>
  <c r="H66" i="2"/>
  <c r="DS88" i="2"/>
  <c r="DQ88" i="2"/>
  <c r="P88" i="2"/>
  <c r="M88" i="2"/>
  <c r="H88" i="2"/>
  <c r="D88" i="2"/>
  <c r="DS59" i="2"/>
  <c r="DQ59" i="2"/>
  <c r="P59" i="2"/>
  <c r="M59" i="2"/>
  <c r="H59" i="2"/>
  <c r="D59" i="2"/>
  <c r="DS63" i="2"/>
  <c r="DQ63" i="2"/>
  <c r="Z63" i="2" s="1"/>
  <c r="P63" i="2"/>
  <c r="M63" i="2"/>
  <c r="H63" i="2"/>
  <c r="D63" i="2"/>
  <c r="DS62" i="2"/>
  <c r="DQ62" i="2"/>
  <c r="Z62" i="2" s="1"/>
  <c r="P62" i="2"/>
  <c r="M62" i="2"/>
  <c r="H62" i="2"/>
  <c r="D62" i="2"/>
  <c r="DS82" i="2"/>
  <c r="DQ82" i="2"/>
  <c r="P82" i="2"/>
  <c r="M82" i="2"/>
  <c r="H82" i="2"/>
  <c r="D82" i="2"/>
  <c r="DS60" i="2"/>
  <c r="DQ60" i="2"/>
  <c r="P60" i="2"/>
  <c r="M60" i="2"/>
  <c r="H60" i="2"/>
  <c r="DS84" i="2"/>
  <c r="DQ84" i="2"/>
  <c r="P84" i="2"/>
  <c r="M84" i="2"/>
  <c r="H84" i="2"/>
  <c r="DS145" i="2"/>
  <c r="DQ145" i="2"/>
  <c r="P145" i="2"/>
  <c r="M145" i="2"/>
  <c r="D145" i="2"/>
  <c r="DS144" i="2"/>
  <c r="DQ144" i="2"/>
  <c r="P144" i="2"/>
  <c r="M144" i="2"/>
  <c r="H144" i="2"/>
  <c r="D144" i="2"/>
  <c r="DS143" i="2"/>
  <c r="DQ143" i="2"/>
  <c r="P143" i="2"/>
  <c r="M143" i="2"/>
  <c r="H143" i="2"/>
  <c r="D143" i="2"/>
  <c r="DS142" i="2"/>
  <c r="DQ142" i="2"/>
  <c r="P142" i="2"/>
  <c r="M142" i="2"/>
  <c r="D142" i="2"/>
  <c r="DS372" i="2"/>
  <c r="DQ372" i="2"/>
  <c r="P372" i="2"/>
  <c r="M372" i="2"/>
  <c r="H372" i="2"/>
  <c r="D372" i="2"/>
  <c r="DS22" i="2"/>
  <c r="DQ22" i="2"/>
  <c r="Z22" i="2" s="1"/>
  <c r="P22" i="2"/>
  <c r="M22" i="2"/>
  <c r="H22" i="2"/>
  <c r="D22" i="2"/>
  <c r="DS321" i="2"/>
  <c r="DQ321" i="2"/>
  <c r="P321" i="2"/>
  <c r="M321" i="2"/>
  <c r="D321" i="2"/>
  <c r="DS20" i="2"/>
  <c r="DQ20" i="2"/>
  <c r="P20" i="2"/>
  <c r="M20" i="2"/>
  <c r="H20" i="2"/>
  <c r="D20" i="2"/>
  <c r="DS75" i="2"/>
  <c r="DQ75" i="2"/>
  <c r="P75" i="2"/>
  <c r="M75" i="2"/>
  <c r="H75" i="2"/>
  <c r="DS49" i="2"/>
  <c r="DQ49" i="2"/>
  <c r="P49" i="2"/>
  <c r="M49" i="2"/>
  <c r="H49" i="2"/>
  <c r="DS411" i="2"/>
  <c r="DQ411" i="2"/>
  <c r="P411" i="2"/>
  <c r="M411" i="2"/>
  <c r="H411" i="2"/>
  <c r="DS47" i="2"/>
  <c r="DQ47" i="2"/>
  <c r="P47" i="2"/>
  <c r="M47" i="2"/>
  <c r="H47" i="2"/>
  <c r="D47" i="2"/>
  <c r="DS46" i="2"/>
  <c r="DQ46" i="2"/>
  <c r="P46" i="2"/>
  <c r="M46" i="2"/>
  <c r="D46" i="2"/>
  <c r="DS45" i="2"/>
  <c r="DQ45" i="2"/>
  <c r="P45" i="2"/>
  <c r="M45" i="2"/>
  <c r="D45" i="2"/>
  <c r="DS44" i="2"/>
  <c r="DQ44" i="2"/>
  <c r="P44" i="2"/>
  <c r="M44" i="2"/>
  <c r="H44" i="2"/>
  <c r="D44" i="2"/>
  <c r="DS43" i="2"/>
  <c r="DQ43" i="2"/>
  <c r="P43" i="2"/>
  <c r="M43" i="2"/>
  <c r="H43" i="2"/>
  <c r="D43" i="2"/>
  <c r="DS42" i="2"/>
  <c r="DQ42" i="2"/>
  <c r="P42" i="2"/>
  <c r="M42" i="2"/>
  <c r="H42" i="2"/>
  <c r="D42" i="2"/>
  <c r="DS41" i="2"/>
  <c r="DQ41" i="2"/>
  <c r="P41" i="2"/>
  <c r="M41" i="2"/>
  <c r="H41" i="2"/>
  <c r="D41" i="2"/>
  <c r="DS80" i="2"/>
  <c r="DQ80" i="2"/>
  <c r="P80" i="2"/>
  <c r="M80" i="2"/>
  <c r="D80" i="2"/>
  <c r="DS39" i="2"/>
  <c r="DQ39" i="2"/>
  <c r="P39" i="2"/>
  <c r="M39" i="2"/>
  <c r="H39" i="2"/>
  <c r="D39" i="2"/>
  <c r="DS187" i="2"/>
  <c r="DQ187" i="2"/>
  <c r="P187" i="2"/>
  <c r="M187" i="2"/>
  <c r="H187" i="2"/>
  <c r="DS397" i="2"/>
  <c r="DQ397" i="2"/>
  <c r="P397" i="2"/>
  <c r="M397" i="2"/>
  <c r="H397" i="2"/>
  <c r="D397" i="2"/>
  <c r="DS36" i="2"/>
  <c r="DQ36" i="2"/>
  <c r="P36" i="2"/>
  <c r="M36" i="2"/>
  <c r="H36" i="2"/>
  <c r="DS35" i="2"/>
  <c r="DQ35" i="2"/>
  <c r="P35" i="2"/>
  <c r="M35" i="2"/>
  <c r="H35" i="2"/>
  <c r="D35" i="2"/>
  <c r="DS67" i="2"/>
  <c r="DQ67" i="2"/>
  <c r="P67" i="2"/>
  <c r="M67" i="2"/>
  <c r="H67" i="2"/>
  <c r="DS323" i="2"/>
  <c r="DQ323" i="2"/>
  <c r="P323" i="2"/>
  <c r="M323" i="2"/>
  <c r="H323" i="2"/>
  <c r="D323" i="2"/>
  <c r="DS322" i="2"/>
  <c r="DQ322" i="2"/>
  <c r="P322" i="2"/>
  <c r="M322" i="2"/>
  <c r="H322" i="2"/>
  <c r="D322" i="2"/>
  <c r="DS317" i="2"/>
  <c r="DQ317" i="2"/>
  <c r="P317" i="2"/>
  <c r="M317" i="2"/>
  <c r="H317" i="2"/>
  <c r="D317" i="2"/>
  <c r="DS34" i="2"/>
  <c r="DQ34" i="2"/>
  <c r="P34" i="2"/>
  <c r="M34" i="2"/>
  <c r="H34" i="2"/>
  <c r="D34" i="2"/>
  <c r="DS33" i="2"/>
  <c r="DQ33" i="2"/>
  <c r="Z33" i="2" s="1"/>
  <c r="P33" i="2"/>
  <c r="M33" i="2"/>
  <c r="H33" i="2"/>
  <c r="D33" i="2"/>
  <c r="DS191" i="2"/>
  <c r="DQ191" i="2"/>
  <c r="P191" i="2"/>
  <c r="M191" i="2"/>
  <c r="H191" i="2"/>
  <c r="D191" i="2"/>
  <c r="DS201" i="2"/>
  <c r="DQ201" i="2"/>
  <c r="P201" i="2"/>
  <c r="M201" i="2"/>
  <c r="H201" i="2"/>
  <c r="D201" i="2"/>
  <c r="DS26" i="2"/>
  <c r="DQ26" i="2"/>
  <c r="P26" i="2"/>
  <c r="M26" i="2"/>
  <c r="H26" i="2"/>
  <c r="DS200" i="2"/>
  <c r="DQ200" i="2"/>
  <c r="P200" i="2"/>
  <c r="M200" i="2"/>
  <c r="D200" i="2"/>
  <c r="DS148" i="2"/>
  <c r="DQ148" i="2"/>
  <c r="P148" i="2"/>
  <c r="M148" i="2"/>
  <c r="D148" i="2"/>
  <c r="DS29" i="2"/>
  <c r="DQ29" i="2"/>
  <c r="P29" i="2"/>
  <c r="M29" i="2"/>
  <c r="H29" i="2"/>
  <c r="DS324" i="2"/>
  <c r="DQ324" i="2"/>
  <c r="P324" i="2"/>
  <c r="M324" i="2"/>
  <c r="H324" i="2"/>
  <c r="D324" i="2"/>
  <c r="DS38" i="2"/>
  <c r="DQ38" i="2"/>
  <c r="P38" i="2"/>
  <c r="M38" i="2"/>
  <c r="H38" i="2"/>
  <c r="DS37" i="2"/>
  <c r="DQ37" i="2"/>
  <c r="Z37" i="2" s="1"/>
  <c r="P37" i="2"/>
  <c r="M37" i="2"/>
  <c r="H37" i="2"/>
  <c r="D37" i="2"/>
  <c r="DS18" i="2"/>
  <c r="DQ18" i="2"/>
  <c r="P18" i="2"/>
  <c r="M18" i="2"/>
  <c r="H18" i="2"/>
  <c r="D18" i="2"/>
  <c r="DS17" i="2"/>
  <c r="DQ17" i="2"/>
  <c r="P17" i="2"/>
  <c r="M17" i="2"/>
  <c r="H17" i="2"/>
  <c r="D17" i="2"/>
  <c r="DS16" i="2"/>
  <c r="DQ16" i="2"/>
  <c r="P16" i="2"/>
  <c r="M16" i="2"/>
  <c r="H16" i="2"/>
  <c r="DS15" i="2"/>
  <c r="DQ15" i="2"/>
  <c r="P15" i="2"/>
  <c r="M15" i="2"/>
  <c r="H15" i="2"/>
  <c r="DS14" i="2"/>
  <c r="DQ14" i="2"/>
  <c r="P14" i="2"/>
  <c r="M14" i="2"/>
  <c r="H14" i="2"/>
  <c r="DS13" i="2"/>
  <c r="DQ13" i="2"/>
  <c r="P13" i="2"/>
  <c r="M13" i="2"/>
  <c r="H13" i="2"/>
  <c r="D13" i="2"/>
  <c r="DS12" i="2"/>
  <c r="DQ12" i="2"/>
  <c r="P12" i="2"/>
  <c r="M12" i="2"/>
  <c r="H12" i="2"/>
  <c r="DS11" i="2"/>
  <c r="DQ11" i="2"/>
  <c r="P11" i="2"/>
  <c r="M11" i="2"/>
  <c r="H11" i="2"/>
  <c r="D11" i="2"/>
  <c r="DS10" i="2"/>
  <c r="DQ10" i="2"/>
  <c r="P10" i="2"/>
  <c r="M10" i="2"/>
  <c r="H10" i="2"/>
  <c r="DS9" i="2"/>
  <c r="DQ9" i="2"/>
  <c r="P9" i="2"/>
  <c r="M9" i="2"/>
  <c r="H9" i="2"/>
  <c r="DS8" i="2"/>
  <c r="DQ8" i="2"/>
  <c r="P8" i="2"/>
  <c r="M8" i="2"/>
  <c r="H8" i="2"/>
  <c r="DS7" i="2"/>
  <c r="DQ7" i="2"/>
  <c r="P7" i="2"/>
  <c r="M7" i="2"/>
  <c r="H7" i="2"/>
  <c r="D7" i="2"/>
  <c r="DS5" i="2"/>
  <c r="DQ5" i="2"/>
  <c r="P5" i="2"/>
  <c r="M5" i="2"/>
  <c r="H5" i="2"/>
  <c r="D5" i="2"/>
  <c r="DS4" i="2" l="1"/>
  <c r="Z393" i="2" l="1"/>
  <c r="Z3" i="2"/>
  <c r="Z81" i="2" l="1"/>
  <c r="Z127" i="2" l="1"/>
  <c r="H50" i="2" l="1"/>
  <c r="H215" i="2" l="1"/>
  <c r="H207" i="2"/>
  <c r="H77" i="2"/>
  <c r="H214" i="2"/>
  <c r="H114" i="2"/>
  <c r="H102" i="2"/>
  <c r="Z387" i="2"/>
  <c r="Z157" i="2" l="1"/>
  <c r="Z296" i="2"/>
  <c r="DQ4" i="2" l="1"/>
  <c r="P4" i="2"/>
  <c r="M4" i="2"/>
  <c r="H4" i="2"/>
  <c r="D4" i="2"/>
  <c r="Z386" i="2" l="1"/>
  <c r="Z389" i="2"/>
  <c r="Z280" i="2"/>
  <c r="Z376" i="2"/>
  <c r="Z402" i="2"/>
  <c r="Z395" i="2"/>
  <c r="Z99" i="2"/>
  <c r="Z70" i="2"/>
  <c r="Z13" i="2"/>
  <c r="Z72" i="2"/>
  <c r="Z71" i="2"/>
  <c r="Z166" i="2"/>
  <c r="Z64" i="2"/>
  <c r="Z264" i="2"/>
  <c r="Z39" i="2"/>
  <c r="Z259" i="2"/>
  <c r="Z268" i="2"/>
  <c r="Z300" i="2"/>
  <c r="H406" i="2"/>
  <c r="H194" i="2"/>
  <c r="Z263" i="2"/>
  <c r="Z137" i="2"/>
  <c r="Z101" i="2"/>
  <c r="Z212" i="2"/>
  <c r="Z160" i="2"/>
  <c r="Z362" i="2"/>
  <c r="Z375" i="2"/>
  <c r="Z413" i="2"/>
  <c r="Z405" i="2"/>
  <c r="D75" i="2"/>
  <c r="D277" i="2"/>
  <c r="D199" i="2"/>
  <c r="D333" i="2"/>
  <c r="D55" i="2"/>
  <c r="D203" i="2"/>
  <c r="D130" i="2"/>
  <c r="D131" i="2"/>
  <c r="D313" i="2"/>
  <c r="D338" i="2"/>
  <c r="D339" i="2"/>
  <c r="D344" i="2"/>
  <c r="D135" i="2"/>
  <c r="D134" i="2"/>
  <c r="D314" i="2"/>
  <c r="D149" i="2"/>
  <c r="Z226" i="2"/>
  <c r="Z410" i="2"/>
  <c r="Z409" i="2"/>
  <c r="Z379" i="2"/>
  <c r="Z333" i="2"/>
  <c r="Z183" i="2"/>
  <c r="Z130" i="2"/>
  <c r="Z131" i="2"/>
  <c r="Z285" i="2"/>
  <c r="Z57" i="2"/>
  <c r="Z110" i="2"/>
  <c r="Z136" i="2"/>
  <c r="Z134" i="2"/>
  <c r="Z331" i="2"/>
  <c r="Z73" i="2"/>
  <c r="Z60" i="2"/>
  <c r="Z403" i="2"/>
  <c r="Z353" i="2"/>
  <c r="Z368" i="2"/>
  <c r="Z286" i="2"/>
  <c r="Z315" i="2" l="1"/>
  <c r="D334" i="2"/>
  <c r="Z182" i="2"/>
  <c r="Z176" i="2"/>
  <c r="Z162" i="2"/>
  <c r="D60" i="2"/>
  <c r="D78" i="2"/>
  <c r="D183" i="2"/>
  <c r="D337" i="2"/>
  <c r="D52" i="2"/>
  <c r="D255" i="2"/>
  <c r="D90" i="2"/>
  <c r="D274" i="2"/>
  <c r="Z256" i="2"/>
  <c r="D84" i="2"/>
  <c r="D227" i="2"/>
  <c r="D133" i="2"/>
  <c r="D262" i="2"/>
  <c r="Z316" i="2"/>
  <c r="Z332" i="2"/>
  <c r="D403" i="2"/>
  <c r="D315" i="2"/>
  <c r="D73" i="2"/>
  <c r="D233" i="2"/>
  <c r="D204" i="2"/>
  <c r="D223" i="2"/>
  <c r="Z271" i="2"/>
  <c r="H45" i="2"/>
  <c r="H141" i="2"/>
  <c r="D368" i="2"/>
  <c r="D232" i="2"/>
  <c r="D132" i="2"/>
  <c r="D331" i="2"/>
  <c r="Z229" i="2"/>
  <c r="Z138" i="2"/>
  <c r="Z152" i="2"/>
  <c r="Z133" i="2"/>
  <c r="Z262" i="2"/>
  <c r="D102" i="2"/>
  <c r="D31" i="2"/>
  <c r="D231" i="2"/>
  <c r="D316" i="2"/>
  <c r="Z103" i="2"/>
  <c r="Z218" i="2"/>
  <c r="D303" i="2"/>
  <c r="D50" i="2"/>
  <c r="D348" i="2"/>
  <c r="Z313" i="2"/>
  <c r="D30" i="2"/>
  <c r="D129" i="2"/>
  <c r="D382" i="2"/>
  <c r="Z244" i="2"/>
  <c r="Z250" i="2"/>
  <c r="D136" i="2"/>
  <c r="D329" i="2"/>
  <c r="Z53" i="2"/>
  <c r="Z202" i="2"/>
  <c r="Z115" i="2"/>
  <c r="Z406" i="2"/>
  <c r="Z44" i="2"/>
  <c r="Z172" i="2"/>
  <c r="Z20" i="2"/>
  <c r="Z124" i="2"/>
  <c r="Z135" i="2"/>
  <c r="Z378" i="2"/>
  <c r="Z199" i="2"/>
  <c r="Z310" i="2"/>
  <c r="Z139" i="2"/>
  <c r="Z164" i="2"/>
  <c r="D248" i="2"/>
  <c r="D48" i="2"/>
  <c r="D202" i="2"/>
  <c r="D205" i="2"/>
  <c r="D175" i="2"/>
  <c r="D49" i="2"/>
  <c r="Z334" i="2"/>
  <c r="Z248" i="2"/>
  <c r="Z48" i="2"/>
  <c r="Z75" i="2"/>
  <c r="Z69" i="2"/>
  <c r="Z326" i="2"/>
  <c r="Z129" i="2"/>
  <c r="D109" i="2"/>
  <c r="D110" i="2"/>
  <c r="D311" i="2"/>
  <c r="D208" i="2"/>
  <c r="D379" i="2"/>
  <c r="D414" i="2"/>
  <c r="Z42" i="2"/>
  <c r="Z121" i="2"/>
  <c r="Z132" i="2"/>
  <c r="Z186" i="2"/>
  <c r="Z203" i="2"/>
  <c r="Z189" i="2"/>
  <c r="Z206" i="2"/>
  <c r="Z377" i="2"/>
  <c r="Z90" i="2"/>
  <c r="D179" i="2"/>
  <c r="D206" i="2"/>
  <c r="Z369" i="2"/>
  <c r="Z374" i="2"/>
  <c r="H196" i="2"/>
  <c r="H46" i="2"/>
  <c r="Z174" i="2"/>
  <c r="Z113" i="2"/>
  <c r="D308" i="2"/>
  <c r="D332" i="2"/>
  <c r="Z225" i="2"/>
  <c r="Z309" i="2"/>
  <c r="Z407" i="2"/>
  <c r="Z251" i="2"/>
  <c r="Z11" i="2"/>
  <c r="H277" i="2"/>
  <c r="H407" i="2"/>
  <c r="Z287" i="2"/>
  <c r="Z303" i="2"/>
  <c r="D342" i="2"/>
  <c r="D347" i="2"/>
  <c r="D270" i="2"/>
  <c r="D273" i="2"/>
  <c r="H273" i="2"/>
  <c r="H276" i="2"/>
  <c r="Z210" i="2"/>
  <c r="Z211" i="2"/>
  <c r="Z260" i="2"/>
  <c r="D32" i="2"/>
  <c r="D326" i="2"/>
  <c r="Z258" i="2"/>
  <c r="Z252" i="2"/>
  <c r="Z192" i="2"/>
  <c r="Z311" i="2"/>
  <c r="D275" i="2"/>
  <c r="D278" i="2"/>
  <c r="Z275" i="2"/>
  <c r="Z278" i="2"/>
  <c r="D279" i="2"/>
  <c r="D282" i="2"/>
  <c r="D306" i="2"/>
  <c r="D381" i="2"/>
  <c r="D250" i="2"/>
  <c r="D252" i="2"/>
  <c r="D226" i="2"/>
  <c r="D228" i="2"/>
  <c r="H266" i="2"/>
  <c r="H269" i="2"/>
  <c r="Z314" i="2"/>
  <c r="Z318" i="2"/>
  <c r="Z222" i="2"/>
  <c r="Z266" i="2"/>
  <c r="Z269" i="2"/>
  <c r="Z288" i="2"/>
  <c r="Z301" i="2"/>
  <c r="D58" i="2"/>
  <c r="D193" i="2"/>
  <c r="Z221" i="2"/>
  <c r="Z223" i="2"/>
  <c r="Z179" i="2"/>
  <c r="Z336" i="2"/>
  <c r="Z277" i="2"/>
  <c r="Z308" i="2"/>
  <c r="D288" i="2"/>
  <c r="D301" i="2"/>
  <c r="Z254" i="2"/>
  <c r="Z257" i="2"/>
  <c r="Z204" i="2"/>
  <c r="Z205" i="2"/>
  <c r="Z246" i="2"/>
  <c r="Z249" i="2"/>
  <c r="H271" i="2"/>
  <c r="H274" i="2"/>
  <c r="Z119" i="2"/>
  <c r="Z184" i="2"/>
  <c r="Z66" i="2"/>
  <c r="Z43" i="2"/>
  <c r="Z195" i="2"/>
  <c r="Z188" i="2"/>
  <c r="Z273" i="2"/>
  <c r="Z9" i="2"/>
  <c r="Z93" i="2"/>
  <c r="Z284" i="2"/>
  <c r="Z329" i="2"/>
  <c r="Z194" i="2"/>
  <c r="Z59" i="2"/>
  <c r="Z171" i="2"/>
  <c r="Z187" i="2"/>
  <c r="Z12" i="2"/>
  <c r="Z388" i="2"/>
  <c r="Z282" i="2"/>
  <c r="Z47" i="2"/>
  <c r="Z175" i="2"/>
  <c r="Z330" i="2"/>
  <c r="Z38" i="2"/>
  <c r="Z354" i="2"/>
  <c r="Z245" i="2"/>
  <c r="Z96" i="2"/>
  <c r="Z276" i="2"/>
  <c r="Z125" i="2"/>
  <c r="Z320" i="2"/>
  <c r="Z404" i="2"/>
  <c r="Z45" i="2"/>
  <c r="Z118" i="2"/>
  <c r="Z319" i="2"/>
  <c r="Z170" i="2"/>
  <c r="Z302" i="2"/>
  <c r="Z117" i="2"/>
  <c r="Z177" i="2"/>
  <c r="Z15" i="2"/>
  <c r="Z390" i="2"/>
  <c r="D330" i="2"/>
  <c r="D38" i="2"/>
  <c r="D66" i="2"/>
  <c r="D16" i="2"/>
  <c r="D121" i="2"/>
  <c r="D178" i="2"/>
  <c r="D151" i="2"/>
  <c r="D305" i="2"/>
  <c r="D192" i="2"/>
  <c r="D154" i="2"/>
  <c r="D122" i="2"/>
  <c r="D411" i="2"/>
  <c r="D287" i="2"/>
  <c r="D28" i="2"/>
  <c r="D101" i="2"/>
  <c r="D340" i="2"/>
  <c r="D215" i="2"/>
  <c r="D267" i="2"/>
  <c r="D57" i="2"/>
  <c r="D174" i="2"/>
  <c r="Z367" i="2"/>
  <c r="Z5" i="2"/>
  <c r="Z272" i="2"/>
  <c r="Z7" i="2"/>
  <c r="Z228" i="2"/>
  <c r="Z52" i="2"/>
  <c r="Z87" i="2"/>
  <c r="H359" i="2"/>
  <c r="H270" i="2"/>
  <c r="Z357" i="2"/>
  <c r="Z351" i="2"/>
  <c r="Z234" i="2"/>
  <c r="Z347" i="2"/>
  <c r="Z242" i="2"/>
  <c r="Z343" i="2"/>
  <c r="Z238" i="2"/>
  <c r="Z151" i="2"/>
  <c r="Z305" i="2"/>
  <c r="Z120" i="2"/>
  <c r="Z293" i="2"/>
  <c r="Z289" i="2"/>
  <c r="Z299" i="2"/>
  <c r="D353" i="2"/>
  <c r="D111" i="2"/>
  <c r="D67" i="2"/>
  <c r="D10" i="2"/>
  <c r="D123" i="2"/>
  <c r="D294" i="2"/>
  <c r="D185" i="2"/>
  <c r="D304" i="2"/>
  <c r="D118" i="2"/>
  <c r="D319" i="2"/>
  <c r="D170" i="2"/>
  <c r="D302" i="2"/>
  <c r="D289" i="2"/>
  <c r="D299" i="2"/>
  <c r="D189" i="2"/>
  <c r="D19" i="2"/>
  <c r="D112" i="2"/>
  <c r="D36" i="2"/>
  <c r="D15" i="2"/>
  <c r="D390" i="2"/>
  <c r="Z370" i="2"/>
  <c r="Z104" i="2"/>
  <c r="Z8" i="2"/>
  <c r="Z227" i="2"/>
  <c r="Z46" i="2"/>
  <c r="Z168" i="2"/>
  <c r="Z98" i="2"/>
  <c r="Z270" i="2"/>
  <c r="Z65" i="2"/>
  <c r="Z255" i="2"/>
  <c r="Z111" i="2"/>
  <c r="Z165" i="2"/>
  <c r="Z312" i="2"/>
  <c r="Z400" i="2"/>
  <c r="Z356" i="2"/>
  <c r="Z397" i="2"/>
  <c r="Z350" i="2"/>
  <c r="Z233" i="2"/>
  <c r="Z346" i="2"/>
  <c r="Z241" i="2"/>
  <c r="Z342" i="2"/>
  <c r="Z237" i="2"/>
  <c r="Z401" i="2"/>
  <c r="Z283" i="2"/>
  <c r="Z91" i="2"/>
  <c r="Z83" i="2"/>
  <c r="Z49" i="2"/>
  <c r="Z105" i="2"/>
  <c r="Z67" i="2"/>
  <c r="Z10" i="2"/>
  <c r="Z123" i="2"/>
  <c r="Z294" i="2"/>
  <c r="Z185" i="2"/>
  <c r="Z304" i="2"/>
  <c r="Z14" i="2"/>
  <c r="Z108" i="2"/>
  <c r="Z112" i="2"/>
  <c r="Z36" i="2"/>
  <c r="Z214" i="2"/>
  <c r="Z247" i="2"/>
  <c r="Z95" i="2"/>
  <c r="Z34" i="2"/>
  <c r="D9" i="2"/>
  <c r="D272" i="2"/>
  <c r="D79" i="2"/>
  <c r="D29" i="2"/>
  <c r="D124" i="2"/>
  <c r="D65" i="2"/>
  <c r="D187" i="2"/>
  <c r="D12" i="2"/>
  <c r="D120" i="2"/>
  <c r="D293" i="2"/>
  <c r="D186" i="2"/>
  <c r="D180" i="2"/>
  <c r="D14" i="2"/>
  <c r="D108" i="2"/>
  <c r="D377" i="2"/>
  <c r="D357" i="2"/>
  <c r="Z279" i="2"/>
  <c r="Z158" i="2"/>
  <c r="Z102" i="2"/>
  <c r="Z328" i="2"/>
  <c r="H55" i="2"/>
  <c r="H195" i="2"/>
  <c r="Z306" i="2"/>
  <c r="Z253" i="2"/>
  <c r="Z355" i="2"/>
  <c r="Z173" i="2"/>
  <c r="Z337" i="2"/>
  <c r="Z196" i="2"/>
  <c r="Z339" i="2"/>
  <c r="Z230" i="2"/>
  <c r="Z349" i="2"/>
  <c r="Z232" i="2"/>
  <c r="Z345" i="2"/>
  <c r="Z240" i="2"/>
  <c r="Z341" i="2"/>
  <c r="Z236" i="2"/>
  <c r="Z79" i="2"/>
  <c r="Z29" i="2"/>
  <c r="Z122" i="2"/>
  <c r="Z411" i="2"/>
  <c r="Z140" i="2"/>
  <c r="Z181" i="2"/>
  <c r="Z215" i="2"/>
  <c r="Z267" i="2"/>
  <c r="Z26" i="2"/>
  <c r="Z224" i="2"/>
  <c r="D354" i="2"/>
  <c r="D245" i="2"/>
  <c r="D96" i="2"/>
  <c r="D276" i="2"/>
  <c r="D125" i="2"/>
  <c r="D320" i="2"/>
  <c r="D188" i="2"/>
  <c r="D291" i="2"/>
  <c r="D119" i="2"/>
  <c r="D76" i="2"/>
  <c r="D184" i="2"/>
  <c r="D56" i="2"/>
  <c r="D378" i="2"/>
  <c r="D91" i="2"/>
  <c r="D310" i="2"/>
  <c r="D8" i="2"/>
  <c r="D214" i="2"/>
  <c r="D247" i="2"/>
  <c r="D26" i="2"/>
  <c r="D224" i="2"/>
  <c r="Z274" i="2"/>
  <c r="Z89" i="2"/>
  <c r="Z116" i="2"/>
  <c r="Z213" i="2"/>
  <c r="H54" i="2"/>
  <c r="H263" i="2"/>
  <c r="Z32" i="2"/>
  <c r="Z265" i="2"/>
  <c r="Z201" i="2"/>
  <c r="Z82" i="2"/>
  <c r="Z243" i="2"/>
  <c r="Z352" i="2"/>
  <c r="Z41" i="2"/>
  <c r="Z338" i="2"/>
  <c r="Z35" i="2"/>
  <c r="Z335" i="2"/>
  <c r="Z190" i="2"/>
  <c r="Z348" i="2"/>
  <c r="Z231" i="2"/>
  <c r="Z344" i="2"/>
  <c r="Z239" i="2"/>
  <c r="Z340" i="2"/>
  <c r="Z235" i="2"/>
  <c r="Z23" i="2"/>
  <c r="Z76" i="2"/>
  <c r="Z322" i="2"/>
  <c r="Z50" i="2"/>
  <c r="Z4" i="2"/>
  <c r="Z291" i="2"/>
  <c r="Z86" i="2"/>
  <c r="Z159" i="2"/>
  <c r="Z80" i="2"/>
  <c r="Z109" i="2"/>
  <c r="H321" i="2"/>
  <c r="H179" i="2"/>
  <c r="Z56" i="2"/>
  <c r="Z78" i="2"/>
  <c r="Z414" i="2"/>
  <c r="Z31" i="2"/>
  <c r="Z84" i="2"/>
  <c r="Z180" i="2"/>
  <c r="Z51" i="2"/>
  <c r="Z146" i="2"/>
  <c r="H80" i="2"/>
  <c r="H109" i="2"/>
  <c r="Z17" i="2"/>
  <c r="Z85" i="2"/>
  <c r="Z153" i="2"/>
  <c r="Z169" i="2"/>
  <c r="Z100" i="2"/>
  <c r="H309" i="2"/>
  <c r="H381" i="2"/>
  <c r="Z143" i="2"/>
  <c r="Z25" i="2"/>
  <c r="H98" i="2"/>
  <c r="H383" i="2"/>
  <c r="Z292" i="2"/>
  <c r="Z28" i="2"/>
  <c r="Z327" i="2"/>
  <c r="Z18" i="2"/>
  <c r="Z16" i="2"/>
  <c r="Z220" i="2"/>
  <c r="Z163" i="2"/>
  <c r="Z208" i="2"/>
  <c r="Z358" i="2"/>
  <c r="Z97" i="2"/>
  <c r="Z360" i="2"/>
  <c r="Z321" i="2"/>
  <c r="Z61" i="2"/>
  <c r="H358" i="2"/>
  <c r="H291" i="2"/>
  <c r="Z92" i="2"/>
  <c r="Z21" i="2"/>
  <c r="Z198" i="2"/>
  <c r="Z178" i="2"/>
  <c r="Z323" i="2"/>
  <c r="Z372" i="2"/>
  <c r="Z383" i="2"/>
  <c r="Z161" i="2"/>
  <c r="Z142" i="2"/>
  <c r="Z148" i="2"/>
  <c r="Z88" i="2"/>
  <c r="Z54" i="2"/>
  <c r="Z55" i="2"/>
  <c r="Z382" i="2"/>
  <c r="Z373" i="2"/>
  <c r="Z149" i="2"/>
  <c r="Z295" i="2"/>
  <c r="Z209" i="2"/>
  <c r="Z155" i="2"/>
  <c r="Z24" i="2"/>
  <c r="Z145" i="2"/>
  <c r="Z200" i="2"/>
  <c r="H142" i="2"/>
  <c r="H148" i="2"/>
  <c r="Z359" i="2"/>
  <c r="Z114" i="2"/>
  <c r="Z19" i="2"/>
  <c r="Z381" i="2"/>
  <c r="Z27" i="2"/>
  <c r="Z307" i="2"/>
  <c r="Z197" i="2"/>
  <c r="Z30" i="2"/>
  <c r="Z317" i="2"/>
  <c r="Z40" i="2"/>
  <c r="Z207" i="2"/>
  <c r="H145" i="2"/>
  <c r="H200" i="2"/>
  <c r="Z144" i="2"/>
  <c r="Z384" i="2"/>
  <c r="Z77" i="2"/>
  <c r="Z141" i="2"/>
  <c r="Z191" i="2"/>
  <c r="Z167" i="2"/>
  <c r="Z324" i="2"/>
  <c r="Z68" i="2"/>
  <c r="Z154" i="2"/>
  <c r="H360" i="2"/>
  <c r="H198" i="2"/>
</calcChain>
</file>

<file path=xl/sharedStrings.xml><?xml version="1.0" encoding="utf-8"?>
<sst xmlns="http://schemas.openxmlformats.org/spreadsheetml/2006/main" count="12508" uniqueCount="1665">
  <si>
    <t>Part</t>
  </si>
  <si>
    <t>Part type</t>
  </si>
  <si>
    <t>Jaguar PN (S)</t>
  </si>
  <si>
    <t>Price EU euro</t>
  </si>
  <si>
    <t>Stock</t>
  </si>
  <si>
    <t>Functionality</t>
  </si>
  <si>
    <t>Loc</t>
  </si>
  <si>
    <t>LocSide</t>
  </si>
  <si>
    <t>LocVertical</t>
  </si>
  <si>
    <t>LocPos</t>
  </si>
  <si>
    <t>Colour/Trim</t>
  </si>
  <si>
    <t>Jaguar ProdName</t>
  </si>
  <si>
    <t>VINmin</t>
  </si>
  <si>
    <t>VINmax</t>
  </si>
  <si>
    <t>Vendor Part Name</t>
  </si>
  <si>
    <t>Vendor PN</t>
  </si>
  <si>
    <t>PackSize
XS/S/M/L/XL/C</t>
  </si>
  <si>
    <t>Shipping Inc/Exl</t>
  </si>
  <si>
    <t>URL</t>
  </si>
  <si>
    <t>Referrence Document</t>
  </si>
  <si>
    <t>Special Notes</t>
  </si>
  <si>
    <t>Vendor / Donor Car</t>
  </si>
  <si>
    <t>Vendors</t>
  </si>
  <si>
    <t>Stock value</t>
  </si>
  <si>
    <t>ABS Pump</t>
  </si>
  <si>
    <t>Pump</t>
  </si>
  <si>
    <t>MNC5920AC</t>
  </si>
  <si>
    <t>Brakes</t>
  </si>
  <si>
    <t>Engine Bay</t>
  </si>
  <si>
    <t>Front</t>
  </si>
  <si>
    <t>Left</t>
  </si>
  <si>
    <t>NA</t>
  </si>
  <si>
    <t>Black</t>
  </si>
  <si>
    <t>BRAKING SYSTEM/ANTI LOCK BRAKING SYSTEM - Hydraulic control unit - traction control - 9 valve  - 6 pipes</t>
  </si>
  <si>
    <t>http://1drv.ms/1uH8Rm9</t>
  </si>
  <si>
    <t>SH</t>
  </si>
  <si>
    <t>ABS Electronical control module</t>
  </si>
  <si>
    <t>JLM20130</t>
  </si>
  <si>
    <t>BRAKING SYSTEM/ANTI LOCK BRAKING SYSTEM - Electronic control module</t>
  </si>
  <si>
    <t>018107</t>
  </si>
  <si>
    <t xml:space="preserve">Traction control </t>
  </si>
  <si>
    <t>KK</t>
  </si>
  <si>
    <t>ABS Pump Controller</t>
  </si>
  <si>
    <t>Controller</t>
  </si>
  <si>
    <t>LNC2210AD</t>
  </si>
  <si>
    <t>BRAKING SYSTEM/ANTI LOCK BRAKING SYSTEM - Electronic control module - 9 valve  - 6 pipes</t>
  </si>
  <si>
    <t>MNF5920AC</t>
  </si>
  <si>
    <t>included</t>
  </si>
  <si>
    <t>SJ</t>
  </si>
  <si>
    <t>LNF2210AC</t>
  </si>
  <si>
    <t>ABS+TSC</t>
  </si>
  <si>
    <t>ABS Sensor</t>
  </si>
  <si>
    <t>Sensor</t>
  </si>
  <si>
    <t>LJA2226AA</t>
  </si>
  <si>
    <t>Front/Rear</t>
  </si>
  <si>
    <t>Left/Right</t>
  </si>
  <si>
    <t>http://1drv.ms/1AJkrlt</t>
  </si>
  <si>
    <t>http://www.yoyopart.com/oem/6166087/jaguar-lja2226aa.html</t>
  </si>
  <si>
    <t>LNA4134AA</t>
  </si>
  <si>
    <t>Rear</t>
  </si>
  <si>
    <t>Right</t>
  </si>
  <si>
    <t>Chrome</t>
  </si>
  <si>
    <t xml:space="preserve">Antenna Aerial Mast </t>
  </si>
  <si>
    <t>Jaguar X308 XJ8 &amp; XJR 1997 To 2002 
XK8 &amp;XKR 1996 To 2006 
X300 XJ6 XJ12 &amp; XJR 1995 To 1997 
XJ40 XJ6 &amp; XJ12 1994 From Vin 687219 
XJS 1993 To 1996 From Vin 190528</t>
  </si>
  <si>
    <t xml:space="preserve">Jaguar X308 XJ8 &amp; XJR 2002 
XK8 &amp;XKR 2006 
X300 XJ6 XJ12 &amp; XJR 1997 
XJ40 XJ6 &amp; XJ12 -&gt;
XJS 1996 </t>
  </si>
  <si>
    <t xml:space="preserve">Aerial Mast </t>
  </si>
  <si>
    <t>£12.45</t>
  </si>
  <si>
    <t>British Parts</t>
  </si>
  <si>
    <t>ABS Sensor Ring</t>
  </si>
  <si>
    <t xml:space="preserve">MJA1849BE </t>
  </si>
  <si>
    <t>Steel</t>
  </si>
  <si>
    <t>STEERING AND SUSPENSION/WISHBONE AND HUB ASSEMBLY-FRONT - Sensor Rotor - front axle</t>
  </si>
  <si>
    <t>042775</t>
  </si>
  <si>
    <t>http://1drv.ms/1AJf9GF</t>
  </si>
  <si>
    <t>Air Condition / Climate Control - Display backlight</t>
  </si>
  <si>
    <t>Light</t>
  </si>
  <si>
    <t>Interior</t>
  </si>
  <si>
    <t>1euro</t>
  </si>
  <si>
    <t>excluded</t>
  </si>
  <si>
    <t>Air Conditioning Heater auxilary coolant water pump motor</t>
  </si>
  <si>
    <t xml:space="preserve">MJA6710AA </t>
  </si>
  <si>
    <t>Air Conditioning</t>
  </si>
  <si>
    <t>Engine bay</t>
  </si>
  <si>
    <t>Center</t>
  </si>
  <si>
    <t>Bottom</t>
  </si>
  <si>
    <t>Air conditioning water pump</t>
  </si>
  <si>
    <t>A00083</t>
  </si>
  <si>
    <t>A30644</t>
  </si>
  <si>
    <t xml:space="preserve">Air Conditioning Water valve </t>
  </si>
  <si>
    <t xml:space="preserve">MNA6711AC </t>
  </si>
  <si>
    <t>Water valve</t>
  </si>
  <si>
    <t>Airbag</t>
  </si>
  <si>
    <t xml:space="preserve">HNA9670BA </t>
  </si>
  <si>
    <t>£6/£60</t>
  </si>
  <si>
    <t>eBay</t>
  </si>
  <si>
    <t>Airbag Passenger harness connector</t>
  </si>
  <si>
    <t>Connector</t>
  </si>
  <si>
    <t>Alternator Cooling/air Duct  (check VIN Ranges!)</t>
  </si>
  <si>
    <t>Hose / Pipe / Duct</t>
  </si>
  <si>
    <t>LJA1810CA
LJA1810BA
LJB1810AA</t>
  </si>
  <si>
    <t>Air Circulation</t>
  </si>
  <si>
    <t>Exterior</t>
  </si>
  <si>
    <t>Alternator cooling duct</t>
  </si>
  <si>
    <t xml:space="preserve"> Xj8 XJR X308 XK8 XKR 1997</t>
  </si>
  <si>
    <t xml:space="preserve"> Xj8 XJR X308 XK8 XKR 2002</t>
  </si>
  <si>
    <t>£14</t>
  </si>
  <si>
    <t>http://www.ebay.co.uk/itm/161278405423?ssPageName=STRK:MEWNX:IT&amp;_trksid=p3984.m1497.l2649</t>
  </si>
  <si>
    <t>Alternator Cooling/air Duct to Undertray</t>
  </si>
  <si>
    <t>HJA4477AC</t>
  </si>
  <si>
    <t>Low</t>
  </si>
  <si>
    <t>MY1996</t>
  </si>
  <si>
    <t>125euro</t>
  </si>
  <si>
    <t>http://1drv.ms/1yfmRuu</t>
  </si>
  <si>
    <t>Badge - Jaguar</t>
  </si>
  <si>
    <t>Badge</t>
  </si>
  <si>
    <t>HJB5981AB</t>
  </si>
  <si>
    <t>Nameplate (Adhesive) - Jaguar</t>
  </si>
  <si>
    <t>MY2005</t>
  </si>
  <si>
    <t>Badge - XK8</t>
  </si>
  <si>
    <t>HJA5980BA</t>
  </si>
  <si>
    <t>Nameplate (Adhesive) - XK8</t>
  </si>
  <si>
    <t>MY1997</t>
  </si>
  <si>
    <t>HJB5980BB</t>
  </si>
  <si>
    <t>MY2002</t>
  </si>
  <si>
    <t>Badge Hood Bonnet 4.0L</t>
  </si>
  <si>
    <t>HJE5900AA</t>
  </si>
  <si>
    <t>Jaguar Hood Bonnet Badge</t>
  </si>
  <si>
    <t>BADGE-BONNET</t>
  </si>
  <si>
    <t>HJA5903AA</t>
  </si>
  <si>
    <t>Green</t>
  </si>
  <si>
    <t>MY97</t>
  </si>
  <si>
    <t>£43 / 53 €</t>
  </si>
  <si>
    <t>http://1drv.ms/1FNbcCa</t>
  </si>
  <si>
    <t>LT</t>
  </si>
  <si>
    <t>Badge Hood Bonnet 4L</t>
  </si>
  <si>
    <t>HJE5900AA/Pre-98-04</t>
  </si>
  <si>
    <t>Badge Hood Bonnet Supercharged</t>
  </si>
  <si>
    <t>Ged</t>
  </si>
  <si>
    <t>£25 / 32 €</t>
  </si>
  <si>
    <t>Badge Wheel</t>
  </si>
  <si>
    <t>JLM20002</t>
  </si>
  <si>
    <t>Trim</t>
  </si>
  <si>
    <t>Road wheel badge parts</t>
  </si>
  <si>
    <t xml:space="preserve">XJS (V)179737
X300 (V)720125
XJ6 &amp; XJ12 (V)667829 </t>
  </si>
  <si>
    <t>XJS (V)226645
X300 (V)812255
XJ6 &amp; XJ12 (V)708757</t>
  </si>
  <si>
    <t>JAGUAR WHEEL BADGE</t>
  </si>
  <si>
    <t>Belt</t>
  </si>
  <si>
    <t>Engine</t>
  </si>
  <si>
    <t>Bonnet - Struts</t>
  </si>
  <si>
    <t>Struts</t>
  </si>
  <si>
    <t>HJA2500AB</t>
  </si>
  <si>
    <t>Mount</t>
  </si>
  <si>
    <t>STRUT-BONNET</t>
  </si>
  <si>
    <t>Mfg date mm/96 until 04/97?</t>
  </si>
  <si>
    <t>Air conditioning hose</t>
  </si>
  <si>
    <t>Refrigerant hose</t>
  </si>
  <si>
    <t>MJA7310AG</t>
  </si>
  <si>
    <t>AIR CONDITIONING/HEATING/VENTILATION/PIPES AND HOSES - Air conditioning hose</t>
  </si>
  <si>
    <t>Air conditioning pipe</t>
  </si>
  <si>
    <t>Refrigerant pipe</t>
  </si>
  <si>
    <t>MJA7312CA</t>
  </si>
  <si>
    <t>AIR CONDITIONING/HEATING/VENTILATION/PIPES AND HOSES - Air conditioning pipe - Evaporator to compressor</t>
  </si>
  <si>
    <t>Bonnet / Bulkhead - Seal / Insulation</t>
  </si>
  <si>
    <t>Seal / Insulation</t>
  </si>
  <si>
    <t xml:space="preserve">HJA5245AA </t>
  </si>
  <si>
    <t>Air Insulation</t>
  </si>
  <si>
    <t>Left /right</t>
  </si>
  <si>
    <t>Top</t>
  </si>
  <si>
    <t>BODY CLOSURES AND SEALING/BONNET LATCHING MECHANISM AND SEALS 
Bulkhead Seal</t>
  </si>
  <si>
    <t>010098</t>
  </si>
  <si>
    <t>Bonnet Seal / Insulation</t>
  </si>
  <si>
    <t xml:space="preserve">HJA5244AD  </t>
  </si>
  <si>
    <t>Side</t>
  </si>
  <si>
    <t>HJA5981AA</t>
  </si>
  <si>
    <t>Slightly crached</t>
  </si>
  <si>
    <t>JP</t>
  </si>
  <si>
    <t>HJA5247BC</t>
  </si>
  <si>
    <t>BODY CLOSURES AND SEALING/BONNET LATCHING MECHANISM AND SEALS 
Bulkhead Seal RH</t>
  </si>
  <si>
    <t>010097</t>
  </si>
  <si>
    <t>£ 15 / 18 €</t>
  </si>
  <si>
    <t>http://1drv.ms/1ytSVFZ</t>
  </si>
  <si>
    <t>HJA5246BC</t>
  </si>
  <si>
    <t>BODY CLOSURES AND SEALING/BONNET LATCHING MECHANISM AND SEALS 
Bulkhead Seal LH</t>
  </si>
  <si>
    <t>http://1drv.ms/1ytSCLu</t>
  </si>
  <si>
    <t>Exhaust Bracket bush</t>
  </si>
  <si>
    <t>Bush</t>
  </si>
  <si>
    <t>NJA6741BB</t>
  </si>
  <si>
    <t>Bracket bush</t>
  </si>
  <si>
    <t>JLM1829</t>
  </si>
  <si>
    <t>Brake Pads</t>
  </si>
  <si>
    <t>Mfr date 04/97 on ?</t>
  </si>
  <si>
    <t>JLM21220</t>
  </si>
  <si>
    <t>Break Caliber Seal Kit</t>
  </si>
  <si>
    <t>Kit</t>
  </si>
  <si>
    <t>JLM12123</t>
  </si>
  <si>
    <t>CALIPER SEAL KIT-FRONT</t>
  </si>
  <si>
    <t xml:space="preserve">Bumper Chrome </t>
  </si>
  <si>
    <t>$108</t>
  </si>
  <si>
    <t>http://www.ebay.com/itm/Jaguar-XK8-Front-Bumper-CHROME-STRIP-97-98-99-00-/221043118754?pt=Motors_Car_Truck_Parts_Accessories&amp;hash=item33773252a2&amp;vxp=mtr</t>
  </si>
  <si>
    <t>Brake Caliber Carrier</t>
  </si>
  <si>
    <t>Bracket</t>
  </si>
  <si>
    <t>MJD7861AA  (?)</t>
  </si>
  <si>
    <t>BRAKING SYSTEM/BRAKE DISC AND CALIPERS  - Caliper carrier kit</t>
  </si>
  <si>
    <t>031303</t>
  </si>
  <si>
    <t>na</t>
  </si>
  <si>
    <t>http://1drv.ms/1wRdxey</t>
  </si>
  <si>
    <t xml:space="preserve">Bumper Overriders </t>
  </si>
  <si>
    <t xml:space="preserve">Front </t>
  </si>
  <si>
    <t>£18/£50</t>
  </si>
  <si>
    <t>http://www.ebay.co.uk/itm/JAGUAR-XK8-PAIR-OF-BUMPER-OVER-RIDERS-OVERIDER-/291129344242
http://www.ebay.co.uk/itm/JAGUAR-EARLY-XK8-FRONT-BUMPER-OVER-RIDERS-PAIR-DELIVERY-INCLUDED-/171309271365?pt=UK_CarsParts_Vehicles_CarParts_SM&amp;hash=item27e2d40945</t>
  </si>
  <si>
    <t>Bumper Reflector with Body</t>
  </si>
  <si>
    <t>Bulp / Light</t>
  </si>
  <si>
    <t>LJA5024AC</t>
  </si>
  <si>
    <t>Rear/Front</t>
  </si>
  <si>
    <t>Amber</t>
  </si>
  <si>
    <t>http://www.ebay.co.uk/itm/Genuine-Jaguar-Xk8-Rear-Bumper-Reflectors-LJA5024AC-Pair-AWJ-5a-/161173990208?pt=UK_CarsParts_Vehicles_CarParts_SM&amp;fits=Model%3AXK+8&amp;hash=item2586b7eb40
http://www.xjkltd.co.uk/p/jaguar-bumper-reflector-lja5024ac-1061.html</t>
  </si>
  <si>
    <t>jaguxkr@gmail.com</t>
  </si>
  <si>
    <t>Bumper Reflectors and Side Indicators Kit</t>
  </si>
  <si>
    <t>Clear</t>
  </si>
  <si>
    <t>Jaguar XK8 &amp; XKR Clear Side indicators &amp; Reflectors</t>
  </si>
  <si>
    <t>£73.50</t>
  </si>
  <si>
    <t>eBay - Adamesh</t>
  </si>
  <si>
    <t>Brake Caliper to vertical link Bold</t>
  </si>
  <si>
    <t>Bolt / Screw</t>
  </si>
  <si>
    <t>JZB100010</t>
  </si>
  <si>
    <t>Mounting</t>
  </si>
  <si>
    <t xml:space="preserve">STEERING AND SUSPENSION/WISHBONE AND HUB ASSEMBLY-FRONT - Special Bold - Caliper to Vertical link </t>
  </si>
  <si>
    <t>Gasket / Seal / O-Ring</t>
  </si>
  <si>
    <t>AJ87242</t>
  </si>
  <si>
    <t>Engine Oil</t>
  </si>
  <si>
    <t>CAMSHAFT COVER CENTRE SEAL</t>
  </si>
  <si>
    <t>AJ82856</t>
  </si>
  <si>
    <t>CAMSHAFT COVER SEAL-VVT</t>
  </si>
  <si>
    <t>CD Cartridge Magazine (EU)</t>
  </si>
  <si>
    <t>LNC4161AA
C2S14403</t>
  </si>
  <si>
    <t>Audio / In car Entertainment</t>
  </si>
  <si>
    <t>Change Differential</t>
  </si>
  <si>
    <t>Change Fluid Brake</t>
  </si>
  <si>
    <t xml:space="preserve">Change Gearbox </t>
  </si>
  <si>
    <t>Cigar-lighter element-front</t>
  </si>
  <si>
    <t>LJA2730AA</t>
  </si>
  <si>
    <t>Cigar Lighter</t>
  </si>
  <si>
    <t>Crank Shaft Bolt</t>
  </si>
  <si>
    <t>Jaguar Crankshaft Front Damper Bolt</t>
  </si>
  <si>
    <t xml:space="preserve">XK8 4.0 V8 1996
X308 XJ8 3.2 &amp; 4.0 V8 1998 
S Type 4.0 V8
XJ X350 2003 </t>
  </si>
  <si>
    <t>XK8 4.0 V8 2006 
X308 XJ8 3.2 &amp; 4.0 V8 2002 
S Type 4.0 V8 N52047 
XJ X350 Vin G49700</t>
  </si>
  <si>
    <t xml:space="preserve">Crankshaft Bolt </t>
  </si>
  <si>
    <t>AJ89909</t>
  </si>
  <si>
    <t>£7.36</t>
  </si>
  <si>
    <t>AJ89986</t>
  </si>
  <si>
    <t>CYLINDER HEAD BOLT</t>
  </si>
  <si>
    <t>Brake Disk</t>
  </si>
  <si>
    <t>JLM20617 / 
C2C41250</t>
  </si>
  <si>
    <t>BRAKING SYSTEM/BRAKE DISC AND CALIPERS  - Brake Disk - Non cross Drilled</t>
  </si>
  <si>
    <t>http://1drv.ms/1wRdGi4</t>
  </si>
  <si>
    <t>OE Jaguar</t>
  </si>
  <si>
    <t>Bumper Complete (Front Beam, Chrome and overriders + horns and mount brackets)</t>
  </si>
  <si>
    <t>Chrome/Black</t>
  </si>
  <si>
    <t>http://1drv.ms/12UrJYW</t>
  </si>
  <si>
    <t>Bushed differential strut</t>
  </si>
  <si>
    <t>Suspention/rear</t>
  </si>
  <si>
    <t>MJA3713AA</t>
  </si>
  <si>
    <t>Strut</t>
  </si>
  <si>
    <t>STEERING AND SUSPENTION/SUSPENSION WISHBONES AND ARMS-REAR - Bushed differential strut</t>
  </si>
  <si>
    <t>019230</t>
  </si>
  <si>
    <t>Crossbeam mounting bracket</t>
  </si>
  <si>
    <t>MJA2547AA</t>
  </si>
  <si>
    <t>STEERING AND SUSPENTION/CROSSBEAM AND MOUNTINGS - FRONT - Mounting bracket</t>
  </si>
  <si>
    <t>Cruise control vacuum module</t>
  </si>
  <si>
    <t>Speed control</t>
  </si>
  <si>
    <t>LJA1530BB</t>
  </si>
  <si>
    <t>Cruise control</t>
  </si>
  <si>
    <t>AIR AND FUEL DELIVERY SYSTEM/SPEED CONTROL SYSTEM - Speed control eqipment</t>
  </si>
  <si>
    <t>Cruise control vacuum module tank</t>
  </si>
  <si>
    <t>MHF6778AA</t>
  </si>
  <si>
    <t>Door</t>
  </si>
  <si>
    <t>Body panel</t>
  </si>
  <si>
    <t>FJA3028AE</t>
  </si>
  <si>
    <t>Body</t>
  </si>
  <si>
    <t>Blue</t>
  </si>
  <si>
    <t>BODY METAL PANELS AND SEALING/BOLTED BODY PANELS</t>
  </si>
  <si>
    <t>Door - Right</t>
  </si>
  <si>
    <t>Convertible</t>
  </si>
  <si>
    <t>FJA3029AE</t>
  </si>
  <si>
    <t>Door - Left</t>
  </si>
  <si>
    <t>Door handle</t>
  </si>
  <si>
    <t>Exterior handle</t>
  </si>
  <si>
    <t>Handle</t>
  </si>
  <si>
    <t>Interior handle</t>
  </si>
  <si>
    <t>GJA1100BC SDC</t>
  </si>
  <si>
    <t>Warm charcoal</t>
  </si>
  <si>
    <t>BODY CLOSURES AND SEALING/DOOR HANDLES AND LOCKS - Remote control handle</t>
  </si>
  <si>
    <t>DVD XK8 XKR</t>
  </si>
  <si>
    <t>Media</t>
  </si>
  <si>
    <t>JHM1189</t>
  </si>
  <si>
    <t>Information</t>
  </si>
  <si>
    <t>L/R/Center</t>
  </si>
  <si>
    <t>Top/M/Low</t>
  </si>
  <si>
    <t>CD ROM, XK8/XKR | Supplementary Model And Service Info.</t>
  </si>
  <si>
    <t>XK8 - XKR DVD</t>
  </si>
  <si>
    <t>Engine Drive Belt</t>
  </si>
  <si>
    <t>NCA2211AC</t>
  </si>
  <si>
    <t xml:space="preserve">XKR 4.0 1996
XJ8 1997 With Plastic Idler </t>
  </si>
  <si>
    <t>42775
1999 878717</t>
  </si>
  <si>
    <t>BELT</t>
  </si>
  <si>
    <t>NCA2211AC*</t>
  </si>
  <si>
    <t>£20</t>
  </si>
  <si>
    <t>SNG Barratt</t>
  </si>
  <si>
    <t>C2C22758</t>
  </si>
  <si>
    <t xml:space="preserve">XK8 4.0 V8 1996
X308 XJ8 &amp; XJR V8 1997
S Type V8 2002 M45255 </t>
  </si>
  <si>
    <t xml:space="preserve">XK8 2006 
X308 XJ8 &amp; XJR V8 2002
S Type V8 2009 </t>
  </si>
  <si>
    <t xml:space="preserve">Idler Pulley 
</t>
  </si>
  <si>
    <t>£29.99</t>
  </si>
  <si>
    <t>MNC7500AB</t>
  </si>
  <si>
    <t>ENGINE MOUNT</t>
  </si>
  <si>
    <t>Engine Sump Pan Gasket</t>
  </si>
  <si>
    <t>NCA1730AD</t>
  </si>
  <si>
    <t>SUMP PAN GASKET</t>
  </si>
  <si>
    <t>Filter Engine Oil</t>
  </si>
  <si>
    <t>Filter</t>
  </si>
  <si>
    <t>EAZ1354G</t>
  </si>
  <si>
    <t>OIL FILTER</t>
  </si>
  <si>
    <t>Fluid / Oil</t>
  </si>
  <si>
    <t>Filtering</t>
  </si>
  <si>
    <t xml:space="preserve">XK8 / XKR 4.0 V8 1996 
X308 XJ8 XJR 3.2 / 4.0 V8 1997 </t>
  </si>
  <si>
    <t>XK8 / XKR 4.0 V8 2002
X308 XJ8 XJR 3.2 / 4.0 V8 2002</t>
  </si>
  <si>
    <t>FILTER SERVICE KIT</t>
  </si>
  <si>
    <t>ACC8070</t>
  </si>
  <si>
    <t>Fluid Brake</t>
  </si>
  <si>
    <t>SIJ500030</t>
  </si>
  <si>
    <t>Fluid Convertible Top hydraulic Oil</t>
  </si>
  <si>
    <t>JLM21112</t>
  </si>
  <si>
    <t>Hood / Convertible Top</t>
  </si>
  <si>
    <t>Hood Lift Oil</t>
  </si>
  <si>
    <t>Fluid Coolant</t>
  </si>
  <si>
    <t>Engine Cooling</t>
  </si>
  <si>
    <t>Fuel Filter O-Ring</t>
  </si>
  <si>
    <t>Fuel System</t>
  </si>
  <si>
    <t>ESR259</t>
  </si>
  <si>
    <t>CAC89682</t>
  </si>
  <si>
    <t>FUEL FILTER O-RING</t>
  </si>
  <si>
    <t>Fusebox Cover Trunc</t>
  </si>
  <si>
    <t>Cap / Cover / Trim</t>
  </si>
  <si>
    <t>GJA3892AA</t>
  </si>
  <si>
    <t>Cap / Cover</t>
  </si>
  <si>
    <t>Trunc</t>
  </si>
  <si>
    <t>Fusebox Cover Trunc / Fuse guide</t>
  </si>
  <si>
    <t>LJA2870AC</t>
  </si>
  <si>
    <t>Door latch</t>
  </si>
  <si>
    <t>Latch</t>
  </si>
  <si>
    <t>GJA1080FE</t>
  </si>
  <si>
    <t>Locking</t>
  </si>
  <si>
    <t>BODY CLOSURES AND SEALING/DOOR HANDLES AND LOCKS - Door latch - RH</t>
  </si>
  <si>
    <t>NNC6764AB</t>
  </si>
  <si>
    <t>Engine Exchaust</t>
  </si>
  <si>
    <t>GASKET-EXHAUST</t>
  </si>
  <si>
    <t>NCA2907AE</t>
  </si>
  <si>
    <t>GASKET-EXHAUST MANIFOLD</t>
  </si>
  <si>
    <t>NCA2906AE</t>
  </si>
  <si>
    <t>NCA3016BB</t>
  </si>
  <si>
    <t>Engine Inlet</t>
  </si>
  <si>
    <t>GASKET-INLET MANIFOLD</t>
  </si>
  <si>
    <t>EAZ2050</t>
  </si>
  <si>
    <t>GASKET-MANIFOLD DOWNPIPE</t>
  </si>
  <si>
    <t>NCA3015BA</t>
  </si>
  <si>
    <t>GASKET-SEAL</t>
  </si>
  <si>
    <t>NCA3021BA</t>
  </si>
  <si>
    <t>GASKET-THROTTLE BODY</t>
  </si>
  <si>
    <t>NNE3021AC</t>
  </si>
  <si>
    <t>GASKET-THROTTLE BODY ADAPTOR</t>
  </si>
  <si>
    <t>Gear selector release solenoid covel screw (Plastic Torx)</t>
  </si>
  <si>
    <t>CCC5589</t>
  </si>
  <si>
    <t>Gear box / Gear shifter / Gear Selector</t>
  </si>
  <si>
    <t xml:space="preserve"> J-Gate protective plug
Gear shift Interlock Manual override screw-in plug (Drivers Guide)</t>
  </si>
  <si>
    <t>Protective plug</t>
  </si>
  <si>
    <t xml:space="preserve">PLUG-PROTECT </t>
  </si>
  <si>
    <t xml:space="preserve">£3.51 </t>
  </si>
  <si>
    <t>Gearbox (Exchange) - XJ 4.0L</t>
  </si>
  <si>
    <t>Gearbox</t>
  </si>
  <si>
    <t xml:space="preserve">NJB4400ABE </t>
  </si>
  <si>
    <t>Automatic Gearbox</t>
  </si>
  <si>
    <t>Automatic gearbox</t>
  </si>
  <si>
    <t>NNE4400AAE</t>
  </si>
  <si>
    <t>F59525</t>
  </si>
  <si>
    <t>Gearbox (Exchange) - XK8</t>
  </si>
  <si>
    <t>NJA4400AFE</t>
  </si>
  <si>
    <t>009694</t>
  </si>
  <si>
    <t xml:space="preserve">NJA4400AGE </t>
  </si>
  <si>
    <t>009695</t>
  </si>
  <si>
    <t>018108</t>
  </si>
  <si>
    <t>031302</t>
  </si>
  <si>
    <t xml:space="preserve">NNE4400AAE  </t>
  </si>
  <si>
    <t>Gearbox (New) - XJ 4.0L</t>
  </si>
  <si>
    <t>NJB4400ABN</t>
  </si>
  <si>
    <t>NNE4400AAN</t>
  </si>
  <si>
    <t>Gearbox (New) - XK8</t>
  </si>
  <si>
    <t>NJA4400AFN   (Superceded)</t>
  </si>
  <si>
    <t>NJA4400AGN   (Superceded)</t>
  </si>
  <si>
    <t>NJB4400ABN  (Superceded)</t>
  </si>
  <si>
    <t>NNE4400AAN  (Superceded)</t>
  </si>
  <si>
    <t>GEARBOX FILTER</t>
  </si>
  <si>
    <t>JLM20216</t>
  </si>
  <si>
    <t>FILTER-AUTO GEARBOX</t>
  </si>
  <si>
    <t>GEARBOX FILTER O-Ring</t>
  </si>
  <si>
    <t>JLM20217</t>
  </si>
  <si>
    <t>FILTER-AUTO GEARBOX O-RING</t>
  </si>
  <si>
    <t>Door mirror</t>
  </si>
  <si>
    <t>Mirror</t>
  </si>
  <si>
    <t>HJA3403AB</t>
  </si>
  <si>
    <t>Mirrors</t>
  </si>
  <si>
    <t>EXTERIOR FITTINGS AND SUNROOF/DOOR MIRRORS - Door mirror - Less glass/backcover - electrochromatic</t>
  </si>
  <si>
    <t>HJA3403</t>
  </si>
  <si>
    <t>HJA5363BA</t>
  </si>
  <si>
    <t>Seal</t>
  </si>
  <si>
    <t>Convertable</t>
  </si>
  <si>
    <t>HJA5362BA</t>
  </si>
  <si>
    <t>Door waist seal</t>
  </si>
  <si>
    <t>GJA1710AF</t>
  </si>
  <si>
    <t>Outer</t>
  </si>
  <si>
    <t>BODY CLOSURES AND SEALING/DOOR SEALS -Waist seal</t>
  </si>
  <si>
    <t>033152</t>
  </si>
  <si>
    <t>GJA1716AB</t>
  </si>
  <si>
    <t>Inner</t>
  </si>
  <si>
    <t>Glovebox Compartment plastic frame</t>
  </si>
  <si>
    <t>Frame</t>
  </si>
  <si>
    <t>Engine block head</t>
  </si>
  <si>
    <t>Engine cylinder head</t>
  </si>
  <si>
    <t>XR83-6C064-AE</t>
  </si>
  <si>
    <t>Metal</t>
  </si>
  <si>
    <t>ENGINE/CYLINDER HEAD - Cylinder head - with valves</t>
  </si>
  <si>
    <t>Facia vent</t>
  </si>
  <si>
    <t>Vent</t>
  </si>
  <si>
    <t>GJA6720AD</t>
  </si>
  <si>
    <t>Air conditioning</t>
  </si>
  <si>
    <t>Facia</t>
  </si>
  <si>
    <t>INTERIOR TRIMS AND LININGS/FACIA - Facia vent</t>
  </si>
  <si>
    <t>014668</t>
  </si>
  <si>
    <t>GJA6721AD</t>
  </si>
  <si>
    <t>NCC2541BC</t>
  </si>
  <si>
    <t>HEAD GASKET</t>
  </si>
  <si>
    <t>Headlight Washer Cover (RH) or RH Headlamp without washer</t>
  </si>
  <si>
    <t>Flange finisher</t>
  </si>
  <si>
    <t>Door seals</t>
  </si>
  <si>
    <t>HJA1650AD</t>
  </si>
  <si>
    <t>Seals</t>
  </si>
  <si>
    <t>A-post</t>
  </si>
  <si>
    <t>BODY CLOSURES AND SEALINGS/DOOR SEALS - Flange finisher</t>
  </si>
  <si>
    <t>HJA1651AD</t>
  </si>
  <si>
    <t>B-post</t>
  </si>
  <si>
    <t>Footrest</t>
  </si>
  <si>
    <t>GJA9660CC</t>
  </si>
  <si>
    <t>INTERIOR TRIMS AND LININGS/BODY INTERIOR FIXTURES AND FITTINGS - Footrest - Low rest</t>
  </si>
  <si>
    <t>USA / LHD</t>
  </si>
  <si>
    <t>Footrest support plate</t>
  </si>
  <si>
    <t>GJA9668AB</t>
  </si>
  <si>
    <t>INTERIOR TRIMS AND LININGS/BODY INTERIOR FIXTURES AND FITTINGS - Footrest support</t>
  </si>
  <si>
    <t>Footwell duct</t>
  </si>
  <si>
    <t>Duct</t>
  </si>
  <si>
    <t>MJA6906AG</t>
  </si>
  <si>
    <t>AIR CONDITIONING/HEATING/VENTILATION/AIR DISTRIBUTING/DUCKTING - Footwell duct</t>
  </si>
  <si>
    <t>Front bumper cover</t>
  </si>
  <si>
    <t>Exterior finisher</t>
  </si>
  <si>
    <t>HJE6505</t>
  </si>
  <si>
    <t>Cover</t>
  </si>
  <si>
    <t>EXTERIOR FITTINGS AND SUNROOF/FRONT BUMPERS - Cover</t>
  </si>
  <si>
    <t>HJE6504</t>
  </si>
  <si>
    <t>Fusebox</t>
  </si>
  <si>
    <t>18 way Fusebox</t>
  </si>
  <si>
    <t>LJA2800CE</t>
  </si>
  <si>
    <t>Engine bay fusebox</t>
  </si>
  <si>
    <t>ELECTRICAL DISTRIBUTION SYSTEM/FUSEBOXES - Engine bay fusebox</t>
  </si>
  <si>
    <t>Gasket / Gearbox Sump Pan Filter</t>
  </si>
  <si>
    <t>JLM20204</t>
  </si>
  <si>
    <t>FILTER GASKET</t>
  </si>
  <si>
    <t>Gearbox tunnel cover</t>
  </si>
  <si>
    <t>Bodyshell/cover</t>
  </si>
  <si>
    <t>GJB7820AB</t>
  </si>
  <si>
    <t>METAL PANELS AND SEALING/FIXED BODY PANELS - Gearbox tonnel cover</t>
  </si>
  <si>
    <t>automatic</t>
  </si>
  <si>
    <t>Glass guide frame</t>
  </si>
  <si>
    <t>guide rail</t>
  </si>
  <si>
    <t>GJA1015AE</t>
  </si>
  <si>
    <t>Glass</t>
  </si>
  <si>
    <t>BODY CLOSURES AND SEALING/DOOR GLASSES AND FRAMES - guide rail</t>
  </si>
  <si>
    <t>GJA1017AF</t>
  </si>
  <si>
    <t>NCA3951CB</t>
  </si>
  <si>
    <t>HOSE-FULL LOAD BREATHER</t>
  </si>
  <si>
    <t>J-Gate Gear selector "brush" and internal plastic trim</t>
  </si>
  <si>
    <t xml:space="preserve">Switch </t>
  </si>
  <si>
    <t>Key Remote Fob</t>
  </si>
  <si>
    <t>Key / Remote</t>
  </si>
  <si>
    <t>LJA2610AA - US 315MHz (Low)</t>
  </si>
  <si>
    <t>Security</t>
  </si>
  <si>
    <t xml:space="preserve">Key Spare </t>
  </si>
  <si>
    <t>Key Wallet</t>
  </si>
  <si>
    <t>Lambda Sensor (Bosch)</t>
  </si>
  <si>
    <t>LJA1682AE</t>
  </si>
  <si>
    <t>Universal Oxygene Sensor</t>
  </si>
  <si>
    <t>0 258 986 507 
LS07, LSH25C, 0005406217, 0005409517, 226A01B011, KL6118861A, KL6118861A9U</t>
  </si>
  <si>
    <t>http://cgi.ebay.co.uk/ws/eBayISAPI.dll?ViewItem&amp;item=400693365634&amp;ssPageName=ADME:L:OC:GB:3160</t>
  </si>
  <si>
    <t>Lambda Sensor (Jaguar Pair)</t>
  </si>
  <si>
    <t>£30</t>
  </si>
  <si>
    <t>http://www.ebay.co.uk/itm/JAGUAR-XJ8-XK8-XKR-XJR-V8-X308-LAMBDA-SENSOR-96-TO-99-GWO-FAST-DISPATCH-/151289005658?pt=UK_CarsParts_Vehicles_CarParts_SM&amp;hash=item233987065a#shpCntId</t>
  </si>
  <si>
    <t>Lambda Sensor (Jaguar)</t>
  </si>
  <si>
    <t>£27</t>
  </si>
  <si>
    <t>X308</t>
  </si>
  <si>
    <t xml:space="preserve">Light Tail </t>
  </si>
  <si>
    <t xml:space="preserve">LNC4901CB </t>
  </si>
  <si>
    <t>Lamp cluster - chrome bezel - with fog guard -  LH rear</t>
  </si>
  <si>
    <t>http://1drv.ms/11qq8IN</t>
  </si>
  <si>
    <t>LNC4900CB</t>
  </si>
  <si>
    <t>Lamp cluster - chrome bezel - with fog guard -  RH rear</t>
  </si>
  <si>
    <t>GJA1014AF</t>
  </si>
  <si>
    <t>GJA1016AF</t>
  </si>
  <si>
    <t>011494</t>
  </si>
  <si>
    <t>Glass slide clamp</t>
  </si>
  <si>
    <t>GJA2034AA</t>
  </si>
  <si>
    <t>BODY CLOSURES AND SEALING/DOOR GLASSES AND FRAMES - Slide clamp - Front</t>
  </si>
  <si>
    <t>Oil Differential</t>
  </si>
  <si>
    <t>Oil Engine</t>
  </si>
  <si>
    <t xml:space="preserve">Oil Gearbox </t>
  </si>
  <si>
    <t>NCC2142AA</t>
  </si>
  <si>
    <t>OIL SEAL</t>
  </si>
  <si>
    <t>JLM20211</t>
  </si>
  <si>
    <t>JLM20210</t>
  </si>
  <si>
    <t>OIL SEAL / O-RING</t>
  </si>
  <si>
    <t>AJ83698</t>
  </si>
  <si>
    <t>OIL SEAL-CRANKSHAFT</t>
  </si>
  <si>
    <t>AJ83744</t>
  </si>
  <si>
    <t xml:space="preserve">OIL SEAL-CRANKSHAFT </t>
  </si>
  <si>
    <t>KSC145624</t>
  </si>
  <si>
    <t>O-RING TIMING COVER</t>
  </si>
  <si>
    <t>Manual</t>
  </si>
  <si>
    <t>JJM21021440</t>
  </si>
  <si>
    <t>OWNERS HANDBOOK</t>
  </si>
  <si>
    <t>Paint Touch-up Pencil Water Based</t>
  </si>
  <si>
    <t>Paint</t>
  </si>
  <si>
    <t>JLM11464JHF</t>
  </si>
  <si>
    <t>JGY Aquamarine</t>
  </si>
  <si>
    <t>Halfshaft</t>
  </si>
  <si>
    <t>CBC2268</t>
  </si>
  <si>
    <t>Shaft</t>
  </si>
  <si>
    <t>TRANSMISSION AND DRIVELINE/HALFSHAFTS - Halfshaft</t>
  </si>
  <si>
    <t>NCE1746AA</t>
  </si>
  <si>
    <t>PICK UP PIPE O-RING</t>
  </si>
  <si>
    <t>Plenum cover aka Windscreen air intake grille aka Cowl plate</t>
  </si>
  <si>
    <t>EU HJA3833AD
C2N2776 (RHD) C2N2777(LHD) 
HJA3832AG (RHD)
HJA3833AG (LHD)</t>
  </si>
  <si>
    <t>£60 / 100SEK</t>
  </si>
  <si>
    <t>http://www.ebay.co.uk/itm/Jaguar-XK8-XKR-WIPER-SCUTTLE-1996-2003-/171309576013?pt=UK_CarsParts_Vehicles_CarParts_SM&amp;hash=item27e2d8af4d
http://en.bildelsbasen.se/?link=item&amp;searchmode=1&amp;vc1=153&amp;pc1=111&amp;vc[0]=153105101&amp;vcx=2980&amp;pc[0]=111106103&amp;post_id=24071511</t>
  </si>
  <si>
    <t xml:space="preserve">Plenum cover finisher Cap </t>
  </si>
  <si>
    <t>EU HJA3835AA / HJA3835AA</t>
  </si>
  <si>
    <t>Plenum cover rivet screw</t>
  </si>
  <si>
    <t>KRS116140</t>
  </si>
  <si>
    <t>Screw</t>
  </si>
  <si>
    <t>£0.49</t>
  </si>
  <si>
    <t>SNG Barrat</t>
  </si>
  <si>
    <t>Plenum cover screw</t>
  </si>
  <si>
    <t>EU JDA60805C / JDA60804C</t>
  </si>
  <si>
    <t>JDA60804C</t>
  </si>
  <si>
    <t>£0.68</t>
  </si>
  <si>
    <t>Harness body to door</t>
  </si>
  <si>
    <t>Harness</t>
  </si>
  <si>
    <t>JA3190BG (LJA3190BA?)</t>
  </si>
  <si>
    <t>Electrical wires</t>
  </si>
  <si>
    <t>JA3190BG</t>
  </si>
  <si>
    <t>JA3190AG</t>
  </si>
  <si>
    <t>Heater feed hose</t>
  </si>
  <si>
    <t>Hose / Pipe</t>
  </si>
  <si>
    <t>NCA3945CD</t>
  </si>
  <si>
    <t>AIR CONDITIONING/HEATING/VENTILATION/PIPES AND HOSES - Heater pipes feed and return - Heatr feed hose</t>
  </si>
  <si>
    <t>Rearview Mirror - Manual dimm</t>
  </si>
  <si>
    <t xml:space="preserve">EU/US HJA3120AA </t>
  </si>
  <si>
    <t xml:space="preserve">Rearview Mirror - yellow plug 3 wires electrochromatic </t>
  </si>
  <si>
    <t xml:space="preserve">EU/US HJA3121AA  </t>
  </si>
  <si>
    <t xml:space="preserve">Rearview Mirror - yellow plug 4 wires electrochromatic </t>
  </si>
  <si>
    <t>EU/US HJA3121BA</t>
  </si>
  <si>
    <t>Rearview Mirror - yellow plug 6 wires electrochromatic twilight sentinel autoheadlamp</t>
  </si>
  <si>
    <t xml:space="preserve">EU/US HNC3133AB </t>
  </si>
  <si>
    <t xml:space="preserve">Rearview Mirror stem cover </t>
  </si>
  <si>
    <t>Interior trim</t>
  </si>
  <si>
    <t>Heater hose</t>
  </si>
  <si>
    <t xml:space="preserve">Hose / Pipe </t>
  </si>
  <si>
    <t>MJA6728AC</t>
  </si>
  <si>
    <t>AIR CONDITIONING/HEATING/VENTILATION/PIPES AND HOSES - Heater hose</t>
  </si>
  <si>
    <t>High mounted stop lamp</t>
  </si>
  <si>
    <t>LJA5001AC</t>
  </si>
  <si>
    <t>Trunk</t>
  </si>
  <si>
    <t>Red</t>
  </si>
  <si>
    <t>LIGHTINGS - EXTERIOR/INTERIOR/REAR LIGHTS - High mounted stop lamp</t>
  </si>
  <si>
    <t>014328</t>
  </si>
  <si>
    <t>Hood frame</t>
  </si>
  <si>
    <t>HJA8419AB</t>
  </si>
  <si>
    <t>Convertible top</t>
  </si>
  <si>
    <t>BODY CLOSURES AND SEALING/CONVERTABLE HOOD AND SEALS</t>
  </si>
  <si>
    <t xml:space="preserve">Renew </t>
  </si>
  <si>
    <t xml:space="preserve">Repaint Armrest Center </t>
  </si>
  <si>
    <t xml:space="preserve">Repaint Steering Wheel Airback cover </t>
  </si>
  <si>
    <t>Rivet Undertray</t>
  </si>
  <si>
    <t>Clip / Fastener / Fir-tree / Rivet</t>
  </si>
  <si>
    <t>KRA106001</t>
  </si>
  <si>
    <t>£0,68</t>
  </si>
  <si>
    <t>Suspension Link</t>
  </si>
  <si>
    <t>MJA2105AG</t>
  </si>
  <si>
    <t>Suspension</t>
  </si>
  <si>
    <t>ROLL BAR LINK</t>
  </si>
  <si>
    <t>MNA3505AE</t>
  </si>
  <si>
    <t>ROLL BAR LINK-REAR WITH BUSHES</t>
  </si>
  <si>
    <t>HJA8418AB</t>
  </si>
  <si>
    <t>HJA8407AB</t>
  </si>
  <si>
    <t>Hood frame seal</t>
  </si>
  <si>
    <t>http://1drv.ms/1J8OUAi</t>
  </si>
  <si>
    <t>HJA7780BC</t>
  </si>
  <si>
    <t>Seat  - Mechanism cover</t>
  </si>
  <si>
    <t>Cashmere</t>
  </si>
  <si>
    <t>GJB4731AA/SDZ
GJB4731AASDZ</t>
  </si>
  <si>
    <t xml:space="preserve">SEATING/FRONT SEATS, TRIM AND FITTINGS  - Mechanism cover
SEAT HINGE COVER </t>
  </si>
  <si>
    <t>-</t>
  </si>
  <si>
    <t xml:space="preserve">GJB4730AA/SDZ
GJB4730AASDZ </t>
  </si>
  <si>
    <t xml:space="preserve">GJA4731AA/AGD
GJA4731AAAGD </t>
  </si>
  <si>
    <t>Oatmeal</t>
  </si>
  <si>
    <t xml:space="preserve">GJB4731AA/AGD 
GJB4731AAAGD </t>
  </si>
  <si>
    <t>SEATING/FRONT SEATS, TRIM AND FITTINGS  - Sports trim - Mechanism cover</t>
  </si>
  <si>
    <t>GJA4730AA/AGD
GJA4730AAAGD</t>
  </si>
  <si>
    <t>SEATING/FRONT SEATS, TRIM AND FITTINGS  - Mechanism cover</t>
  </si>
  <si>
    <t xml:space="preserve">COVER-MECHAN </t>
  </si>
  <si>
    <t xml:space="preserve">GJB4730AAAGD </t>
  </si>
  <si>
    <t>£44.55</t>
  </si>
  <si>
    <t xml:space="preserve">GJB4730AA/AGD 
GJB4730AAAGD </t>
  </si>
  <si>
    <t>Seat  - Mechanism cover - Coffee</t>
  </si>
  <si>
    <t>Seat  - Mechanism cover - Cream</t>
  </si>
  <si>
    <t>Seat  - Mechanism cover - Ivory</t>
  </si>
  <si>
    <t>Seat  - Mechanism cover - Teal</t>
  </si>
  <si>
    <t>Seat - Mechanism cover - Screw cover</t>
  </si>
  <si>
    <t>Seat - Mechanism cover - Warm Charcoal</t>
  </si>
  <si>
    <t>Seat - Mount Torx</t>
  </si>
  <si>
    <t>BCC9610
JZS100041</t>
  </si>
  <si>
    <t>SCREW-TORX</t>
  </si>
  <si>
    <t>JZS100041</t>
  </si>
  <si>
    <t>£0.46</t>
  </si>
  <si>
    <t>Seat - Mount Washer</t>
  </si>
  <si>
    <t>Washer</t>
  </si>
  <si>
    <t>C21069</t>
  </si>
  <si>
    <t>WASHER</t>
  </si>
  <si>
    <t>£1.01</t>
  </si>
  <si>
    <t>Seat belt webbing retainer</t>
  </si>
  <si>
    <t>GJA 2447AAAGD</t>
  </si>
  <si>
    <t>Middle</t>
  </si>
  <si>
    <t>RETAINER-SEA</t>
  </si>
  <si>
    <t>£10.46</t>
  </si>
  <si>
    <t>BritishParts</t>
  </si>
  <si>
    <t>Seat Cover Plate - Screw Cover</t>
  </si>
  <si>
    <t>GJA4742AA/SDC
GJA4742AASDC</t>
  </si>
  <si>
    <t>Coffee</t>
  </si>
  <si>
    <t>XKs.com</t>
  </si>
  <si>
    <t>Seat Switch</t>
  </si>
  <si>
    <t xml:space="preserve">LJA 6035BA </t>
  </si>
  <si>
    <t>Electrical Switch / Panel</t>
  </si>
  <si>
    <t>£39</t>
  </si>
  <si>
    <t>Seatbelt Front - Topmount plastic cover trim</t>
  </si>
  <si>
    <t>HJA7150AAAGD (superceded)</t>
  </si>
  <si>
    <t>Seatbelt Cap</t>
  </si>
  <si>
    <t xml:space="preserve">HND7150AAAGD </t>
  </si>
  <si>
    <t xml:space="preserve">Seat Belt Cover </t>
  </si>
  <si>
    <t>HND7150AAAGD</t>
  </si>
  <si>
    <t>£10,70</t>
  </si>
  <si>
    <t>BP</t>
  </si>
  <si>
    <t>HJA7150AAAEK  (superceded)</t>
  </si>
  <si>
    <t>Sable</t>
  </si>
  <si>
    <t xml:space="preserve">HND7150AAAEK </t>
  </si>
  <si>
    <t>CAP-SEATBELT</t>
  </si>
  <si>
    <t>£9.74</t>
  </si>
  <si>
    <t>HJA7150AAHDX  (superceded)</t>
  </si>
  <si>
    <t>Teal</t>
  </si>
  <si>
    <t>Speaker Element has NO Product number or identifier printer on it</t>
  </si>
  <si>
    <t xml:space="preserve">HND7150AAHDX  </t>
  </si>
  <si>
    <t>HJA7150AALEG  (superceded)</t>
  </si>
  <si>
    <t>Warm Charcoal</t>
  </si>
  <si>
    <t xml:space="preserve">HND7150AALEG </t>
  </si>
  <si>
    <t>Chain</t>
  </si>
  <si>
    <t>EAZ1286</t>
  </si>
  <si>
    <t>Engine Timing</t>
  </si>
  <si>
    <t>Secondary Timing Chain</t>
  </si>
  <si>
    <t>Signal light bulbs</t>
  </si>
  <si>
    <t>Signal light with body</t>
  </si>
  <si>
    <t>NCA3850DA2</t>
  </si>
  <si>
    <t>Engine ignition</t>
  </si>
  <si>
    <t>SPARK PLUG</t>
  </si>
  <si>
    <t>NCA3850FA</t>
  </si>
  <si>
    <t>NCA3850FA1</t>
  </si>
  <si>
    <t>Spark Plugs</t>
  </si>
  <si>
    <t xml:space="preserve">Speaker Element Subwoofer (Harman-Kardon Premium Audio) </t>
  </si>
  <si>
    <t>Speaker</t>
  </si>
  <si>
    <t>N/A</t>
  </si>
  <si>
    <t xml:space="preserve">Rear </t>
  </si>
  <si>
    <t>Sump Gasket</t>
  </si>
  <si>
    <t>Engine oil</t>
  </si>
  <si>
    <t>Suspension Kit</t>
  </si>
  <si>
    <t>XK8 SUSPENSION KIT</t>
  </si>
  <si>
    <t>XK8KIT1</t>
  </si>
  <si>
    <t>Suspension Spring Assister</t>
  </si>
  <si>
    <t>MJA2150BA</t>
  </si>
  <si>
    <t>Spring Assister</t>
  </si>
  <si>
    <t>00000</t>
  </si>
  <si>
    <t>Assister-SPR</t>
  </si>
  <si>
    <t>http://www.sngbarratt.com/ProductDetails.aspx?id=ed113683-9804-4886-a371-4d0f6fad29be&amp;l=7</t>
  </si>
  <si>
    <t>Suspension Spring Kit (Road Spring)</t>
  </si>
  <si>
    <t>Spring</t>
  </si>
  <si>
    <t>JLM20712</t>
  </si>
  <si>
    <t>Front Coil Spring</t>
  </si>
  <si>
    <t>KIT-ROAD SPR</t>
  </si>
  <si>
    <t>SNG Barrat UK</t>
  </si>
  <si>
    <t>Suspension Spring Packer</t>
  </si>
  <si>
    <t>Shim</t>
  </si>
  <si>
    <t>MJA2162AA</t>
  </si>
  <si>
    <t>Spring Packer</t>
  </si>
  <si>
    <t>Packer-SPR</t>
  </si>
  <si>
    <t>Suspension Spring Pan</t>
  </si>
  <si>
    <t>MJA2166BC</t>
  </si>
  <si>
    <t>Spring Pan</t>
  </si>
  <si>
    <t>024687</t>
  </si>
  <si>
    <t>PAN-SPRING</t>
  </si>
  <si>
    <t>Suspension Spring Upper Mounting Plate</t>
  </si>
  <si>
    <t>MJA2170BD</t>
  </si>
  <si>
    <t>Mounting Spring</t>
  </si>
  <si>
    <t>019632</t>
  </si>
  <si>
    <t>Upper Mounting Plate</t>
  </si>
  <si>
    <t>MJA2170BD*</t>
  </si>
  <si>
    <t>http://www.sngbarratt.com/ProductDetails.aspx?id=05c37186-0377-4cb0-aba3-f609a2637408&amp;l=7</t>
  </si>
  <si>
    <t>HJA7782BC</t>
  </si>
  <si>
    <t>BPK125</t>
  </si>
  <si>
    <t>AJ86484</t>
  </si>
  <si>
    <t>THERMOSTAT</t>
  </si>
  <si>
    <t>AJ82217KIT1A</t>
  </si>
  <si>
    <t>THERMOSTAT KIT-ALUMINIUM</t>
  </si>
  <si>
    <t>EAZ1269</t>
  </si>
  <si>
    <t>TIMING CHAIN</t>
  </si>
  <si>
    <t>Chain guide / Blade</t>
  </si>
  <si>
    <t>NCA1998AB</t>
  </si>
  <si>
    <t>TIMING CHAIN GUIDE</t>
  </si>
  <si>
    <t>Chain tensioner</t>
  </si>
  <si>
    <t>TIMING CHAIN TENSIONER</t>
  </si>
  <si>
    <t>AJ82325</t>
  </si>
  <si>
    <t xml:space="preserve">TIMING CHAIN TENSIONER </t>
  </si>
  <si>
    <t>C2A1497</t>
  </si>
  <si>
    <t xml:space="preserve">Timing Chain Tensioner Blade </t>
  </si>
  <si>
    <t>JFB10607B</t>
  </si>
  <si>
    <t>NCA2127AC</t>
  </si>
  <si>
    <t>Tie rack cover boot rubber gaiter - Kit</t>
  </si>
  <si>
    <t>JLM20683</t>
  </si>
  <si>
    <t>STEERING AND SUSPENSION/POWER STEERING RACK ASSEMBLY - Gaiter - Kit</t>
  </si>
  <si>
    <t>0</t>
  </si>
  <si>
    <t>Steering Rack Gaiter Kit</t>
  </si>
  <si>
    <t xml:space="preserve">Trunk Battery Cover </t>
  </si>
  <si>
    <t>GJA3620AG</t>
  </si>
  <si>
    <t>MY1998</t>
  </si>
  <si>
    <t xml:space="preserve">Trunk Interior Light Access Cover Trim </t>
  </si>
  <si>
    <t>HJA5292AC</t>
  </si>
  <si>
    <t>Cover, Lamp Access</t>
  </si>
  <si>
    <t>HJA5293AC</t>
  </si>
  <si>
    <t>Hood headlining</t>
  </si>
  <si>
    <t>HJA7809AALFJ</t>
  </si>
  <si>
    <t>Nimbus Grey</t>
  </si>
  <si>
    <t>BODY CLOSURES AND SEALING/CONVERTABLE HOOD AND SEALS - Hood headlining</t>
  </si>
  <si>
    <t>Hood headliner</t>
  </si>
  <si>
    <t>HJA7808AALFJ</t>
  </si>
  <si>
    <t>Hood hinge</t>
  </si>
  <si>
    <t>HJA6715AD-L</t>
  </si>
  <si>
    <t>HJA6714AB-R</t>
  </si>
  <si>
    <t>User guides - User Manual Portfolio</t>
  </si>
  <si>
    <t>http://www.ebay.co.uk/itm/Jaguar-document-holder-log-book-hand-book-/201076830782?pt=UK_CarParts_Vehicles_Manuals_Litterature_ET&amp;hash=item2ed11cf23e</t>
  </si>
  <si>
    <t xml:space="preserve">User guides - User Manuals and folder </t>
  </si>
  <si>
    <t>http://www.ebay.co.uk/itm/Jaguar-XK-XK8-Owners-Handbook-Manual-and-Pack-97-02-/301156908953?pt=UK_CarParts_Vehicles_Manuals_Litterature_ET&amp;hash=item461e59bf99</t>
  </si>
  <si>
    <t>WATER PUMP</t>
  </si>
  <si>
    <t>JLM21594</t>
  </si>
  <si>
    <t xml:space="preserve">WATER PUMP-JAGUAR </t>
  </si>
  <si>
    <t>AJ88922</t>
  </si>
  <si>
    <t>WATER PUMP GASKET</t>
  </si>
  <si>
    <t>WATER PUMP OE</t>
  </si>
  <si>
    <t>AJ88912G</t>
  </si>
  <si>
    <t>Waterpump</t>
  </si>
  <si>
    <t>3 pieces per side</t>
  </si>
  <si>
    <t>Bearing</t>
  </si>
  <si>
    <t>MJA1830AE</t>
  </si>
  <si>
    <t>Wheels / Rims</t>
  </si>
  <si>
    <t>4 per side</t>
  </si>
  <si>
    <t>JCR110765</t>
  </si>
  <si>
    <t>1 per side</t>
  </si>
  <si>
    <t>MJA1846AA</t>
  </si>
  <si>
    <t>WHEEL BEARING GREASE THROWER</t>
  </si>
  <si>
    <t>MNC1830AA</t>
  </si>
  <si>
    <t>WHEEL BEARING-FRONT</t>
  </si>
  <si>
    <t>Wheel Bolt Caps</t>
  </si>
  <si>
    <t>JagWorld</t>
  </si>
  <si>
    <t>Hood top vinyl</t>
  </si>
  <si>
    <t>HJA7732BBPDM</t>
  </si>
  <si>
    <t>BODY CLOSURES AND SEALING/CONVERTABLE HOOD AND SEALS - Hood cover</t>
  </si>
  <si>
    <t>Hood cover</t>
  </si>
  <si>
    <t>Mounting bracket</t>
  </si>
  <si>
    <t>MJA2622AA</t>
  </si>
  <si>
    <t>STEERING AND SUSPENTION/SUBFRAME AND MOUNTINGS-REAR - Mounting bracket</t>
  </si>
  <si>
    <t>Number plate lamp finisher</t>
  </si>
  <si>
    <t>JLM20286</t>
  </si>
  <si>
    <t>LIGHTING - EXTERIOR/INTERIOR/AUXILIARY EXTERIOR LIGHTS - Finisher</t>
  </si>
  <si>
    <t>Wheel Spare mount bolt</t>
  </si>
  <si>
    <t>Wheel Spare Space Saver</t>
  </si>
  <si>
    <t>Rim / Wheel</t>
  </si>
  <si>
    <t xml:space="preserve">£29 </t>
  </si>
  <si>
    <t>Wheelarch Liner</t>
  </si>
  <si>
    <t>http://www.ebay.co.uk/itm/JAGUAR-XK8-R-WHEEL-ARCH-LINAR-FRONT-RIGHT-/360915635743?pt=UK_CarsParts_Vehicles_CarParts_SM&amp;hash=item54083f8e1f</t>
  </si>
  <si>
    <t>Wheelarch Liner - Pan head torx screw</t>
  </si>
  <si>
    <t>JZS100005</t>
  </si>
  <si>
    <t>Wheelarch Liner - Plastic push on nut</t>
  </si>
  <si>
    <t>AGU2436J</t>
  </si>
  <si>
    <t xml:space="preserve">NUT-PLASTIC </t>
  </si>
  <si>
    <t>£0.47</t>
  </si>
  <si>
    <t>Wheelarch Liner - Plastic Screw rivet</t>
  </si>
  <si>
    <t>C2S9354020 / 
KRS113230</t>
  </si>
  <si>
    <t>RIVET</t>
  </si>
  <si>
    <t>C2S9354020</t>
  </si>
  <si>
    <t>£0.26</t>
  </si>
  <si>
    <t>Wheelarch Liner Service hole cover Panel</t>
  </si>
  <si>
    <t>HJA4582AD</t>
  </si>
  <si>
    <t xml:space="preserve">Panel,Bulb Access </t>
  </si>
  <si>
    <t>PANEL-H/LMP</t>
  </si>
  <si>
    <t>£13.08</t>
  </si>
  <si>
    <t>HJA4583AD</t>
  </si>
  <si>
    <t>£11.45</t>
  </si>
  <si>
    <t>Wheelarch Liner Service hole cover Panel Clip</t>
  </si>
  <si>
    <t>KTF100003</t>
  </si>
  <si>
    <t xml:space="preserve">Clip AccessPanel </t>
  </si>
  <si>
    <t xml:space="preserve">CLIP-ARROW H </t>
  </si>
  <si>
    <t xml:space="preserve">KTF100003 </t>
  </si>
  <si>
    <t>£1.33</t>
  </si>
  <si>
    <t>Number plate lamp kit</t>
  </si>
  <si>
    <t>JLM20287</t>
  </si>
  <si>
    <t>LIGHTING - EXTERIOR/INTERIOR/AUXILIARY EXTERIOR LIGHTS - Kit</t>
  </si>
  <si>
    <t>GJA8960BB</t>
  </si>
  <si>
    <t>Windshield</t>
  </si>
  <si>
    <t>WIPER BLADE</t>
  </si>
  <si>
    <t>V23136-A1-X20</t>
  </si>
  <si>
    <t xml:space="preserve">WIPER BLADE </t>
  </si>
  <si>
    <t>Can host LJA2870AC</t>
  </si>
  <si>
    <t>GJA8962CB</t>
  </si>
  <si>
    <t>WIPER BLADE-LHD</t>
  </si>
  <si>
    <t>Fits to GJA3892AA</t>
  </si>
  <si>
    <t>GJA8962BB</t>
  </si>
  <si>
    <t>WIPER BLADE-RHD</t>
  </si>
  <si>
    <t>Pendulum</t>
  </si>
  <si>
    <t>CCC2890</t>
  </si>
  <si>
    <t>STEERING AND SUSPENTION/SUSPENSION WISHBONES AND ARMS-REAR - Pendulum</t>
  </si>
  <si>
    <t>0241540</t>
  </si>
  <si>
    <t>Pop-up trunk plunger</t>
  </si>
  <si>
    <t>Plunger</t>
  </si>
  <si>
    <t>GJA3516AA</t>
  </si>
  <si>
    <t>BODY CLOSURES AND SEALING/TRUNK LATHING MECHANISMS AND SEALS</t>
  </si>
  <si>
    <t>Rear upper link</t>
  </si>
  <si>
    <t>CBC2965</t>
  </si>
  <si>
    <t>STEERING AND SUSPENTION/SUBFRAME AND MOUNTINGS-REAR - Link</t>
  </si>
  <si>
    <t>CBC2964</t>
  </si>
  <si>
    <t>Relay 12V 40/30Amp</t>
  </si>
  <si>
    <t>Relay</t>
  </si>
  <si>
    <t>LJA6707AA</t>
  </si>
  <si>
    <t>Trunc Fuxebox</t>
  </si>
  <si>
    <t>ELECTRICAL DISTRIBUTION SYSTEM - RELAYS - Change Over Relay</t>
  </si>
  <si>
    <t>£25 / 30 €</t>
  </si>
  <si>
    <t>http://1drv.ms/1ytTvnd</t>
  </si>
  <si>
    <t>5 Pins</t>
  </si>
  <si>
    <t>Relay 12V 40Amp</t>
  </si>
  <si>
    <t>Engine Bay / Trunc</t>
  </si>
  <si>
    <t>Front / Rear</t>
  </si>
  <si>
    <t>Brown</t>
  </si>
  <si>
    <t>£1 / 1,5 €</t>
  </si>
  <si>
    <t>http://1drv.ms/1ytTzDA</t>
  </si>
  <si>
    <t>4 Pins</t>
  </si>
  <si>
    <t>Relay Cover</t>
  </si>
  <si>
    <t xml:space="preserve">LJA6735AB </t>
  </si>
  <si>
    <t>ELECTRICAL DISTRIBUTION SYSTEM /RELAYS 
Relay Cover</t>
  </si>
  <si>
    <t>042755</t>
  </si>
  <si>
    <t>£ 15 / 18€</t>
  </si>
  <si>
    <t>http://1drv.ms/1ytTCiC</t>
  </si>
  <si>
    <t>Seal carrier</t>
  </si>
  <si>
    <t>Carrier</t>
  </si>
  <si>
    <t>HJA5762AB</t>
  </si>
  <si>
    <t>Body sealing / Rear qarter</t>
  </si>
  <si>
    <t>BODY CLOSURES AND SEALINGS/CONVERTABLE REAR QARTER MECHANISM AND SEAL - Seal carrier</t>
  </si>
  <si>
    <t>Seal retainer</t>
  </si>
  <si>
    <t>HJA7736AA</t>
  </si>
  <si>
    <t>HJA7738AA</t>
  </si>
  <si>
    <t>HJA7740AA</t>
  </si>
  <si>
    <t>HJA7739AA</t>
  </si>
  <si>
    <t>Splitter vane</t>
  </si>
  <si>
    <t>HJA6451BC</t>
  </si>
  <si>
    <t>EXTERIOR FITTINGS AND SUNROOF/FRONT BUMPERS - Splitter vane</t>
  </si>
  <si>
    <t>Steering column</t>
  </si>
  <si>
    <t>HJA9261AE</t>
  </si>
  <si>
    <t>Steering</t>
  </si>
  <si>
    <t>STEERING AND SUSPENTION/STEERING COLOMN -- Steering column</t>
  </si>
  <si>
    <t>025426</t>
  </si>
  <si>
    <t>Powered</t>
  </si>
  <si>
    <t>Steering column mounting bracket</t>
  </si>
  <si>
    <t>Steering / mount</t>
  </si>
  <si>
    <t>HJA9422AA</t>
  </si>
  <si>
    <t>STEERING AND SUSPENTION/STEERING COLOMN -- Steering column mounting bracket</t>
  </si>
  <si>
    <t>Suspention subframe</t>
  </si>
  <si>
    <t>MJA2590BF</t>
  </si>
  <si>
    <t>Frame carrier</t>
  </si>
  <si>
    <t>STEERING AND SUSPENTION/SUBFRAME AND MOUNTINGS-REAR - Suspention subframe</t>
  </si>
  <si>
    <t>005495</t>
  </si>
  <si>
    <t>022240</t>
  </si>
  <si>
    <t>Thermostat housing</t>
  </si>
  <si>
    <t>Housing</t>
  </si>
  <si>
    <t>NCA2247AC</t>
  </si>
  <si>
    <t>Cooling</t>
  </si>
  <si>
    <t>ENGINE COOLING SYSTEM/WATER RAIL AND THERMOSTAT - Thermostat housing</t>
  </si>
  <si>
    <t>Tonneau panel</t>
  </si>
  <si>
    <t xml:space="preserve">FJA1320BE </t>
  </si>
  <si>
    <t>BODY METAL PANELS AND SEALING/FIXED BODY PANELS - Tonneau panel</t>
  </si>
  <si>
    <t>Trunk lid</t>
  </si>
  <si>
    <t>FJB3019BA</t>
  </si>
  <si>
    <t>Trunk lid hinge</t>
  </si>
  <si>
    <t>FJA3027AD</t>
  </si>
  <si>
    <t>Hinge</t>
  </si>
  <si>
    <t>023170</t>
  </si>
  <si>
    <t>FJA3026AD</t>
  </si>
  <si>
    <t xml:space="preserve">Trunk lining mount rivets </t>
  </si>
  <si>
    <t>AGU2530</t>
  </si>
  <si>
    <t>Fastener / Fir-tree / Rivet</t>
  </si>
  <si>
    <t xml:space="preserve">Trunc Lid Liner Push in fastener </t>
  </si>
  <si>
    <t xml:space="preserve">FASTENER-PUS </t>
  </si>
  <si>
    <t>Waist seal</t>
  </si>
  <si>
    <t>Hood seal</t>
  </si>
  <si>
    <t>HJA5748CC</t>
  </si>
  <si>
    <t>BODY CLOSURES AND SEALINGS/CONVERTABLE REAR QARTER MECHANISM AND SEAL - Waist seal - RH rear qarter</t>
  </si>
  <si>
    <t>HJA5749CC</t>
  </si>
  <si>
    <t>BODY CLOSURES AND SEALINGS/CONVERTABLE REAR QARTER MECHANISM AND SEAL - Waist seal - LH rear qarter</t>
  </si>
  <si>
    <t>Wheel Hub</t>
  </si>
  <si>
    <t>MNC1837BA</t>
  </si>
  <si>
    <t>STEERING AND SUSPENSION/WISHBONE AND HUB ASSEMBLY-FRONT - Wheel Hub</t>
  </si>
  <si>
    <t>http://1drv.ms/1AJe4ij</t>
  </si>
  <si>
    <t xml:space="preserve">includes 5x .Wheel Studs JZB100064 </t>
  </si>
  <si>
    <t>Wheel Hub Vertical Link</t>
  </si>
  <si>
    <t xml:space="preserve">MNC1629AA  </t>
  </si>
  <si>
    <t>STEERING AND SUSPENSION/WISHBONE AND HUB ASSEMBLY-FRONT - Vertical Link LH</t>
  </si>
  <si>
    <t>http://1drv.ms/1AJc49E</t>
  </si>
  <si>
    <t>MNC1628AA</t>
  </si>
  <si>
    <t>STEERING AND SUSPENSION/WISHBONE AND HUB ASSEMBLY-FRONT - Vertical Link RH</t>
  </si>
  <si>
    <t>Wing panel</t>
  </si>
  <si>
    <t>FJA1071AE</t>
  </si>
  <si>
    <t>FJA1070AE</t>
  </si>
  <si>
    <t>Wiper mechanism</t>
  </si>
  <si>
    <t>Windscreen wiper mechanism</t>
  </si>
  <si>
    <t>GJA8951AE</t>
  </si>
  <si>
    <t>Wipers / motors</t>
  </si>
  <si>
    <t>WIPER AND WASHERS SYSTEMS/WIPER MOTOR, ARMS AND BLADES - Wiper mechanism</t>
  </si>
  <si>
    <t>Wishbone</t>
  </si>
  <si>
    <t>MMD2960AA</t>
  </si>
  <si>
    <t>STEERING AND SUSPENTION/SUSPENSION WISHBONES AND ARMS-REAR - Wishbone</t>
  </si>
  <si>
    <t>020347</t>
  </si>
  <si>
    <t>MMD2961AA</t>
  </si>
  <si>
    <t>Wishbone fulcrum bolt</t>
  </si>
  <si>
    <t>MMB2860AA</t>
  </si>
  <si>
    <t>STEERING AND SUSPENTION/SUSPENSION WISHBONES AND ARMS-REAR - Wishbone fulcrum bolt</t>
  </si>
  <si>
    <t>Wiper arm cap</t>
  </si>
  <si>
    <t>Exterior trim</t>
  </si>
  <si>
    <t>GJA8966AB</t>
  </si>
  <si>
    <t xml:space="preserve">WIPER AND WASHER SYSTEMS/WIPER MOTOR, ARMS AND BLADES - Wiper arm cap
</t>
  </si>
  <si>
    <t>CAP-WIPER AR</t>
  </si>
  <si>
    <t>http://www.sngbarratt.com/PartSearchResults.aspx?partno=GJA8966AB</t>
  </si>
  <si>
    <t>Tie rack cover boot rubber gaiter</t>
  </si>
  <si>
    <t>Boot Gaiter</t>
  </si>
  <si>
    <t>STEERING AND SUSPENSION/POWER STEERING RACK ASSEMBLY - Gaiter</t>
  </si>
  <si>
    <t>BELLOW STRG RACK</t>
  </si>
  <si>
    <t>SNG</t>
  </si>
  <si>
    <t>Tie rack cover boot rubber gaiter - clip outer</t>
  </si>
  <si>
    <t>JLM20685</t>
  </si>
  <si>
    <t>STEERING AND SUSPENSION/POWER STEERING RACK ASSEMBLY - Gaiter clip small</t>
  </si>
  <si>
    <t>CLIP-GAITER</t>
  </si>
  <si>
    <t>Tie rack cover boot rubber gaiter - clip inner</t>
  </si>
  <si>
    <t>JLM20684</t>
  </si>
  <si>
    <t>STEERING AND SUSPENSION/POWER STEERING RACK ASSEMBLY - Gaiter clip large</t>
  </si>
  <si>
    <t>ACC1269KIT</t>
  </si>
  <si>
    <t>TIMING GEAR SERVICE KIT</t>
  </si>
  <si>
    <t>Wheel Bearing - Inner</t>
  </si>
  <si>
    <t>CAC6332</t>
  </si>
  <si>
    <t>STEERING AND SUSPENSION/HUB AND CARRIER-REAR - Hub bearing inner</t>
  </si>
  <si>
    <t>JLM21053</t>
  </si>
  <si>
    <t>MNC3280AA</t>
  </si>
  <si>
    <t>Wheel Bearing - Nut</t>
  </si>
  <si>
    <t>Nut</t>
  </si>
  <si>
    <t xml:space="preserve">JZN100035  </t>
  </si>
  <si>
    <t>STEERING AND SUSPENSION/HUB AND CARRIER-REAR - Hub Nut</t>
  </si>
  <si>
    <t>Wheel Bearing - Outer</t>
  </si>
  <si>
    <t>CAC6333</t>
  </si>
  <si>
    <t>STEERING AND SUSPENSION/HUB AND CARRIER-REAR - Hub bearing outer rear</t>
  </si>
  <si>
    <t>Wheel Bearing - Shim - 3.905mm</t>
  </si>
  <si>
    <t>MHC3397AA1</t>
  </si>
  <si>
    <t>STEERING AND SUSPENSION/HUB AND CARRIER-REAR - Adjustable spacer</t>
  </si>
  <si>
    <t>SPACER-ADJUS</t>
  </si>
  <si>
    <t>Wheel Bearing - Shim - 3.955mm</t>
  </si>
  <si>
    <t>MHC3397AA2</t>
  </si>
  <si>
    <t>Wheel Bearing - Shim - 4.005mm</t>
  </si>
  <si>
    <t>MHC3397AA3</t>
  </si>
  <si>
    <t>Wheel Bearing - Shim - 4.055mm</t>
  </si>
  <si>
    <t>MHC3397AA4</t>
  </si>
  <si>
    <t>Wheel Bearing - Shim - 4.105mm</t>
  </si>
  <si>
    <t>MHC3397AA5</t>
  </si>
  <si>
    <t>Wheel Bearing - Shim - 4.155mm</t>
  </si>
  <si>
    <t>MHC3397AA6</t>
  </si>
  <si>
    <t>Wheel Bearing - Shim - 4.205mm</t>
  </si>
  <si>
    <t>MHC3397AA7</t>
  </si>
  <si>
    <t>Wheel Bearing - Shim - 4.255mm</t>
  </si>
  <si>
    <t>MHC3397AA8</t>
  </si>
  <si>
    <t>Wheel Bearing - Shim - 4.305mm</t>
  </si>
  <si>
    <t>MHC3397AA9</t>
  </si>
  <si>
    <t>Wheel Bearing - Shim - 4.355mm</t>
  </si>
  <si>
    <t>MHC3397AA10</t>
  </si>
  <si>
    <t>Wheel Bearing - Shim - 4.405mm</t>
  </si>
  <si>
    <t>MHC3397AA11</t>
  </si>
  <si>
    <t>Wheel Bearing - Shim - 4.455mm</t>
  </si>
  <si>
    <t>MHC3397AA12</t>
  </si>
  <si>
    <t>Wheel Bearing - Shim - 5.505mm</t>
  </si>
  <si>
    <t>MHC3397AA13</t>
  </si>
  <si>
    <t>Wheel Bearing - Spacer</t>
  </si>
  <si>
    <t>Spacer</t>
  </si>
  <si>
    <t>CBC8207</t>
  </si>
  <si>
    <t>STEERING AND SUSPENSION/HUB AND CARRIER-REAR - Bearing Spacer</t>
  </si>
  <si>
    <t>Wheel Bearing Kit - Rear</t>
  </si>
  <si>
    <t>JLM1708</t>
  </si>
  <si>
    <t>STEERING AND SUSPENSION/HUB AND CARRIER-REAR - Hub bearing kit</t>
  </si>
  <si>
    <t>BRG SPACER</t>
  </si>
  <si>
    <t xml:space="preserve">Wheel Bearing Seal - Inner </t>
  </si>
  <si>
    <t>CBC1706</t>
  </si>
  <si>
    <t>STEERING AND SUSPENSION/HUB AND CARRIER-REAR - Inner Seal</t>
  </si>
  <si>
    <t>Wheel Bearing Seal - Outer</t>
  </si>
  <si>
    <t>CCC4466</t>
  </si>
  <si>
    <t>STEERING AND SUSPENSION/HUB AND CARRIER-REAR - Outer Seal</t>
  </si>
  <si>
    <t>Model</t>
  </si>
  <si>
    <t>Jaguar XK8 XKR X100</t>
  </si>
  <si>
    <t xml:space="preserve">http://www.ebay.co.uk/itm/Jaguar-XK8-XKR-Jaguar XK8 XKR X100-DRIVERS-SEAT-SWITCH-/321386272636?pt=UK_CarsParts_Vehicles_CarParts_SM&amp;hash=item4ad41d577c </t>
  </si>
  <si>
    <t>http://www.ebay.co.uk/itm/SPACE-SAVER-WHEEL-AND-TYRE-Jaguar-XK8-XKR-1996-2006-Jaguar XK8 XKR X100-/281115864198?fits=Car+Make%3AJaguar</t>
  </si>
  <si>
    <t>+£50 http://www.ebay.co.uk/itm/SPACE-SAVER-WHEEL-AND-TYRE-Jaguar-XK8-XKR-1996-2006-Jaguar XK8 XKR X100-/281115864198?fits=Car+Make%3AJaguar</t>
  </si>
  <si>
    <t>Action(CC=Cp1252)</t>
  </si>
  <si>
    <t>SiteID</t>
  </si>
  <si>
    <t>Format</t>
  </si>
  <si>
    <t>Title</t>
  </si>
  <si>
    <t>Condition</t>
  </si>
  <si>
    <t>ConditionDescription</t>
  </si>
  <si>
    <t>SubTitle</t>
  </si>
  <si>
    <t>Custom Label</t>
  </si>
  <si>
    <t>Category</t>
  </si>
  <si>
    <t>Category2</t>
  </si>
  <si>
    <t>StoreCategory</t>
  </si>
  <si>
    <t>StoreCategory2</t>
  </si>
  <si>
    <t>Quantity</t>
  </si>
  <si>
    <t>LotSize</t>
  </si>
  <si>
    <t>Currency</t>
  </si>
  <si>
    <t>StartPrice</t>
  </si>
  <si>
    <t>BuyItNowPrice</t>
  </si>
  <si>
    <t>ReservePrice</t>
  </si>
  <si>
    <t>Duration</t>
  </si>
  <si>
    <t>PrivateAuction</t>
  </si>
  <si>
    <t>Country</t>
  </si>
  <si>
    <t>ProductIDType</t>
  </si>
  <si>
    <t>ProductIDValue</t>
  </si>
  <si>
    <t>Product:ProductReferenceID</t>
  </si>
  <si>
    <t>ItemID</t>
  </si>
  <si>
    <t>Description</t>
  </si>
  <si>
    <t>HitCounter</t>
  </si>
  <si>
    <t>PicURL</t>
  </si>
  <si>
    <t>BoldTitle</t>
  </si>
  <si>
    <t>Featured</t>
  </si>
  <si>
    <t>GalleryType</t>
  </si>
  <si>
    <t>FeaturedFirstDuration</t>
  </si>
  <si>
    <t>Highlight</t>
  </si>
  <si>
    <t>Border</t>
  </si>
  <si>
    <t>HomePageFeatured</t>
  </si>
  <si>
    <t>Subtitle in search resutls</t>
  </si>
  <si>
    <t>GiftIcon</t>
  </si>
  <si>
    <t>GiftServices-1</t>
  </si>
  <si>
    <t>GiftServices-2</t>
  </si>
  <si>
    <t>GiftServices-3</t>
  </si>
  <si>
    <t>SalesTaxPercent</t>
  </si>
  <si>
    <t>SalesTaxState</t>
  </si>
  <si>
    <t>ShippingInTax</t>
  </si>
  <si>
    <t>UseTaxTable</t>
  </si>
  <si>
    <t>PostalCode</t>
  </si>
  <si>
    <t>ProxyItem</t>
  </si>
  <si>
    <t>VATPercent</t>
  </si>
  <si>
    <t>Location</t>
  </si>
  <si>
    <t>UPC</t>
  </si>
  <si>
    <t>ShippingPolicyId</t>
  </si>
  <si>
    <t>PaymentPolicyId</t>
  </si>
  <si>
    <t>ReturnPolicyId</t>
  </si>
  <si>
    <t>ShippingPolicyName</t>
  </si>
  <si>
    <t>PaymentPolicyName</t>
  </si>
  <si>
    <t>ReturnPolicyName</t>
  </si>
  <si>
    <t>PaymentSeeDescription</t>
  </si>
  <si>
    <t>GlobalShippingService</t>
  </si>
  <si>
    <t>PickupAndDropOffService</t>
  </si>
  <si>
    <t>eBayPlus</t>
  </si>
  <si>
    <t>ShipFromZipCode</t>
  </si>
  <si>
    <t>ShippingIrregular</t>
  </si>
  <si>
    <t>ShippingPackage</t>
  </si>
  <si>
    <t>WeightMajor</t>
  </si>
  <si>
    <t>WeightMinor</t>
  </si>
  <si>
    <t>WeightUnit</t>
  </si>
  <si>
    <t>MeasurementUnit</t>
  </si>
  <si>
    <t>PackageLength</t>
  </si>
  <si>
    <t>PackageWidth</t>
  </si>
  <si>
    <t>PackageDepth</t>
  </si>
  <si>
    <t>CharityID</t>
  </si>
  <si>
    <t>CharityName</t>
  </si>
  <si>
    <t>DonationPercent</t>
  </si>
  <si>
    <t>BasicUpgradePackBundle</t>
  </si>
  <si>
    <t>ValuePackBundle</t>
  </si>
  <si>
    <t>ProPackPlusBundle</t>
  </si>
  <si>
    <t>BestOfferEnabled</t>
  </si>
  <si>
    <t>AutoAccept</t>
  </si>
  <si>
    <t>BestOfferAutoAcceptPrice</t>
  </si>
  <si>
    <t>AutoDecline</t>
  </si>
  <si>
    <t>MinimumBestOfferPrice</t>
  </si>
  <si>
    <t>BestOfferRejectMessage</t>
  </si>
  <si>
    <t>LocalListingDistance</t>
  </si>
  <si>
    <t>BuyerRequirements:ShipToRegCountry</t>
  </si>
  <si>
    <t>BuyerRequirements:ZeroFeedbackScore</t>
  </si>
  <si>
    <t>BuyerRequirements:MinFeedbackScore</t>
  </si>
  <si>
    <t>BuyerRequirements:MaxUnpaidItemsCount</t>
  </si>
  <si>
    <t>BuyerRequirements:MaxUnpaidItemsPeriod</t>
  </si>
  <si>
    <t>BuyerRequirements:MaxItemCount</t>
  </si>
  <si>
    <t>BuyerRequirements:MaxItemMinFeedback</t>
  </si>
  <si>
    <t>BuyerRequirements:LinkedPayPalAccount</t>
  </si>
  <si>
    <t>BuyerRequirements:VerifiedUser</t>
  </si>
  <si>
    <t>BuyerRequirements:VerifiedUserScore</t>
  </si>
  <si>
    <t>BuyerRequirements:MaxViolationCount</t>
  </si>
  <si>
    <t>BuyerRequirements:MaxViolationPeriod</t>
  </si>
  <si>
    <t>SellerDetails:PrimaryPhone</t>
  </si>
  <si>
    <t>SellerDetails:SecondaryPhone</t>
  </si>
  <si>
    <t>ExtSellerDetails:Hours1Days</t>
  </si>
  <si>
    <t>ExtSellerDetails:Hours1AnyTime</t>
  </si>
  <si>
    <t>ExtSellerDetails:Hours1From</t>
  </si>
  <si>
    <t>ExtSellerDetails:Hours1To</t>
  </si>
  <si>
    <t>ExtSellerDetails:Hours2Days</t>
  </si>
  <si>
    <t>ExtSellerDetails:Hours2AnyTime</t>
  </si>
  <si>
    <t>ExtSellerDetails:Hours2From</t>
  </si>
  <si>
    <t>ExtSellerDetails:Hours2To</t>
  </si>
  <si>
    <t>ExtSellerDetails:TimeZoneID</t>
  </si>
  <si>
    <t>ListingDesigner:LayoutID</t>
  </si>
  <si>
    <t>ListingDesigner:ThemeID</t>
  </si>
  <si>
    <t>ShippingDiscountProfileID</t>
  </si>
  <si>
    <t>InternationalShippingDiscountProfileID</t>
  </si>
  <si>
    <t>PromoteCBT</t>
  </si>
  <si>
    <t>CustomLabel</t>
  </si>
  <si>
    <t>ReturnsRestockingFee</t>
  </si>
  <si>
    <t>ExtendedHolidayReturns</t>
  </si>
  <si>
    <t>MarketplaceType</t>
  </si>
  <si>
    <t>ProjectGoodCategory</t>
  </si>
  <si>
    <t>ShortDescription</t>
  </si>
  <si>
    <t>ProducerDescription</t>
  </si>
  <si>
    <t>RegionOfOrigin</t>
  </si>
  <si>
    <t>ProducerPhotoURL</t>
  </si>
  <si>
    <t>C:Brand</t>
  </si>
  <si>
    <t>C:Manufacturer Part Number</t>
  </si>
  <si>
    <t>C:Classic Car Part</t>
  </si>
  <si>
    <t>C:Placement on Vehicle</t>
  </si>
  <si>
    <t>Relationship</t>
  </si>
  <si>
    <t>RelationshipDetails</t>
  </si>
  <si>
    <t>Add</t>
  </si>
  <si>
    <t>UK</t>
  </si>
  <si>
    <t>FixedPriceItem</t>
  </si>
  <si>
    <t>GBP</t>
  </si>
  <si>
    <t>EE</t>
  </si>
  <si>
    <t>BasicStyle</t>
  </si>
  <si>
    <t>None</t>
  </si>
  <si>
    <t>0.00</t>
  </si>
  <si>
    <t>Tallinn</t>
  </si>
  <si>
    <t>Shipping per agreement</t>
  </si>
  <si>
    <t>PayPal:Immediate pay</t>
  </si>
  <si>
    <t>Return Policy</t>
  </si>
  <si>
    <t>Metric</t>
  </si>
  <si>
    <t>0|287377024|</t>
  </si>
  <si>
    <t>Jaguar</t>
  </si>
  <si>
    <t>Yes</t>
  </si>
  <si>
    <t>Normal Used Condition.</t>
  </si>
  <si>
    <t>Exchanged spare</t>
  </si>
  <si>
    <t>Extra spare</t>
  </si>
  <si>
    <t>New</t>
  </si>
  <si>
    <t>Renewal of bearings and brushes needed</t>
  </si>
  <si>
    <t>Extra Spare</t>
  </si>
  <si>
    <t>Jaguar S-Type X200</t>
  </si>
  <si>
    <t>Starter Motor</t>
  </si>
  <si>
    <t>Motor</t>
  </si>
  <si>
    <t>C2C1127</t>
  </si>
  <si>
    <t>Start</t>
  </si>
  <si>
    <t xml:space="preserve">S-TYPE/BATTERY/STARTER MOTOR/ALTERNATOR/STARTER MOTOR </t>
  </si>
  <si>
    <t>M45254</t>
  </si>
  <si>
    <t>XW4U-11000-AC</t>
  </si>
  <si>
    <t>Extra working spare</t>
  </si>
  <si>
    <t>Jaguar X-Type X400</t>
  </si>
  <si>
    <t xml:space="preserve">X-Type/BATTERY/STARTER MOTOR/ALTERNATOR/STARTER MOTOR </t>
  </si>
  <si>
    <t>1X4UAA</t>
  </si>
  <si>
    <t>Tail Light Bulp Panel Right</t>
  </si>
  <si>
    <t>Exterior Lightning</t>
  </si>
  <si>
    <t>Int / Ext / Engine Bay / Trunk</t>
  </si>
  <si>
    <t>Engine Cover V8 4.0</t>
  </si>
  <si>
    <t>Black/Silver</t>
  </si>
  <si>
    <t>NNE3921EB</t>
  </si>
  <si>
    <t>Jaguar XJ8 X308</t>
  </si>
  <si>
    <t>Engine Cover A-Bank RH 4.0 Litre</t>
  </si>
  <si>
    <t>ENGINE/ENGINE Assembly - Engine Cover RH A Bank 4.0 Litre</t>
  </si>
  <si>
    <t>Bare</t>
  </si>
  <si>
    <t>Extra Spare Part</t>
  </si>
  <si>
    <t>NJA6790BC</t>
  </si>
  <si>
    <t>NJA6790CC</t>
  </si>
  <si>
    <t>Middle/Rear</t>
  </si>
  <si>
    <t xml:space="preserve">ENGINE/ENGINE Assembly - Engine Cover engine bay rubber
</t>
  </si>
  <si>
    <t xml:space="preserve">ENGINE/ENGINE Assembly - Engine Cover engine bay cover engine bay fuel pipes rubber
</t>
  </si>
  <si>
    <t xml:space="preserve">Engine Cover engine bay rubber
</t>
  </si>
  <si>
    <t xml:space="preserve">Engine Cover fuel pipes rubber
</t>
  </si>
  <si>
    <t>Engine Cover Mounting Short</t>
  </si>
  <si>
    <t>Engine Cover Mounting Long</t>
  </si>
  <si>
    <t>Jaguar XJ8 XJR X308</t>
  </si>
  <si>
    <t xml:space="preserve">BODY METAL PANELS AND SEALING/FIXED BODY PANELS - Wheelarch liner + Seal / Right </t>
  </si>
  <si>
    <t>HNA4772AD + BCC2478</t>
  </si>
  <si>
    <t>Wheelarch Liner + Seal</t>
  </si>
  <si>
    <t>should fit also X300</t>
  </si>
  <si>
    <t>Positive battery extension cable</t>
  </si>
  <si>
    <t>LJA3692AB</t>
  </si>
  <si>
    <t>Electrical</t>
  </si>
  <si>
    <t>from rear to front</t>
  </si>
  <si>
    <t>right</t>
  </si>
  <si>
    <t>ELECTRICAL DISTRIBUTION SYSTEM/FUSEBOXES - Positive battery extension cable</t>
  </si>
  <si>
    <t>Manifold</t>
  </si>
  <si>
    <t>NCA2901DA</t>
  </si>
  <si>
    <t>Exchanus</t>
  </si>
  <si>
    <t>Enginebay</t>
  </si>
  <si>
    <t>Exhaust Manifold</t>
  </si>
  <si>
    <t>Cast iron</t>
  </si>
  <si>
    <t>ENGINE/INLET AND EXHAUST MANIFOLDS - Exhaust manifold - LH B-bank</t>
  </si>
  <si>
    <t>Exhaust manifold - LH B-bank</t>
  </si>
  <si>
    <t>96JV9431DA C85EA</t>
  </si>
  <si>
    <t>AMP 3488812-1 Rev.11</t>
  </si>
  <si>
    <t>Dismantled from bottom &amp; engine damaged MY1997 XK8 Convertible VIN 0136xx</t>
  </si>
  <si>
    <t>JEPC Part Number LJA3692AC also superceded</t>
  </si>
  <si>
    <t>HJA5363BA HJA5363BC</t>
  </si>
  <si>
    <t>HJA5362BA HJA5362BC</t>
  </si>
  <si>
    <t>HJA7781BC</t>
  </si>
  <si>
    <t>AIR CONDITIONING/HEATING/VENTILATION/EVAPORATOR AND HEATER MATRIX - Heater core and outlet thermistor</t>
  </si>
  <si>
    <t>Heater Core</t>
  </si>
  <si>
    <t>MJA6440AB (including JLM20185 + JLM11949)</t>
  </si>
  <si>
    <t>One aluminic hose bended a bit. Fixable.</t>
  </si>
  <si>
    <t>Window Regulator and Motor</t>
  </si>
  <si>
    <t>Mechanics</t>
  </si>
  <si>
    <t>BODY CLOSURES AND SEALING/CONVERTIBLE REAR QUARTER MECHANISM AND SEAL - Window regulator and motor - RH rear quarter</t>
  </si>
  <si>
    <t>Windows</t>
  </si>
  <si>
    <t>GJA2242AJ</t>
  </si>
  <si>
    <t xml:space="preserve">GJE2242AA
GJE2242AB
GJE2242AC
GJE2242AD
GJE2242AE </t>
  </si>
  <si>
    <t>Window Regulator and Motor -  Convertible</t>
  </si>
  <si>
    <t>Air Conditioning Evaporator Heater Matrix Core</t>
  </si>
  <si>
    <t>Evaporator</t>
  </si>
  <si>
    <t>One lock spring and plastic shim missing. See pictures.</t>
  </si>
  <si>
    <t>HJA7779BC</t>
  </si>
  <si>
    <t>HJA7783BC</t>
  </si>
  <si>
    <t>Hood frame seal Convertible RH Rear</t>
  </si>
  <si>
    <t>Hood frame seal Convertible RH Center</t>
  </si>
  <si>
    <t>Hood frame seal Convertible LH Front</t>
  </si>
  <si>
    <t>Hood frame seal Convertible LH Center</t>
  </si>
  <si>
    <t>Hood frame seal Convertible LH Rear</t>
  </si>
  <si>
    <t>HJA7782BC + 6J311852NRC-MF</t>
  </si>
  <si>
    <t>HJA7779BC HJG7779AA</t>
  </si>
  <si>
    <t>HJA7781BC HJB7781AA</t>
  </si>
  <si>
    <t>LJA4140BA+GJA1246AF</t>
  </si>
  <si>
    <t>IN CAR ENTERTAINMENT/AMPLIFIER/LOUDSPEAKERS - Single cone loudspeaker - Convertible 2+2 - premium sound - 6" + Loudspeaker bracket RH front door</t>
  </si>
  <si>
    <t>Single cone loudspeaker - Convertible 2+2 - premium sound - 6" + Loudspeaker bracket RH front door</t>
  </si>
  <si>
    <t>GJA3612DK</t>
  </si>
  <si>
    <t>Flint</t>
  </si>
  <si>
    <t>INTERIOR TRIM AND LININGS/FLOOR COVERINGS/CARPETS - Trunk side carpet - Flint grey -  Convertible - RH Side - with compact disc player</t>
  </si>
  <si>
    <t>034479</t>
  </si>
  <si>
    <t>Trunk side carpet - Flint grey -  Convertible - RH Side - with compact disc player</t>
  </si>
  <si>
    <t>Carpet Trunk RH side with compact disc player</t>
  </si>
  <si>
    <t>CAC4610</t>
  </si>
  <si>
    <t>Bearing Hub Pivot</t>
  </si>
  <si>
    <t>Left/right</t>
  </si>
  <si>
    <t>STEERING AND SUSPENSION/HUB AND CARRIER-REAR  - Taper roller bearing</t>
  </si>
  <si>
    <t>Hub Pivot Bearing</t>
  </si>
  <si>
    <t>Jaguar XK8 XKR X100 XJ6 X300 XJ8 X308</t>
  </si>
  <si>
    <t>new extra spare</t>
  </si>
  <si>
    <t>Window Glass Door</t>
  </si>
  <si>
    <t>GJA1000BG</t>
  </si>
  <si>
    <t>BODY CLOSURES AND SEALING/DOOR GLASSES AND FRAMES - Door glass and carrier - Convertible - RH</t>
  </si>
  <si>
    <t>AJ88400</t>
  </si>
  <si>
    <t>Engine #9810290000</t>
  </si>
  <si>
    <t>Jaguar XK8 XKR X100 XJ8 XJR X308</t>
  </si>
  <si>
    <t>Gasket Camshaft Cover A-Bank</t>
  </si>
  <si>
    <t>Gasket Camshaft Cover B-Bank</t>
  </si>
  <si>
    <t>AJ88285</t>
  </si>
  <si>
    <t xml:space="preserve">Cam Cover Gasket LH B Bank </t>
  </si>
  <si>
    <t xml:space="preserve">Cam Cover Gasket RH A Bank </t>
  </si>
  <si>
    <t>Camshaft Cover Gasket &amp; Re Seal Kit</t>
  </si>
  <si>
    <t>AJ88285KIT</t>
  </si>
  <si>
    <t>Gasket Kit Camshaft Cover</t>
  </si>
  <si>
    <t>Camshaft Cover Oil Seal For Variable 
Valve Timing Sensor V8 Engines</t>
  </si>
  <si>
    <t>Camshaft Cover Centre Seal</t>
  </si>
  <si>
    <t>Seal Camshaft Cover VVT</t>
  </si>
  <si>
    <t>Seal Camshaft Cover Center</t>
  </si>
  <si>
    <t>X100 4.0L, 2006 - X308 4.0L, 2002</t>
  </si>
  <si>
    <t>X100 4.0L, 1996 - X308 4.0L, 1997</t>
  </si>
  <si>
    <t>X100, 2006 - X308, 2002</t>
  </si>
  <si>
    <t>X100, 1996 - X308, 1997</t>
  </si>
  <si>
    <t>Crankshaft Damper Bolt</t>
  </si>
  <si>
    <t>Crankshaft Oil Seal</t>
  </si>
  <si>
    <t>Seal Spark Plug Boss</t>
  </si>
  <si>
    <t>NCA2578BB</t>
  </si>
  <si>
    <t>Spark Plug Boss Seal</t>
  </si>
  <si>
    <t>XK8 / XKR 4.0 V8 1996 
X308 XJ8 XJR 3.2 / 4.0 V8 1998</t>
  </si>
  <si>
    <t>XK8 / XKR 4.0 V8 2006
X308 XJ8 XJR 3.2 / 4.0 V8 2002</t>
  </si>
  <si>
    <t>Timing Chain Secondary</t>
  </si>
  <si>
    <t>Timing Chain Primary</t>
  </si>
  <si>
    <t>X100-X308 Engine #0108122359</t>
  </si>
  <si>
    <t>X100, 1996 - X308, 1998</t>
  </si>
  <si>
    <t>Timing Chain Guide Rail</t>
  </si>
  <si>
    <t>Timing Chain Kit</t>
  </si>
  <si>
    <t>HTK100</t>
  </si>
  <si>
    <t>Engine No 0108122359</t>
  </si>
  <si>
    <t>BPK141</t>
  </si>
  <si>
    <t>Timing Chain Tensioner Secondary RH A Bank</t>
  </si>
  <si>
    <t>Timing Chain Tensioner Secondary LH B Bank</t>
  </si>
  <si>
    <t>Timing Chain Tensioner Primary</t>
  </si>
  <si>
    <t>Timing Chain Tensioner Bolt M6 x 35mm</t>
  </si>
  <si>
    <t>Timing Chain Tensioner Kit</t>
  </si>
  <si>
    <t>BPC102</t>
  </si>
  <si>
    <t>Timing Chain Tensioner Kit with Bolts</t>
  </si>
  <si>
    <t>Timing Chain Tensioner Bolt M6 x 35mm (shorter)</t>
  </si>
  <si>
    <t>AJ83699</t>
  </si>
  <si>
    <t>Timing Cover Seal Inner</t>
  </si>
  <si>
    <t>Engine timing</t>
  </si>
  <si>
    <t>Timing Cover Seal Outer</t>
  </si>
  <si>
    <t>All Models</t>
  </si>
  <si>
    <t>Timing Cover Seal Kit</t>
  </si>
  <si>
    <t>BPC100</t>
  </si>
  <si>
    <t>Jaguar XK8 X100 XJ8 X308</t>
  </si>
  <si>
    <t>EMC</t>
  </si>
  <si>
    <t xml:space="preserve">XK8 SUSPENSION KIT </t>
  </si>
  <si>
    <t>Timing Chain Service Kit (no Crank Bold)</t>
  </si>
  <si>
    <t>C2A1511</t>
  </si>
  <si>
    <t>C2A1512</t>
  </si>
  <si>
    <t>Blue/Cratched</t>
  </si>
  <si>
    <t>Grey/Primer</t>
  </si>
  <si>
    <t>Needs proper re-primer before paint</t>
  </si>
  <si>
    <t>Cratched, Needs proper re-primer before paint</t>
  </si>
  <si>
    <t>TR</t>
  </si>
  <si>
    <t>BODY METAL PANELS AND SEALING/BOLTED BODY PANELS - Wing panel -LH front</t>
  </si>
  <si>
    <t>BODY METAL PANELS AND SEALING/BOLTED BODY PANELS - Wing panel -RH front</t>
  </si>
  <si>
    <t>Filter Air</t>
  </si>
  <si>
    <t>NJA3558AA</t>
  </si>
  <si>
    <t>Air Filter</t>
  </si>
  <si>
    <t>Seal Gearbox Neutral Switch</t>
  </si>
  <si>
    <t>JDE26439</t>
  </si>
  <si>
    <t>Drive shaft Universal Join</t>
  </si>
  <si>
    <t>JLM1388</t>
  </si>
  <si>
    <t>Universal joint</t>
  </si>
  <si>
    <t>High mounted stop lamp Cover</t>
  </si>
  <si>
    <t>LJA5003AB</t>
  </si>
  <si>
    <t>LIGHTINGS - EXTERIOR/INTERIOR/REAR LIGHTS - High mounted stop lamp Cover</t>
  </si>
  <si>
    <t>DR</t>
  </si>
  <si>
    <t>primer</t>
  </si>
  <si>
    <t>Convertible, primered ready to paint</t>
  </si>
  <si>
    <t>From Front crashed MY1997 VIN 0049xx</t>
  </si>
  <si>
    <t>Convertible, includes nuts. One led not working.</t>
  </si>
  <si>
    <t>IN CAR ENTERTAINMENT/AMPLIFIER/LOUDSPEAKERS - Single cone loudspeaker - Convertible 2+2 - premium sound - 6" + Loudspeaker bracket LH front door</t>
  </si>
  <si>
    <t>Single cone loudspeaker - Convertible 2+2 - premium sound - 6" + Loudspeaker bracket LH front door</t>
  </si>
  <si>
    <t>LJA4140BA+GJA1247AD</t>
  </si>
  <si>
    <t>Anti Roll Bar Link</t>
  </si>
  <si>
    <t>Link</t>
  </si>
  <si>
    <t>XR81693</t>
  </si>
  <si>
    <t>XR81692</t>
  </si>
  <si>
    <t>STEERING AND SUSPENSION/ANTI ROLL BAR - Anti roll bar link - LH rear</t>
  </si>
  <si>
    <t>STEERING AND SUSPENSION/ANTI ROLL BAR - Anti roll bar link - RH rear</t>
  </si>
  <si>
    <t>Any</t>
  </si>
  <si>
    <t>Anti roll bar link RH</t>
  </si>
  <si>
    <t>Anti roll bar link LH</t>
  </si>
  <si>
    <t>C2C18572</t>
  </si>
  <si>
    <t>C2C18571</t>
  </si>
  <si>
    <t>Engine Drive Belt Idler Pulley (kia?)</t>
  </si>
  <si>
    <t>NCA7739AC (NCA7739AE)</t>
  </si>
  <si>
    <t>Belt Tensioner with roller (kia?)</t>
  </si>
  <si>
    <t>Cabin Fresh Air Pollen Filter</t>
  </si>
  <si>
    <t>C2C6884</t>
  </si>
  <si>
    <t>JLM21220 (JLM21918, JLM20257)</t>
  </si>
  <si>
    <t>Brake Pad Kit</t>
  </si>
  <si>
    <t>NCA2515AE</t>
  </si>
  <si>
    <t>NCA2516AE</t>
  </si>
  <si>
    <t>RD</t>
  </si>
  <si>
    <t>Like a new!</t>
  </si>
  <si>
    <t>Radio</t>
  </si>
  <si>
    <t>AJ9850A</t>
  </si>
  <si>
    <t>In Car Entertainment</t>
  </si>
  <si>
    <t>LJB4100BA</t>
  </si>
  <si>
    <t>IN CAR ENTERTAINMENT/RADIO - Radio/cassette player</t>
  </si>
  <si>
    <t>Radio Casette Player Unit</t>
  </si>
  <si>
    <t>M</t>
  </si>
  <si>
    <t>USA model.</t>
  </si>
  <si>
    <t xml:space="preserve">Extra used spare. </t>
  </si>
  <si>
    <t>Radio/Casette Player</t>
  </si>
  <si>
    <t>Jaguar XJR X308 XKR X100</t>
  </si>
  <si>
    <t>Supercharger</t>
  </si>
  <si>
    <t>NCC7701AE</t>
  </si>
  <si>
    <t>Compressor</t>
  </si>
  <si>
    <t>Aluminium</t>
  </si>
  <si>
    <t xml:space="preserve">AIR AND FUEL DELIVERY SYSTEMS/SUPERCHARGER </t>
  </si>
  <si>
    <t>Superscarger</t>
  </si>
  <si>
    <t>Extra renewed spare.</t>
  </si>
  <si>
    <t>Renewed in Finland: all the bearings, seals, coupler and oil. 
Exchange discount for renewalable unit 250euro, contact seller.</t>
  </si>
  <si>
    <t>Engine Supercharger Eaton M112</t>
  </si>
  <si>
    <t xml:space="preserve">NCC7701AE AJ83230  AJ84462  AJ85326 </t>
  </si>
  <si>
    <t>XJR X308-812317 and 
XKR X100-MY1996</t>
  </si>
  <si>
    <t>XJR X308-F59525 and
XKR X100-MY2002</t>
  </si>
  <si>
    <t>*Category</t>
  </si>
  <si>
    <t>*Title</t>
  </si>
  <si>
    <t>Subtitle</t>
  </si>
  <si>
    <t>*ConditionID</t>
  </si>
  <si>
    <t>*C:Brand</t>
  </si>
  <si>
    <t>*C:Manufacturer Part Number</t>
  </si>
  <si>
    <t>C:Custom Bundle</t>
  </si>
  <si>
    <t>C:Bundle Description</t>
  </si>
  <si>
    <t>C:Modified Item</t>
  </si>
  <si>
    <t>C:Modification Description</t>
  </si>
  <si>
    <t>C:Reference OE/OEM Number</t>
  </si>
  <si>
    <t>C:Interchange Part Number</t>
  </si>
  <si>
    <t>C:Other Part Number</t>
  </si>
  <si>
    <t>C:Unit Quantity</t>
  </si>
  <si>
    <t>C:Unit Type</t>
  </si>
  <si>
    <t>C:Country/Region of Manufacture</t>
  </si>
  <si>
    <t>C:Grade</t>
  </si>
  <si>
    <t>C:Mileage</t>
  </si>
  <si>
    <t>C:Vehicle Identification Number (VIN)</t>
  </si>
  <si>
    <t>C:Warranty Period</t>
  </si>
  <si>
    <t>*Description</t>
  </si>
  <si>
    <t>*Format</t>
  </si>
  <si>
    <t>*Duration</t>
  </si>
  <si>
    <t>*StartPrice</t>
  </si>
  <si>
    <t>*Quantity</t>
  </si>
  <si>
    <t>*Location</t>
  </si>
  <si>
    <t>*DispatchTimeMax</t>
  </si>
  <si>
    <t>PromotionalShippingDiscount</t>
  </si>
  <si>
    <t>DomesticRateTable</t>
  </si>
  <si>
    <t>AdditionalDetails</t>
  </si>
  <si>
    <t>ShippingProfileName</t>
  </si>
  <si>
    <t>ReturnProfileName</t>
  </si>
  <si>
    <t>PaymentProfileName</t>
  </si>
  <si>
    <t>United Kingdom</t>
  </si>
  <si>
    <t>FixedPrice</t>
  </si>
  <si>
    <t>GTC</t>
  </si>
  <si>
    <t>eBay Listed</t>
  </si>
  <si>
    <t>Price Euro</t>
  </si>
  <si>
    <t>Price PoundS</t>
  </si>
  <si>
    <t>NNE3920AB</t>
  </si>
  <si>
    <t>*Action(SiteID=UK|Country=FI|Currency=GBP|Version=745|CC=UTF-8)</t>
  </si>
  <si>
    <t>Espoo, 02200</t>
  </si>
  <si>
    <t>Basic payment policy</t>
  </si>
  <si>
    <t>Flat:Other Courier(Free)/Flat:Internationa</t>
  </si>
  <si>
    <t>Throttle Body</t>
  </si>
  <si>
    <t>Engine parts</t>
  </si>
  <si>
    <t>Superseded PNs</t>
  </si>
  <si>
    <t>LJA6703AA</t>
  </si>
  <si>
    <t>superseded by C2P11192
superseded by  T4N15705</t>
  </si>
  <si>
    <t>LNE1560AE</t>
  </si>
  <si>
    <t>AIR AND FUEL DELIVERY SYSTEMS/AIR DELIVERY SYSTEM COMPONENTS - AIR DELIVERY SYSTEM COMPONENTS  - Throttle body</t>
  </si>
  <si>
    <t>XW93-9E926-AE</t>
  </si>
  <si>
    <t>C2A1444</t>
  </si>
  <si>
    <t>X100 VIN 1NA15132</t>
  </si>
  <si>
    <t>X100-A00083</t>
  </si>
  <si>
    <t>X100-A30644</t>
  </si>
  <si>
    <t>BODY CLOSURES AND SEALING/CONVERTABLE HOOD AND SEALS - LH</t>
  </si>
  <si>
    <t>BODY CLOSURES AND SEALING/CONVERTABLE HOOD AND SEALS - RH</t>
  </si>
  <si>
    <t>LJA4900BD-Panel</t>
  </si>
  <si>
    <t>A11050</t>
  </si>
  <si>
    <t>USED CIRCUIT BOARD (BULB HOLDER) FOR EITHER SIDE TAIL LAMP CIRCUITBOARD-XK8EARLY</t>
  </si>
  <si>
    <t>CIRCUITBOARD-XK8EARLY-USED</t>
  </si>
  <si>
    <t>https://www.jagbits.com/product/CIRCUITBOARD-XK8EARLY-USED.html</t>
  </si>
  <si>
    <t>BODY CLOSURES AND SEALING/DOOR SEALS - Door seal - Convertible - LH</t>
  </si>
  <si>
    <t>BODY CLOSURES AND SEALING/DOOR SEALS - Door seal - Convertible - RH</t>
  </si>
  <si>
    <t>Door seal - LH</t>
  </si>
  <si>
    <t>Door seal - RH</t>
  </si>
  <si>
    <t>HJA8226EC</t>
  </si>
  <si>
    <t>Hood Latch Plate</t>
  </si>
  <si>
    <t>BODY CLOSURES AND SEALING/CONVERTIBLE HOOD AND SEALS - Hood Latch Plate Assembly To VIN (024686)</t>
  </si>
  <si>
    <t>HJB8226AA, HJE8226AA, HJE8226AA, HJE8226AB</t>
  </si>
  <si>
    <t>C</t>
  </si>
  <si>
    <t>https://parts.jaguarlandroverclassic.com/hja8226ec-hood-latch-plate.html</t>
  </si>
  <si>
    <t>MY2006</t>
  </si>
  <si>
    <t>Color Blue - One Small Dent</t>
  </si>
  <si>
    <t>LJE4300BB-106</t>
  </si>
  <si>
    <t>Major Instrument Pack</t>
  </si>
  <si>
    <t>Instrumentation</t>
  </si>
  <si>
    <t>Instrumentatiton</t>
  </si>
  <si>
    <t>INFORMATION SYSTEMS AND CONTROLS/SPEEDOMETER/TACHOMETER AND GAUGES - Major instrument pack - Except 4.0 Litre supercharged - KPH - From VIN (A11051)</t>
  </si>
  <si>
    <t>X100 A11051 - X308 F20645</t>
  </si>
  <si>
    <t>X100 A30644 - X308 F59525</t>
  </si>
  <si>
    <t>https://parts.jaguarlandroverclassic.com/lje4300bb-major-instrument-pack.html</t>
  </si>
  <si>
    <t>LJE4300BB00D</t>
  </si>
  <si>
    <t>Speaker Element (Harman-Kardon Premium Audio) + Loudspeaker bracket RH</t>
  </si>
  <si>
    <t>Speaker Element (Harman-Kardon Premium Audio) + Loudspeaker bracket LH</t>
  </si>
  <si>
    <t>https://parts.jaguarlandroverclassic.com/lja4140ba-single-cone-loudspeaker.html
https://parts.jaguarlandroverclassic.com/gja1246af-loudspeaker-bracket.html</t>
  </si>
  <si>
    <t>LJD4140BA</t>
  </si>
  <si>
    <t>LJC3692AA, LJE3692AA (very likely)</t>
  </si>
  <si>
    <t>https://parts.jaguarlandroverclassic.com/lja3692ac-positive-battery-extension-cable.html</t>
  </si>
  <si>
    <t>LJA2120AG-001</t>
  </si>
  <si>
    <t>Door Module</t>
  </si>
  <si>
    <t>LeftRight</t>
  </si>
  <si>
    <t>INFORMATION SYSTEMS AND CONTROLS/INFORMATION SYSTEM CONTROL MODULE - Door Module</t>
  </si>
  <si>
    <t>A21852</t>
  </si>
  <si>
    <t>LJA2120AG/001,LJA2120AF,LJA2120AH,LJA2120AJ</t>
  </si>
  <si>
    <t>JLA2120AJ</t>
  </si>
  <si>
    <t>S</t>
  </si>
  <si>
    <t>https://parts.jaguarlandroverclassic.com/lja2120aj-door-module.html</t>
  </si>
  <si>
    <t>SN#1 A012803, SN#2 A012848</t>
  </si>
  <si>
    <t>Engine Cover</t>
  </si>
  <si>
    <t>ENGINE/ENGINE ASSEMBLY - Engine Cover</t>
  </si>
  <si>
    <t>NJC3921BB-NNE3921BB</t>
  </si>
  <si>
    <t>4.0 L</t>
  </si>
  <si>
    <t>NJA3921AD, NJB3921AA, NNC3921FA, NNE3921FB</t>
  </si>
  <si>
    <t>https://parts.jaguarlandroverclassic.com/njc3921bb-engine-cover.html</t>
  </si>
  <si>
    <t>NJC2921BB</t>
  </si>
  <si>
    <t>X100 031303 - X308 853936</t>
  </si>
  <si>
    <t>Engine Cover - Left - 4.0 L</t>
  </si>
  <si>
    <t>NJA3975AB</t>
  </si>
  <si>
    <t>Damper Cover</t>
  </si>
  <si>
    <t>Damper Cover (aka Shock Top Bolt Plastic Cover)</t>
  </si>
  <si>
    <t>Suspension Bumpstop - Rear</t>
  </si>
  <si>
    <t>MJA3750AB</t>
  </si>
  <si>
    <t>STEERING AND SUSPENSION/SUSPENSION WISHBONES AND ARMS-REAR - Suspension bumpstop - Rear</t>
  </si>
  <si>
    <t>X100 1996 - X308 812317 XJ8 with Sports Suspension</t>
  </si>
  <si>
    <t>X100 2006 - X308 F59525 XJ8 with Sports Suspension</t>
  </si>
  <si>
    <t>https://parts.jaguarlandroverclassic.com/mja3750ab-suspension-bumpstop.html</t>
  </si>
  <si>
    <t>Jaguar XK8 XKR X100 XJ8 X308</t>
  </si>
  <si>
    <t>JLM12032JHH</t>
  </si>
  <si>
    <t>Antigua (Blue)</t>
  </si>
  <si>
    <t>BODY CLOSURES AND SEALING/DOOR HANDLES AND LOCKS Door handle - Chromed flap without lock - Antigua - LHD</t>
  </si>
  <si>
    <t>https://parts.jaguarlandroverclassic.com/jlm12032xxx-door-handle.html</t>
  </si>
  <si>
    <t>X100 MY1996 - X308 812317 - X300 720125</t>
  </si>
  <si>
    <t>X100 MY2006 - X308 F59525 - X300 812255</t>
  </si>
  <si>
    <t>X100 MY1996 - X308 MY1997</t>
  </si>
  <si>
    <t>X100 MY2006 - X308 MY2002</t>
  </si>
  <si>
    <t>Jaguar XK8 XKR X100 XJ8 XJR X308 XJ6</t>
  </si>
  <si>
    <t>STEERING AND SUSPENSION/ANTI ROLL BAR - Anti roll bar link</t>
  </si>
  <si>
    <t>https://parts.jaguarlandroverclassic.com/catalogsearch/result/?q=+MJA2105AE%2C+MJA2105AF%2C+MJA2105AG</t>
  </si>
  <si>
    <t>MJA2105AE, MJA2105AF</t>
  </si>
  <si>
    <t>X100 MY1996 - X308 812317</t>
  </si>
  <si>
    <t>X100 MY2006 - X308 F59525</t>
  </si>
  <si>
    <t>ENGINE COOLING SYSTEM/WATER RAIL AND THERMOSTAT - Thermostat housing cap</t>
  </si>
  <si>
    <t>NCA2270AC</t>
  </si>
  <si>
    <t>https://parts.jaguarlandroverclassic.com/nca2270ac-thermostat-housing-cap.html</t>
  </si>
  <si>
    <t>XS</t>
  </si>
  <si>
    <t>Thermostat housing cap</t>
  </si>
  <si>
    <t>X100 MY1996</t>
  </si>
  <si>
    <t>Circlip - Front Suspension (76.0mm dia bearing)</t>
  </si>
  <si>
    <t>STEERING AND SUSPENSION/WISHBONE AND HUB ASSEMBLY-FRONT - Circlip - Front Suspension (76.0mm dia bearing)</t>
  </si>
  <si>
    <t>X100 031302 - X308 853935</t>
  </si>
  <si>
    <t>X100 A30664 - X308 F59525</t>
  </si>
  <si>
    <t>https://parts.jaguarlandroverclassic.com/nca2603af-cylinder-head.html</t>
  </si>
  <si>
    <t>NCA2603AF-NCA2602AF-Camshaft Mount</t>
  </si>
  <si>
    <t>NCA2603AF-NCA2602AF, NCA2605AB, C2A1014, NCA2604AB, C2A1013</t>
  </si>
  <si>
    <t>Donor Mileage
Kilometers</t>
  </si>
  <si>
    <t>Camshaft Mount and Bolts</t>
  </si>
  <si>
    <t>ENGINE/CYLINDER HEAD - Cylinder head - with valves - Hexagonal head flanged bolt M6 x 35mm (and Camshaft Mount)</t>
  </si>
  <si>
    <t>https://parts.jaguarlandroverclassic.com/hja3403ab-door-mirror.html</t>
  </si>
  <si>
    <t>Door mirror - US</t>
  </si>
  <si>
    <t>X100 MY2006</t>
  </si>
  <si>
    <t>HJB3403AA,  HJD3400AA, HJJ3403AA</t>
  </si>
  <si>
    <t>Mirror glass</t>
  </si>
  <si>
    <t>Includes HNA3056AA (Mirror backcover-Blue) and 
HNA3076AA (Mirror glass-with warning- 1400mm-USA)</t>
  </si>
  <si>
    <t>MNA6264AA+Cap-MNA6266AA</t>
  </si>
  <si>
    <t>STEERING AND SUSPENSION/WHEELS - Locking wheel nut + Cap</t>
  </si>
  <si>
    <t>X100 MY1996 - X308 MY1998</t>
  </si>
  <si>
    <t>FrontRear</t>
  </si>
  <si>
    <t>https://parts.jaguarlandroverclassic.com/jlm21769-locking-wheel-nut.html</t>
  </si>
  <si>
    <t>MNA6264AA</t>
  </si>
  <si>
    <t>Locking wheel nut + Cap -kit</t>
  </si>
  <si>
    <t>CCC7028</t>
  </si>
  <si>
    <t>Domed wheel nut - Standard Shaft</t>
  </si>
  <si>
    <t>STEERING AND SUSPENSION/WHEELS - Domed wheel nut - Standard Shaft</t>
  </si>
  <si>
    <t>X100 MY2006 - X308 All</t>
  </si>
  <si>
    <t>https://parts.jaguarlandroverclassic.com/ccc7028-domed-wheel-nut.html</t>
  </si>
  <si>
    <t>R-Models may have rims needing Long Shaft!</t>
  </si>
  <si>
    <t>Balljoint-Boot</t>
  </si>
  <si>
    <t>Ball joint boot</t>
  </si>
  <si>
    <t>Boot</t>
  </si>
  <si>
    <t>Top(?)</t>
  </si>
  <si>
    <t>Not known if these are for upper or lower ball joints.</t>
  </si>
  <si>
    <t>https://www.motonet.fi/fi/kategoria/887/1002746/Alustan-yleisvaraosat</t>
  </si>
  <si>
    <t>EAZ1954</t>
  </si>
  <si>
    <t>Tappet</t>
  </si>
  <si>
    <t>ENGINE/CAMSHAFTS AND VALVE GEAR - Tappet</t>
  </si>
  <si>
    <t>Valve</t>
  </si>
  <si>
    <t>NCA2543AB, C2S44734</t>
  </si>
  <si>
    <t>https://parts.jaguarlandroverclassic.com/c2s44734-tappet.html</t>
  </si>
  <si>
    <t>Dismantled from MY1997 XK8 Convertible USA VIN 0136xx</t>
  </si>
  <si>
    <t>NCA2542DAx</t>
  </si>
  <si>
    <t>Tappet Adjustment Shim</t>
  </si>
  <si>
    <t>ENGINE/CAMSHAFTS AND VALVE GEAR - Tappet Adjustment Shim</t>
  </si>
  <si>
    <t>Fron</t>
  </si>
  <si>
    <t>X100 031302 - X308 XXX</t>
  </si>
  <si>
    <t>X100 MY1996 - X308 xxx</t>
  </si>
  <si>
    <t>NCE2542AAx,  AJ84884(X?)</t>
  </si>
  <si>
    <t>https://parts.jaguarlandroverclassic.com/nca2542da1-tappet-adjustment-shim.html</t>
  </si>
  <si>
    <t>Need to measure shim thicknesses!!!</t>
  </si>
  <si>
    <t>EXHAUST SYSTEM AND COMPONENTS/EXHAUST SYSTEM - Exhaust mounting rubber - Rear</t>
  </si>
  <si>
    <t>NJA6741BC, C2S10443</t>
  </si>
  <si>
    <t xml:space="preserve">X100 ALL </t>
  </si>
  <si>
    <t>https://parts.jaguarlandroverclassic.com/c2s10443-exhaust-mounting.html</t>
  </si>
  <si>
    <t>GNB3542AB</t>
  </si>
  <si>
    <t>Battery Clamp</t>
  </si>
  <si>
    <t xml:space="preserve">BATTERY/STARTER MOTOR/ALTERNATOR/BATTERY AND FIXINGS </t>
  </si>
  <si>
    <t>GNB3544AC</t>
  </si>
  <si>
    <t>Battery Clamp Bolt</t>
  </si>
  <si>
    <t>Clamp Bolt</t>
  </si>
  <si>
    <t>GNB3544AB/USA</t>
  </si>
  <si>
    <t>013377</t>
  </si>
  <si>
    <t>End</t>
  </si>
  <si>
    <t>Clamp</t>
  </si>
  <si>
    <t>https://parts.jaguarlandroverclassic.com/gnb3544ac-battery-clamp-bolt.html</t>
  </si>
  <si>
    <t>https://parts.jaguarlandroverclassic.com/gnb3542ab-battery-clamp.html</t>
  </si>
  <si>
    <t>JLM20304</t>
  </si>
  <si>
    <t>Switch J-Gate</t>
  </si>
  <si>
    <t>TRANSMISSION AND DRIVELINE/CONTROLS AND LINKAGE-AUTOMATIC GEARBOX</t>
  </si>
  <si>
    <t>Center Console</t>
  </si>
  <si>
    <t>LJA6190AC</t>
  </si>
  <si>
    <t>MNA4979BA</t>
  </si>
  <si>
    <t>Gear change knob - walnut without logo wooden</t>
  </si>
  <si>
    <t>LJA4140AA</t>
  </si>
  <si>
    <t>Single cone loudspeaker premium sound front 2.5" diameter</t>
  </si>
  <si>
    <t>Dashbord to speaker for Premium audio</t>
  </si>
  <si>
    <t>Dashboard</t>
  </si>
  <si>
    <t xml:space="preserve">Speaker Grille Facia - Dashboard </t>
  </si>
  <si>
    <t>GJA6609ACxxx</t>
  </si>
  <si>
    <t>GJA6608ACxxx</t>
  </si>
  <si>
    <t>Dashboard Speaker Grille</t>
  </si>
  <si>
    <t>Sable(?)</t>
  </si>
  <si>
    <t>CCC7029</t>
  </si>
  <si>
    <t>Domed wheel nut - Long Shaft</t>
  </si>
  <si>
    <t>STEERING AND SUSPENSION/WHEELS - Domed wheel nut - Long Shaft</t>
  </si>
  <si>
    <t>https://parts.jaguarlandroverclassic.com/ccc7029-domed-wheel-nut.html</t>
  </si>
  <si>
    <t>LJA6201AD</t>
  </si>
  <si>
    <t>Automatic Gearbox Rotary Switch</t>
  </si>
  <si>
    <t>JCR110805</t>
  </si>
  <si>
    <t>Circlip Front Wheel Bearing 80mm</t>
  </si>
  <si>
    <t>Wheel Bearing 76mm</t>
  </si>
  <si>
    <t>MJA6440AE</t>
  </si>
  <si>
    <t>HXF3131AB</t>
  </si>
  <si>
    <t>At Espoo going to VIN 016998</t>
  </si>
  <si>
    <t>Wheel Speed Sensor</t>
  </si>
  <si>
    <t>XR822753</t>
  </si>
  <si>
    <t>Jaguar Trunk lid badge</t>
  </si>
  <si>
    <t>Emblement</t>
  </si>
  <si>
    <t>HJB5980AB</t>
  </si>
  <si>
    <t>Jaguar Trunk Badge - old</t>
  </si>
  <si>
    <t>XK8 Trunk Badge - new</t>
  </si>
  <si>
    <t>A00063</t>
  </si>
  <si>
    <t>black</t>
  </si>
  <si>
    <t>Label</t>
  </si>
  <si>
    <t>CBC480635</t>
  </si>
  <si>
    <t>Shimm</t>
  </si>
  <si>
    <t>Differential</t>
  </si>
  <si>
    <t>X100 2001 - SAJAA41M91NA151xx</t>
  </si>
  <si>
    <t>Halfshaft spacer 3,5mm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</si>
</sst>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_-* #,##0.00\ [$€-40B]_-;\-* #,##0.00\ [$€-40B]_-;_-* &quot;-&quot;??\ [$€-40B]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1"/>
      <name val="Arial Narrow"/>
      <family val="2"/>
    </font>
    <font>
      <b/>
      <sz val="9"/>
      <color theme="1"/>
      <name val="Calibri"/>
      <family val="2"/>
      <charset val="186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b/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0" xfId="0" quotePrefix="1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164" fontId="0" fillId="0" borderId="0" xfId="1" applyNumberFormat="1" applyFont="1" applyAlignment="1">
      <alignment horizontal="left" vertical="top"/>
    </xf>
    <xf numFmtId="0" fontId="0" fillId="0" borderId="0" xfId="0" quotePrefix="1" applyAlignment="1">
      <alignment horizontal="left" vertical="top" wrapText="1"/>
    </xf>
    <xf numFmtId="17" fontId="0" fillId="0" borderId="0" xfId="0" applyNumberFormat="1" applyAlignment="1">
      <alignment horizontal="left" vertical="top" wrapText="1"/>
    </xf>
    <xf numFmtId="0" fontId="0" fillId="0" borderId="0" xfId="0" quotePrefix="1" applyAlignment="1">
      <alignment horizontal="left" vertical="top"/>
    </xf>
    <xf numFmtId="0" fontId="3" fillId="0" borderId="0" xfId="2" applyAlignment="1">
      <alignment horizontal="left" vertical="top"/>
    </xf>
    <xf numFmtId="0" fontId="3" fillId="0" borderId="0" xfId="2" applyAlignment="1">
      <alignment horizontal="left" vertical="top" wrapText="1"/>
    </xf>
    <xf numFmtId="6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6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11" fillId="3" borderId="0" xfId="0" applyFont="1" applyFill="1" applyAlignment="1">
      <alignment horizontal="left" vertical="top"/>
    </xf>
    <xf numFmtId="2" fontId="11" fillId="3" borderId="0" xfId="0" applyNumberFormat="1" applyFont="1" applyFill="1" applyAlignment="1">
      <alignment horizontal="left" vertical="top"/>
    </xf>
    <xf numFmtId="0" fontId="1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vertical="top"/>
    </xf>
    <xf numFmtId="1" fontId="0" fillId="0" borderId="0" xfId="0" applyNumberForma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3" fillId="0" borderId="0" xfId="2" applyAlignment="1">
      <alignment horizontal="right" vertical="top"/>
    </xf>
    <xf numFmtId="0" fontId="0" fillId="0" borderId="0" xfId="0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center"/>
    </xf>
    <xf numFmtId="6" fontId="0" fillId="0" borderId="0" xfId="0" applyNumberFormat="1" applyAlignment="1">
      <alignment horizontal="right" vertical="top"/>
    </xf>
    <xf numFmtId="6" fontId="9" fillId="0" borderId="0" xfId="0" applyNumberFormat="1" applyFont="1" applyAlignment="1">
      <alignment horizontal="right" vertical="top"/>
    </xf>
    <xf numFmtId="164" fontId="0" fillId="0" borderId="0" xfId="1" applyNumberFormat="1" applyFont="1" applyAlignment="1">
      <alignment horizontal="right" vertical="top"/>
    </xf>
    <xf numFmtId="0" fontId="0" fillId="0" borderId="0" xfId="0" applyAlignment="1">
      <alignment horizontal="right"/>
    </xf>
  </cellXfs>
  <cellStyles count="3">
    <cellStyle name="Currency" xfId="1" builtinId="4"/>
    <cellStyle name="Hyperlink" xfId="2" builtinId="8"/>
    <cellStyle name="Normal" xfId="0" builtinId="0"/>
  </cellStyles>
  <dxfs count="33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righ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419951-9E83-45BA-850C-3990A9C24BA5}" name="Parts" displayName="Parts" ref="A1:AE442" totalsRowShown="0" headerRowDxfId="32" dataDxfId="31">
  <autoFilter ref="A1:AE442" xr:uid="{6A419951-9E83-45BA-850C-3990A9C24BA5}"/>
  <sortState xmlns:xlrd2="http://schemas.microsoft.com/office/spreadsheetml/2017/richdata2" ref="A2:AE431">
    <sortCondition ref="A1:A431"/>
  </sortState>
  <tableColumns count="31">
    <tableColumn id="4" xr3:uid="{48C358AB-B8AC-4F9F-9141-16A5681C58A8}" name="Jaguar PN (S)" dataDxfId="30"/>
    <tableColumn id="1" xr3:uid="{F1B96519-8D65-4174-B4B4-F06298EF76A1}" name="Model" dataDxfId="29"/>
    <tableColumn id="2" xr3:uid="{24FDC1B1-7C7D-463D-B0AB-40146226BCF6}" name="Part" dataDxfId="28"/>
    <tableColumn id="7" xr3:uid="{32CE84D5-728F-4761-B9ED-46A5C92FAB2D}" name="Stock" dataDxfId="27"/>
    <tableColumn id="15" xr3:uid="{9605317A-2857-4F8F-B526-16B7BBE3EFD4}" name="Jaguar ProdName" dataDxfId="26"/>
    <tableColumn id="16" xr3:uid="{15646D1F-3319-467C-89E2-EBA849B0FFFB}" name="VINmin" dataDxfId="25"/>
    <tableColumn id="17" xr3:uid="{88278BF9-147F-4F7C-A620-C7ECFECED31E}" name="VINmax" dataDxfId="24"/>
    <tableColumn id="3" xr3:uid="{2E0E1F16-2673-4999-9929-EEFD6444E56F}" name="Part type" dataDxfId="23"/>
    <tableColumn id="8" xr3:uid="{39CE6CBA-C59F-4DE4-BC75-67D024981AB3}" name="Functionality" dataDxfId="22"/>
    <tableColumn id="9" xr3:uid="{A9024CA4-6E97-4913-AB5A-00AA3175A14B}" name="Int / Ext / Engine Bay / Trunk" dataDxfId="21"/>
    <tableColumn id="10" xr3:uid="{F12E9039-139E-4894-B7B1-39F98AA5D24E}" name="Loc" dataDxfId="20"/>
    <tableColumn id="11" xr3:uid="{5262EA68-AD9A-4E6B-A800-E72FE2D30C6D}" name="LocSide" dataDxfId="19"/>
    <tableColumn id="12" xr3:uid="{3DAC5B8B-A76D-4022-BBDF-62E9BC66C38E}" name="LocVertical" dataDxfId="18"/>
    <tableColumn id="13" xr3:uid="{BDB29EFE-E374-4031-9C8C-5885BFD581E0}" name="LocPos" dataDxfId="17"/>
    <tableColumn id="14" xr3:uid="{385A7928-7C71-4781-B4B5-C4CC3789B8C6}" name="Colour/Trim" dataDxfId="16"/>
    <tableColumn id="31" xr3:uid="{7EB9DF3C-72BB-4E8A-A30F-1C931544C3DA}" name="Superseded PNs" dataDxfId="15"/>
    <tableColumn id="18" xr3:uid="{4FF3A665-D446-4085-BA62-B4724E1D7485}" name="Vendor Part Name" dataDxfId="14"/>
    <tableColumn id="19" xr3:uid="{CA999A3F-D5F8-4BEB-9EDC-99BA0EC9A182}" name="Vendor PN" dataDxfId="13"/>
    <tableColumn id="5" xr3:uid="{9614A4ED-6686-4FD0-A7C1-2C2F1AC53248}" name="Price EU euro" dataDxfId="12"/>
    <tableColumn id="6" xr3:uid="{AD45B633-A36C-4445-8E02-A08060AC5709}" name="eBay Listed" dataDxfId="11"/>
    <tableColumn id="20" xr3:uid="{6D091E40-2253-43D4-9910-D6E74E376640}" name="Price Euro" dataDxfId="10"/>
    <tableColumn id="21" xr3:uid="{94BA165D-B33F-4421-A634-569F04373078}" name="Price PoundS" dataDxfId="9"/>
    <tableColumn id="22" xr3:uid="{4B93D021-BDFB-4FC2-9A17-7FE4CBD500BE}" name="PackSize_x000a_XS/S/M/L/XL/C" dataDxfId="8"/>
    <tableColumn id="23" xr3:uid="{8EF403D8-05EA-45EB-806C-3298F4187CC7}" name="Shipping Inc/Exl" dataDxfId="7"/>
    <tableColumn id="24" xr3:uid="{1E94B6F5-E313-41A7-8CAF-CA4583FF3DF6}" name="URL" dataDxfId="6"/>
    <tableColumn id="25" xr3:uid="{E8285743-AA48-45BF-8EDB-6712CF86972B}" name="Referrence Document" dataDxfId="5"/>
    <tableColumn id="26" xr3:uid="{836CDA41-C465-4654-A70C-F46A8146E42F}" name="Special Notes" dataDxfId="4"/>
    <tableColumn id="27" xr3:uid="{AD1A4C6E-82CF-466B-989A-83C533481ED9}" name="Vendor / Donor Car" dataDxfId="3"/>
    <tableColumn id="30" xr3:uid="{98104995-6BD6-4D9E-80F2-3A32D87AD52F}" name="Donor Mileage_x000a_Kilometers" dataDxfId="2">
      <calculatedColumnFormula>68000*1.61</calculatedColumnFormula>
    </tableColumn>
    <tableColumn id="28" xr3:uid="{A9EB57CE-0FB1-41C3-AE1A-441EEBF08B00}" name="Vendors" dataDxfId="1"/>
    <tableColumn id="29" xr3:uid="{9FE6BA9B-0674-4C03-946E-3058F8B8DE5C}" name="Stock value" dataDxfId="0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ebay.co.uk/itm/JAGUAR-XK8-R-WHEEL-ARCH-LINAR-FRONT-RIGHT-/360915635743?pt=UK_CarsParts_Vehicles_CarParts_SM&amp;hash=item54083f8e1f" TargetMode="External"/><Relationship Id="rId18" Type="http://schemas.openxmlformats.org/officeDocument/2006/relationships/hyperlink" Target="http://1drv.ms/1ytSCLu" TargetMode="External"/><Relationship Id="rId26" Type="http://schemas.openxmlformats.org/officeDocument/2006/relationships/hyperlink" Target="http://1drv.ms/1uH8Rm9" TargetMode="External"/><Relationship Id="rId39" Type="http://schemas.openxmlformats.org/officeDocument/2006/relationships/hyperlink" Target="https://www.jagbits.com/product/CIRCUITBOARD-XK8EARLY-USED.html" TargetMode="External"/><Relationship Id="rId21" Type="http://schemas.openxmlformats.org/officeDocument/2006/relationships/hyperlink" Target="http://1drv.ms/1ytTzDA" TargetMode="External"/><Relationship Id="rId34" Type="http://schemas.openxmlformats.org/officeDocument/2006/relationships/hyperlink" Target="http://www.yoyopart.com/oem/6166087/jaguar-lja2226aa.html" TargetMode="External"/><Relationship Id="rId42" Type="http://schemas.openxmlformats.org/officeDocument/2006/relationships/hyperlink" Target="https://parts.jaguarlandroverclassic.com/lja3692ac-positive-battery-extension-cable.html" TargetMode="External"/><Relationship Id="rId47" Type="http://schemas.openxmlformats.org/officeDocument/2006/relationships/hyperlink" Target="https://parts.jaguarlandroverclassic.com/gnb3544ac-battery-clamp-bolt.html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http://www.ebay.co.uk/itm/161278405423?ssPageName=STRK:MEWNX:IT&amp;_trksid=p3984.m1497.l2649" TargetMode="External"/><Relationship Id="rId2" Type="http://schemas.openxmlformats.org/officeDocument/2006/relationships/hyperlink" Target="http://www.ebay.co.uk/itm/Genuine-Jaguar-Xk8-Rear-Bumper-Reflectors-LJA5024AC-Pair-AWJ-5a-/161173990208?pt=UK_CarsParts_Vehicles_CarParts_SM&amp;fits=Model%3AXK+8&amp;hash=item2586b7eb40" TargetMode="External"/><Relationship Id="rId16" Type="http://schemas.openxmlformats.org/officeDocument/2006/relationships/hyperlink" Target="http://1drv.ms/1FNbcCa" TargetMode="External"/><Relationship Id="rId29" Type="http://schemas.openxmlformats.org/officeDocument/2006/relationships/hyperlink" Target="http://1drv.ms/1wRdGi4" TargetMode="External"/><Relationship Id="rId11" Type="http://schemas.openxmlformats.org/officeDocument/2006/relationships/hyperlink" Target="mailto:jaguxkr@gmail.com" TargetMode="External"/><Relationship Id="rId24" Type="http://schemas.openxmlformats.org/officeDocument/2006/relationships/hyperlink" Target="http://1drv.ms/1uH8Rm9" TargetMode="External"/><Relationship Id="rId32" Type="http://schemas.openxmlformats.org/officeDocument/2006/relationships/hyperlink" Target="http://1drv.ms/1AJe4ij" TargetMode="External"/><Relationship Id="rId37" Type="http://schemas.openxmlformats.org/officeDocument/2006/relationships/hyperlink" Target="http://www.sngbarratt.com/ProductDetails.aspx?id=ed113683-9804-4886-a371-4d0f6fad29be&amp;l=7" TargetMode="External"/><Relationship Id="rId40" Type="http://schemas.openxmlformats.org/officeDocument/2006/relationships/hyperlink" Target="https://parts.jaguarlandroverclassic.com/hja8226ec-hood-latch-plate.html" TargetMode="External"/><Relationship Id="rId45" Type="http://schemas.openxmlformats.org/officeDocument/2006/relationships/hyperlink" Target="https://parts.jaguarlandroverclassic.com/nca2603af-cylinder-head.html" TargetMode="External"/><Relationship Id="rId5" Type="http://schemas.openxmlformats.org/officeDocument/2006/relationships/hyperlink" Target="http://www.ebay.co.uk/itm/JAGUAR-XK8-R-WHEEL-ARCH-LINAR-FRONT-RIGHT-/360915635743?pt=UK_CarsParts_Vehicles_CarParts_SM&amp;hash=item54083f8e1f" TargetMode="External"/><Relationship Id="rId15" Type="http://schemas.openxmlformats.org/officeDocument/2006/relationships/hyperlink" Target="http://1drv.ms/11qq8IN" TargetMode="External"/><Relationship Id="rId23" Type="http://schemas.openxmlformats.org/officeDocument/2006/relationships/hyperlink" Target="http://1drv.ms/1yfmRuu" TargetMode="External"/><Relationship Id="rId28" Type="http://schemas.openxmlformats.org/officeDocument/2006/relationships/hyperlink" Target="http://1drv.ms/1wRdxey" TargetMode="External"/><Relationship Id="rId36" Type="http://schemas.openxmlformats.org/officeDocument/2006/relationships/hyperlink" Target="http://www.sngbarratt.com/ProductDetails.aspx?id=05c37186-0377-4cb0-aba3-f609a2637408&amp;l=7" TargetMode="External"/><Relationship Id="rId49" Type="http://schemas.openxmlformats.org/officeDocument/2006/relationships/hyperlink" Target="https://parts.jaguarlandroverclassic.com/ccc7029-domed-wheel-nut.html" TargetMode="External"/><Relationship Id="rId10" Type="http://schemas.openxmlformats.org/officeDocument/2006/relationships/hyperlink" Target="mailto:jaguxkr@gmail.com" TargetMode="External"/><Relationship Id="rId19" Type="http://schemas.openxmlformats.org/officeDocument/2006/relationships/hyperlink" Target="http://1drv.ms/1ytSVFZ" TargetMode="External"/><Relationship Id="rId31" Type="http://schemas.openxmlformats.org/officeDocument/2006/relationships/hyperlink" Target="http://1drv.ms/1AJc49E" TargetMode="External"/><Relationship Id="rId44" Type="http://schemas.openxmlformats.org/officeDocument/2006/relationships/hyperlink" Target="https://parts.jaguarlandroverclassic.com/catalogsearch/result/?q=+MJA2105AE%2C+MJA2105AF%2C+MJA2105AG" TargetMode="External"/><Relationship Id="rId4" Type="http://schemas.openxmlformats.org/officeDocument/2006/relationships/hyperlink" Target="http://www.ebay.co.uk/itm/Jaguar-XK8-XKR-WIPER-SCUTTLE-1996-2003-/171309576013?pt=UK_CarsParts_Vehicles_CarParts_SM&amp;hash=item27e2d8af4d" TargetMode="External"/><Relationship Id="rId9" Type="http://schemas.openxmlformats.org/officeDocument/2006/relationships/hyperlink" Target="mailto:jaguxkr@gmail.com" TargetMode="External"/><Relationship Id="rId14" Type="http://schemas.openxmlformats.org/officeDocument/2006/relationships/hyperlink" Target="http://1drv.ms/11qq8IN" TargetMode="External"/><Relationship Id="rId22" Type="http://schemas.openxmlformats.org/officeDocument/2006/relationships/hyperlink" Target="http://1drv.ms/1ytTCiC" TargetMode="External"/><Relationship Id="rId27" Type="http://schemas.openxmlformats.org/officeDocument/2006/relationships/hyperlink" Target="http://1drv.ms/1uH8Rm9" TargetMode="External"/><Relationship Id="rId30" Type="http://schemas.openxmlformats.org/officeDocument/2006/relationships/hyperlink" Target="http://1drv.ms/1AJc49E" TargetMode="External"/><Relationship Id="rId35" Type="http://schemas.openxmlformats.org/officeDocument/2006/relationships/hyperlink" Target="http://1drv.ms/1AJkrlt" TargetMode="External"/><Relationship Id="rId43" Type="http://schemas.openxmlformats.org/officeDocument/2006/relationships/hyperlink" Target="https://parts.jaguarlandroverclassic.com/jlm12032xxx-door-handle.html" TargetMode="External"/><Relationship Id="rId48" Type="http://schemas.openxmlformats.org/officeDocument/2006/relationships/hyperlink" Target="https://parts.jaguarlandroverclassic.com/gnb3544ac-battery-clamp-bolt.html" TargetMode="External"/><Relationship Id="rId8" Type="http://schemas.openxmlformats.org/officeDocument/2006/relationships/hyperlink" Target="mailto:jaguxkr@gmail.com" TargetMode="External"/><Relationship Id="rId51" Type="http://schemas.openxmlformats.org/officeDocument/2006/relationships/table" Target="../tables/table1.xml"/><Relationship Id="rId3" Type="http://schemas.openxmlformats.org/officeDocument/2006/relationships/hyperlink" Target="http://www.ebay.co.uk/itm/SPACE-SAVER-WHEEL-AND-TYRE-Jaguar-XK8-XKR-1996-2006-X100-/281115864198?fits=Car+Make%3AJaguar" TargetMode="External"/><Relationship Id="rId12" Type="http://schemas.openxmlformats.org/officeDocument/2006/relationships/hyperlink" Target="mailto:jaguxkr@gmail.com" TargetMode="External"/><Relationship Id="rId17" Type="http://schemas.openxmlformats.org/officeDocument/2006/relationships/hyperlink" Target="http://1drv.ms/1FNbcCa" TargetMode="External"/><Relationship Id="rId25" Type="http://schemas.openxmlformats.org/officeDocument/2006/relationships/hyperlink" Target="http://1drv.ms/1uH8Rm9" TargetMode="External"/><Relationship Id="rId33" Type="http://schemas.openxmlformats.org/officeDocument/2006/relationships/hyperlink" Target="http://1drv.ms/1AJf9GF" TargetMode="External"/><Relationship Id="rId38" Type="http://schemas.openxmlformats.org/officeDocument/2006/relationships/hyperlink" Target="http://www.sngbarratt.com/PartSearchResults.aspx?partno=GJA8966AB" TargetMode="External"/><Relationship Id="rId46" Type="http://schemas.openxmlformats.org/officeDocument/2006/relationships/hyperlink" Target="https://parts.jaguarlandroverclassic.com/c2s44734-tappet.html" TargetMode="External"/><Relationship Id="rId20" Type="http://schemas.openxmlformats.org/officeDocument/2006/relationships/hyperlink" Target="http://1drv.ms/1ytTvnd" TargetMode="External"/><Relationship Id="rId41" Type="http://schemas.openxmlformats.org/officeDocument/2006/relationships/hyperlink" Target="https://parts.jaguarlandroverclassic.com/gja1246af-loudspeaker-bracket.html" TargetMode="External"/><Relationship Id="rId1" Type="http://schemas.openxmlformats.org/officeDocument/2006/relationships/hyperlink" Target="http://www.ebay.co.uk/itm/Jaguar-XK8-XKR-X100-DRIVERS-SEAT-SWITCH-/321386272636?pt=UK_CarsParts_Vehicles_CarParts_SM&amp;hash=item4ad41d577c" TargetMode="External"/><Relationship Id="rId6" Type="http://schemas.openxmlformats.org/officeDocument/2006/relationships/hyperlink" Target="http://1drv.ms/12UrJY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442"/>
  <sheetViews>
    <sheetView tabSelected="1" zoomScale="85" zoomScaleNormal="85" workbookViewId="0">
      <pane xSplit="3" ySplit="1" topLeftCell="D2" activePane="bottomRight" state="frozenSplit"/>
      <selection pane="topRight" activeCell="E1" sqref="E1"/>
      <selection pane="bottomLeft" activeCell="A2" sqref="A2"/>
      <selection pane="bottomRight"/>
    </sheetView>
  </sheetViews>
  <sheetFormatPr defaultColWidth="40.5703125" defaultRowHeight="15" x14ac:dyDescent="0.25"/>
  <cols>
    <col min="1" max="2" width="40.5703125" style="1"/>
    <col min="3" max="3" width="40.5703125" style="4"/>
    <col min="4" max="4" width="40.5703125" style="28"/>
    <col min="5" max="7" width="40.5703125" style="1"/>
    <col min="8" max="8" width="40.5703125" style="4"/>
    <col min="12" max="12" width="40.5703125" style="28"/>
    <col min="13" max="13" width="40.5703125" style="4"/>
    <col min="14" max="14" width="40.5703125" style="3"/>
    <col min="15" max="15" width="40.5703125" style="1"/>
    <col min="17" max="17" width="40.5703125" style="2"/>
    <col min="18" max="18" width="40.5703125" style="1"/>
    <col min="21" max="21" width="40.5703125" style="39"/>
    <col min="22" max="22" width="40.5703125" style="2"/>
    <col min="24" max="24" width="40.5703125" style="29"/>
    <col min="25" max="25" width="40.5703125" style="1"/>
    <col min="26" max="26" width="40.5703125" style="2"/>
    <col min="27" max="27" width="40.5703125" style="1"/>
    <col min="31" max="31" width="40.5703125" style="1"/>
    <col min="33" max="33" width="40.5703125" style="2"/>
    <col min="34" max="37" width="40.5703125" style="1"/>
    <col min="38" max="38" width="40.5703125" style="2"/>
    <col min="39" max="40" width="40.5703125" style="1"/>
    <col min="41" max="41" width="40.5703125" style="28"/>
    <col min="42" max="16384" width="40.5703125" style="1"/>
  </cols>
  <sheetData>
    <row r="1" spans="1:41" s="6" customFormat="1" ht="30" x14ac:dyDescent="0.25">
      <c r="A1" s="3" t="s">
        <v>2</v>
      </c>
      <c r="B1" s="3" t="s">
        <v>1036</v>
      </c>
      <c r="C1" s="4" t="s">
        <v>0</v>
      </c>
      <c r="D1" s="31" t="s">
        <v>4</v>
      </c>
      <c r="E1" s="4" t="s">
        <v>11</v>
      </c>
      <c r="F1" s="3" t="s">
        <v>12</v>
      </c>
      <c r="G1" s="3" t="s">
        <v>13</v>
      </c>
      <c r="H1" s="4" t="s">
        <v>1</v>
      </c>
      <c r="I1" s="4" t="s">
        <v>5</v>
      </c>
      <c r="J1" s="3" t="s">
        <v>1202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1462</v>
      </c>
      <c r="Q1" s="4" t="s">
        <v>14</v>
      </c>
      <c r="R1" s="4" t="s">
        <v>15</v>
      </c>
      <c r="S1" s="3" t="s">
        <v>3</v>
      </c>
      <c r="T1" s="3" t="s">
        <v>1452</v>
      </c>
      <c r="U1" s="3" t="s">
        <v>1453</v>
      </c>
      <c r="V1" s="3" t="s">
        <v>1454</v>
      </c>
      <c r="W1" s="4" t="s">
        <v>16</v>
      </c>
      <c r="X1" s="3" t="s">
        <v>17</v>
      </c>
      <c r="Y1" s="4" t="s">
        <v>18</v>
      </c>
      <c r="Z1" s="3" t="s">
        <v>19</v>
      </c>
      <c r="AA1" s="3" t="s">
        <v>20</v>
      </c>
      <c r="AB1" s="3" t="s">
        <v>21</v>
      </c>
      <c r="AC1" s="34" t="s">
        <v>1562</v>
      </c>
      <c r="AD1" s="3" t="s">
        <v>22</v>
      </c>
      <c r="AE1" s="18" t="s">
        <v>23</v>
      </c>
    </row>
    <row r="2" spans="1:41" x14ac:dyDescent="0.25">
      <c r="A2" s="1" t="s">
        <v>980</v>
      </c>
      <c r="B2" s="1" t="s">
        <v>1037</v>
      </c>
      <c r="C2" s="4" t="s">
        <v>1342</v>
      </c>
      <c r="D2" s="28">
        <v>0</v>
      </c>
      <c r="H2" s="4" t="s">
        <v>193</v>
      </c>
      <c r="I2" s="4" t="s">
        <v>680</v>
      </c>
      <c r="J2" s="4"/>
      <c r="K2" s="1"/>
      <c r="L2" s="1"/>
      <c r="M2" s="1"/>
      <c r="N2" s="1"/>
      <c r="P2" s="1"/>
      <c r="Q2" s="2" t="s">
        <v>981</v>
      </c>
      <c r="R2" s="1" t="s">
        <v>980</v>
      </c>
      <c r="S2" s="1"/>
      <c r="T2" s="1">
        <v>0</v>
      </c>
      <c r="U2" s="28"/>
      <c r="V2" s="1"/>
      <c r="W2" s="1"/>
      <c r="X2" s="1"/>
      <c r="Y2" s="2"/>
      <c r="Z2" s="1"/>
      <c r="AB2" s="1" t="s">
        <v>67</v>
      </c>
      <c r="AC2" s="28">
        <f t="shared" ref="AC2:AC19" si="0">68000*1.61</f>
        <v>109480</v>
      </c>
      <c r="AD2" s="1"/>
      <c r="AE2" s="1">
        <f t="shared" ref="AE2:AE33" si="1">S2*D2</f>
        <v>0</v>
      </c>
      <c r="AF2" s="1"/>
      <c r="AG2" s="1"/>
      <c r="AL2" s="1"/>
      <c r="AO2" s="1"/>
    </row>
    <row r="3" spans="1:41" x14ac:dyDescent="0.25">
      <c r="A3" s="1" t="s">
        <v>812</v>
      </c>
      <c r="B3" s="1" t="s">
        <v>1037</v>
      </c>
      <c r="C3" s="4" t="s">
        <v>811</v>
      </c>
      <c r="E3" s="2"/>
      <c r="H3" s="4" t="s">
        <v>223</v>
      </c>
      <c r="I3" s="4" t="s">
        <v>225</v>
      </c>
      <c r="J3" s="3" t="s">
        <v>101</v>
      </c>
      <c r="K3" s="1" t="s">
        <v>54</v>
      </c>
      <c r="L3" s="1" t="s">
        <v>55</v>
      </c>
      <c r="M3" s="1"/>
      <c r="N3" s="1"/>
      <c r="P3" s="1"/>
      <c r="Q3" s="2" t="s">
        <v>813</v>
      </c>
      <c r="R3" s="1" t="str">
        <f>A3</f>
        <v>AGU2436J</v>
      </c>
      <c r="S3" s="1"/>
      <c r="T3" s="1">
        <v>0</v>
      </c>
      <c r="U3" s="28" t="s">
        <v>814</v>
      </c>
      <c r="V3" s="1"/>
      <c r="W3" s="1"/>
      <c r="X3" s="1"/>
      <c r="Y3" s="2"/>
      <c r="Z3" s="1"/>
      <c r="AB3" s="1" t="s">
        <v>307</v>
      </c>
      <c r="AC3" s="28">
        <f t="shared" si="0"/>
        <v>109480</v>
      </c>
      <c r="AD3" s="1"/>
      <c r="AE3" s="1">
        <f t="shared" si="1"/>
        <v>0</v>
      </c>
      <c r="AF3" s="1"/>
      <c r="AG3" s="1"/>
      <c r="AL3" s="1"/>
      <c r="AO3" s="1"/>
    </row>
    <row r="4" spans="1:41" x14ac:dyDescent="0.25">
      <c r="A4" s="2" t="s">
        <v>925</v>
      </c>
      <c r="B4" s="1" t="s">
        <v>1037</v>
      </c>
      <c r="C4" s="4" t="s">
        <v>924</v>
      </c>
      <c r="D4" s="28">
        <v>6</v>
      </c>
      <c r="E4" s="1" t="s">
        <v>927</v>
      </c>
      <c r="H4" s="4" t="s">
        <v>579</v>
      </c>
      <c r="I4" s="4" t="s">
        <v>926</v>
      </c>
      <c r="J4" s="3"/>
      <c r="K4" s="1" t="s">
        <v>59</v>
      </c>
      <c r="L4" s="1"/>
      <c r="M4" s="1" t="s">
        <v>167</v>
      </c>
      <c r="N4" s="1"/>
      <c r="O4" s="2"/>
      <c r="P4" s="1"/>
      <c r="Q4" s="19" t="s">
        <v>928</v>
      </c>
      <c r="R4" s="1" t="str">
        <f>A4</f>
        <v>AGU2530</v>
      </c>
      <c r="S4" s="1">
        <v>1</v>
      </c>
      <c r="T4" s="28">
        <v>0</v>
      </c>
      <c r="U4" s="28">
        <f>Parts[[#This Row],[Price EU euro]]</f>
        <v>1</v>
      </c>
      <c r="V4" s="27">
        <f>Parts[[#This Row],[Price Euro]]/1.16</f>
        <v>0.86206896551724144</v>
      </c>
      <c r="W4" s="1"/>
      <c r="X4" s="1">
        <v>2</v>
      </c>
      <c r="Y4" s="2"/>
      <c r="Z4" s="1"/>
      <c r="AB4" s="29" t="s">
        <v>1241</v>
      </c>
      <c r="AC4" s="28">
        <f t="shared" si="0"/>
        <v>109480</v>
      </c>
      <c r="AD4" s="1"/>
      <c r="AE4" s="1">
        <f t="shared" si="1"/>
        <v>6</v>
      </c>
      <c r="AF4" s="1"/>
      <c r="AG4" s="1"/>
      <c r="AL4" s="1"/>
      <c r="AO4" s="1"/>
    </row>
    <row r="5" spans="1:41" x14ac:dyDescent="0.25">
      <c r="A5" s="1" t="s">
        <v>732</v>
      </c>
      <c r="B5" s="1" t="s">
        <v>1037</v>
      </c>
      <c r="C5" s="4" t="str">
        <f>Q5</f>
        <v>THERMOSTAT KIT-ALUMINIUM</v>
      </c>
      <c r="D5" s="28">
        <v>0</v>
      </c>
      <c r="H5" s="4" t="s">
        <v>193</v>
      </c>
      <c r="I5" s="4" t="s">
        <v>335</v>
      </c>
      <c r="J5" s="3"/>
      <c r="K5" s="1"/>
      <c r="L5" s="1"/>
      <c r="M5" s="1"/>
      <c r="N5" s="1"/>
      <c r="P5" s="1"/>
      <c r="Q5" s="2" t="s">
        <v>733</v>
      </c>
      <c r="R5" s="1" t="str">
        <f>A5</f>
        <v>AJ82217KIT1A</v>
      </c>
      <c r="S5" s="1"/>
      <c r="T5" s="1">
        <v>0</v>
      </c>
      <c r="U5" s="28"/>
      <c r="V5" s="1"/>
      <c r="W5" s="1"/>
      <c r="X5" s="1"/>
      <c r="Y5" s="2"/>
      <c r="Z5" s="1"/>
      <c r="AB5" s="1" t="s">
        <v>67</v>
      </c>
      <c r="AC5" s="28">
        <f t="shared" si="0"/>
        <v>109480</v>
      </c>
      <c r="AD5" s="1"/>
      <c r="AE5" s="1">
        <f t="shared" si="1"/>
        <v>0</v>
      </c>
      <c r="AF5" s="1"/>
      <c r="AG5" s="1"/>
      <c r="AL5" s="1"/>
      <c r="AO5" s="1"/>
    </row>
    <row r="6" spans="1:41" x14ac:dyDescent="0.25">
      <c r="A6" s="1" t="s">
        <v>741</v>
      </c>
      <c r="B6" s="1" t="s">
        <v>1037</v>
      </c>
      <c r="C6" s="4" t="s">
        <v>1326</v>
      </c>
      <c r="D6" s="28">
        <v>1</v>
      </c>
      <c r="F6" s="1" t="s">
        <v>1307</v>
      </c>
      <c r="G6" s="1" t="s">
        <v>1306</v>
      </c>
      <c r="H6" s="4" t="s">
        <v>739</v>
      </c>
      <c r="I6" s="4" t="s">
        <v>680</v>
      </c>
      <c r="J6" s="4"/>
      <c r="K6" s="1"/>
      <c r="L6" s="1"/>
      <c r="M6" s="1"/>
      <c r="N6" s="1"/>
      <c r="P6" s="1"/>
      <c r="Q6" s="2" t="s">
        <v>742</v>
      </c>
      <c r="R6" s="1" t="str">
        <f>A6</f>
        <v>AJ82325</v>
      </c>
      <c r="S6" s="1"/>
      <c r="T6" s="1">
        <v>0</v>
      </c>
      <c r="U6" s="28"/>
      <c r="V6" s="1"/>
      <c r="W6" s="1"/>
      <c r="X6" s="1"/>
      <c r="Y6" s="2"/>
      <c r="Z6" s="1"/>
      <c r="AB6" s="1" t="s">
        <v>67</v>
      </c>
      <c r="AC6" s="28">
        <f t="shared" si="0"/>
        <v>109480</v>
      </c>
      <c r="AD6" s="1"/>
      <c r="AE6" s="1">
        <f t="shared" si="1"/>
        <v>0</v>
      </c>
      <c r="AF6" s="1"/>
      <c r="AG6" s="1"/>
      <c r="AL6" s="1"/>
      <c r="AO6" s="1"/>
    </row>
    <row r="7" spans="1:41" x14ac:dyDescent="0.25">
      <c r="A7" s="1" t="s">
        <v>231</v>
      </c>
      <c r="B7" s="1" t="s">
        <v>1037</v>
      </c>
      <c r="C7" s="4" t="str">
        <f>Q7</f>
        <v>CAMSHAFT COVER SEAL-VVT</v>
      </c>
      <c r="H7" s="4" t="s">
        <v>227</v>
      </c>
      <c r="I7" s="4" t="s">
        <v>229</v>
      </c>
      <c r="J7" s="3"/>
      <c r="K7" s="1"/>
      <c r="L7" s="1"/>
      <c r="M7" s="1"/>
      <c r="N7" s="1"/>
      <c r="P7" s="1"/>
      <c r="Q7" s="2" t="s">
        <v>232</v>
      </c>
      <c r="R7" s="1" t="str">
        <f>A7</f>
        <v>AJ82856</v>
      </c>
      <c r="S7" s="1"/>
      <c r="T7" s="1">
        <v>0</v>
      </c>
      <c r="U7" s="28"/>
      <c r="V7" s="1"/>
      <c r="W7" s="1"/>
      <c r="X7" s="1"/>
      <c r="Y7" s="2"/>
      <c r="Z7" s="1"/>
      <c r="AB7" s="1" t="s">
        <v>67</v>
      </c>
      <c r="AC7" s="28">
        <f t="shared" si="0"/>
        <v>109480</v>
      </c>
      <c r="AD7" s="1"/>
      <c r="AE7" s="1">
        <f t="shared" si="1"/>
        <v>0</v>
      </c>
      <c r="AF7" s="1"/>
      <c r="AG7" s="1"/>
      <c r="AL7" s="1"/>
      <c r="AO7" s="1"/>
    </row>
    <row r="8" spans="1:41" x14ac:dyDescent="0.25">
      <c r="A8" s="1" t="s">
        <v>231</v>
      </c>
      <c r="B8" s="1" t="s">
        <v>1291</v>
      </c>
      <c r="C8" s="4" t="s">
        <v>1302</v>
      </c>
      <c r="E8" s="2"/>
      <c r="F8" s="1" t="s">
        <v>1307</v>
      </c>
      <c r="G8" s="1" t="s">
        <v>1306</v>
      </c>
      <c r="H8" s="4" t="s">
        <v>163</v>
      </c>
      <c r="I8" s="4"/>
      <c r="J8" s="3"/>
      <c r="K8" s="1"/>
      <c r="L8" s="1"/>
      <c r="M8" s="1"/>
      <c r="N8" s="1"/>
      <c r="P8" s="1"/>
      <c r="R8" s="1" t="s">
        <v>231</v>
      </c>
      <c r="S8" s="1"/>
      <c r="T8" s="1">
        <v>0</v>
      </c>
      <c r="U8" s="28"/>
      <c r="V8" s="1"/>
      <c r="W8" s="1"/>
      <c r="X8" s="1"/>
      <c r="Y8" s="2"/>
      <c r="Z8" s="1"/>
      <c r="AB8" s="1"/>
      <c r="AC8" s="28">
        <f t="shared" si="0"/>
        <v>109480</v>
      </c>
      <c r="AD8" s="1"/>
      <c r="AE8" s="1">
        <f t="shared" si="1"/>
        <v>0</v>
      </c>
      <c r="AF8" s="1"/>
      <c r="AG8" s="1"/>
      <c r="AL8" s="1"/>
      <c r="AO8" s="1"/>
    </row>
    <row r="9" spans="1:41" x14ac:dyDescent="0.25">
      <c r="A9" s="1" t="s">
        <v>526</v>
      </c>
      <c r="B9" s="1" t="s">
        <v>1037</v>
      </c>
      <c r="C9" s="4" t="str">
        <f>Q9</f>
        <v>OIL SEAL-CRANKSHAFT</v>
      </c>
      <c r="H9" s="4" t="s">
        <v>227</v>
      </c>
      <c r="I9" s="4" t="s">
        <v>229</v>
      </c>
      <c r="J9" s="3"/>
      <c r="K9" s="1"/>
      <c r="L9" s="1"/>
      <c r="M9" s="1"/>
      <c r="N9" s="1"/>
      <c r="P9" s="1"/>
      <c r="Q9" s="2" t="s">
        <v>527</v>
      </c>
      <c r="R9" s="1" t="str">
        <f>A9</f>
        <v>AJ83698</v>
      </c>
      <c r="S9" s="1"/>
      <c r="T9" s="1">
        <v>0</v>
      </c>
      <c r="U9" s="28"/>
      <c r="V9" s="1"/>
      <c r="W9" s="1"/>
      <c r="X9" s="1"/>
      <c r="Y9" s="2"/>
      <c r="Z9" s="1"/>
      <c r="AB9" s="1" t="s">
        <v>67</v>
      </c>
      <c r="AC9" s="28">
        <f t="shared" si="0"/>
        <v>109480</v>
      </c>
      <c r="AD9" s="1"/>
      <c r="AE9" s="1">
        <f t="shared" si="1"/>
        <v>0</v>
      </c>
      <c r="AF9" s="1"/>
      <c r="AG9" s="1"/>
      <c r="AL9" s="1"/>
      <c r="AO9" s="1"/>
    </row>
    <row r="10" spans="1:41" x14ac:dyDescent="0.25">
      <c r="A10" s="2" t="s">
        <v>1332</v>
      </c>
      <c r="B10" s="1" t="s">
        <v>1291</v>
      </c>
      <c r="C10" s="4" t="s">
        <v>1333</v>
      </c>
      <c r="E10" s="2"/>
      <c r="F10" s="1" t="s">
        <v>1307</v>
      </c>
      <c r="G10" s="1" t="s">
        <v>1306</v>
      </c>
      <c r="H10" s="4" t="s">
        <v>227</v>
      </c>
      <c r="I10" s="4" t="s">
        <v>1334</v>
      </c>
      <c r="J10" s="3"/>
      <c r="K10" s="1"/>
      <c r="L10" s="1"/>
      <c r="M10" s="1"/>
      <c r="N10" s="1"/>
      <c r="P10" s="1"/>
      <c r="Q10" s="2" t="s">
        <v>1333</v>
      </c>
      <c r="R10" s="2" t="s">
        <v>1332</v>
      </c>
      <c r="S10" s="1"/>
      <c r="T10" s="1">
        <v>0</v>
      </c>
      <c r="U10" s="28"/>
      <c r="V10" s="1"/>
      <c r="W10" s="1"/>
      <c r="X10" s="1"/>
      <c r="Y10" s="2"/>
      <c r="Z10" s="1"/>
      <c r="AB10" s="1"/>
      <c r="AC10" s="28">
        <f t="shared" si="0"/>
        <v>109480</v>
      </c>
      <c r="AD10" s="1"/>
      <c r="AE10" s="1">
        <f t="shared" si="1"/>
        <v>0</v>
      </c>
      <c r="AF10" s="1"/>
      <c r="AG10" s="1"/>
      <c r="AL10" s="1"/>
      <c r="AO10" s="1"/>
    </row>
    <row r="11" spans="1:41" x14ac:dyDescent="0.25">
      <c r="A11" s="1" t="s">
        <v>528</v>
      </c>
      <c r="B11" s="1" t="s">
        <v>1037</v>
      </c>
      <c r="C11" s="4" t="s">
        <v>1309</v>
      </c>
      <c r="H11" s="4" t="s">
        <v>227</v>
      </c>
      <c r="I11" s="4" t="s">
        <v>229</v>
      </c>
      <c r="J11" s="3"/>
      <c r="K11" s="1"/>
      <c r="L11" s="1"/>
      <c r="M11" s="1"/>
      <c r="N11" s="1"/>
      <c r="P11" s="1"/>
      <c r="Q11" s="2" t="s">
        <v>529</v>
      </c>
      <c r="R11" s="1" t="str">
        <f>A11</f>
        <v>AJ83744</v>
      </c>
      <c r="S11" s="1"/>
      <c r="T11" s="1">
        <v>0</v>
      </c>
      <c r="U11" s="28"/>
      <c r="V11" s="1"/>
      <c r="W11" s="1"/>
      <c r="X11" s="1"/>
      <c r="Y11" s="2"/>
      <c r="Z11" s="1"/>
      <c r="AB11" s="1" t="s">
        <v>67</v>
      </c>
      <c r="AC11" s="28">
        <f t="shared" si="0"/>
        <v>109480</v>
      </c>
      <c r="AD11" s="1"/>
      <c r="AE11" s="1">
        <f t="shared" si="1"/>
        <v>0</v>
      </c>
      <c r="AF11" s="1"/>
      <c r="AG11" s="1"/>
      <c r="AL11" s="1"/>
      <c r="AO11" s="1"/>
    </row>
    <row r="12" spans="1:41" x14ac:dyDescent="0.25">
      <c r="A12" s="1" t="s">
        <v>730</v>
      </c>
      <c r="B12" s="1" t="s">
        <v>1037</v>
      </c>
      <c r="C12" s="4" t="str">
        <f>Q12</f>
        <v>THERMOSTAT</v>
      </c>
      <c r="D12" s="28">
        <v>0</v>
      </c>
      <c r="H12" s="4" t="s">
        <v>488</v>
      </c>
      <c r="I12" s="4" t="s">
        <v>335</v>
      </c>
      <c r="J12" s="3"/>
      <c r="K12" s="1"/>
      <c r="L12" s="1"/>
      <c r="M12" s="1"/>
      <c r="N12" s="1"/>
      <c r="P12" s="1"/>
      <c r="Q12" s="2" t="s">
        <v>731</v>
      </c>
      <c r="R12" s="1" t="str">
        <f>A12</f>
        <v>AJ86484</v>
      </c>
      <c r="S12" s="1"/>
      <c r="T12" s="1">
        <v>0</v>
      </c>
      <c r="U12" s="28"/>
      <c r="V12" s="1"/>
      <c r="W12" s="1"/>
      <c r="X12" s="1"/>
      <c r="Y12" s="2"/>
      <c r="Z12" s="1"/>
      <c r="AB12" s="1" t="s">
        <v>67</v>
      </c>
      <c r="AC12" s="28">
        <f t="shared" si="0"/>
        <v>109480</v>
      </c>
      <c r="AD12" s="1"/>
      <c r="AE12" s="1">
        <f t="shared" si="1"/>
        <v>0</v>
      </c>
      <c r="AF12" s="1"/>
      <c r="AG12" s="1"/>
      <c r="AL12" s="1"/>
      <c r="AO12" s="1"/>
    </row>
    <row r="13" spans="1:41" x14ac:dyDescent="0.25">
      <c r="A13" s="1" t="s">
        <v>228</v>
      </c>
      <c r="B13" s="1" t="s">
        <v>1037</v>
      </c>
      <c r="C13" s="4" t="str">
        <f>Q13</f>
        <v>CAMSHAFT COVER CENTRE SEAL</v>
      </c>
      <c r="H13" s="4" t="s">
        <v>227</v>
      </c>
      <c r="I13" s="4" t="s">
        <v>229</v>
      </c>
      <c r="J13" s="3"/>
      <c r="K13" s="1"/>
      <c r="L13" s="1"/>
      <c r="M13" s="1"/>
      <c r="N13" s="1"/>
      <c r="P13" s="1"/>
      <c r="Q13" s="2" t="s">
        <v>230</v>
      </c>
      <c r="R13" s="1" t="str">
        <f>A13</f>
        <v>AJ87242</v>
      </c>
      <c r="S13" s="1"/>
      <c r="T13" s="1">
        <v>0</v>
      </c>
      <c r="U13" s="28"/>
      <c r="V13" s="1"/>
      <c r="W13" s="1"/>
      <c r="X13" s="1"/>
      <c r="Y13" s="2"/>
      <c r="Z13" s="1"/>
      <c r="AB13" s="1" t="s">
        <v>67</v>
      </c>
      <c r="AC13" s="28">
        <f t="shared" si="0"/>
        <v>109480</v>
      </c>
      <c r="AD13" s="1"/>
      <c r="AE13" s="1">
        <f t="shared" si="1"/>
        <v>0</v>
      </c>
      <c r="AF13" s="1"/>
      <c r="AG13" s="1"/>
      <c r="AL13" s="1"/>
      <c r="AO13" s="1"/>
    </row>
    <row r="14" spans="1:41" x14ac:dyDescent="0.25">
      <c r="A14" s="1" t="s">
        <v>1294</v>
      </c>
      <c r="B14" s="1" t="s">
        <v>1291</v>
      </c>
      <c r="C14" s="4" t="s">
        <v>1293</v>
      </c>
      <c r="E14" s="2"/>
      <c r="F14" s="1" t="s">
        <v>1290</v>
      </c>
      <c r="H14" s="4" t="s">
        <v>227</v>
      </c>
      <c r="I14" s="4"/>
      <c r="J14" s="3" t="s">
        <v>28</v>
      </c>
      <c r="K14" s="1"/>
      <c r="L14" s="1" t="s">
        <v>30</v>
      </c>
      <c r="M14" s="1"/>
      <c r="N14" s="1"/>
      <c r="P14" s="1"/>
      <c r="Q14" s="2" t="s">
        <v>1295</v>
      </c>
      <c r="R14" s="1" t="s">
        <v>1294</v>
      </c>
      <c r="S14" s="1">
        <v>21</v>
      </c>
      <c r="T14" s="1">
        <v>0</v>
      </c>
      <c r="U14" s="28"/>
      <c r="V14" s="1"/>
      <c r="W14" s="1"/>
      <c r="X14" s="1"/>
      <c r="Y14" s="2"/>
      <c r="Z14" s="1"/>
      <c r="AB14" s="1"/>
      <c r="AC14" s="28">
        <f t="shared" si="0"/>
        <v>109480</v>
      </c>
      <c r="AD14" s="1"/>
      <c r="AE14" s="1">
        <f t="shared" si="1"/>
        <v>0</v>
      </c>
      <c r="AF14" s="1"/>
      <c r="AG14" s="1"/>
      <c r="AL14" s="1"/>
      <c r="AO14" s="1"/>
    </row>
    <row r="15" spans="1:41" x14ac:dyDescent="0.25">
      <c r="A15" s="1" t="s">
        <v>1289</v>
      </c>
      <c r="B15" s="1" t="s">
        <v>1291</v>
      </c>
      <c r="C15" s="4" t="s">
        <v>1292</v>
      </c>
      <c r="E15" s="2"/>
      <c r="F15" s="1" t="s">
        <v>1290</v>
      </c>
      <c r="H15" s="4" t="s">
        <v>227</v>
      </c>
      <c r="I15" s="4"/>
      <c r="J15" s="3" t="s">
        <v>28</v>
      </c>
      <c r="K15" s="1"/>
      <c r="L15" s="1" t="s">
        <v>60</v>
      </c>
      <c r="M15" s="1"/>
      <c r="N15" s="1"/>
      <c r="P15" s="1"/>
      <c r="Q15" s="2" t="s">
        <v>1296</v>
      </c>
      <c r="R15" s="1" t="s">
        <v>1289</v>
      </c>
      <c r="S15" s="1">
        <v>21</v>
      </c>
      <c r="T15" s="1">
        <v>0</v>
      </c>
      <c r="U15" s="28"/>
      <c r="V15" s="1"/>
      <c r="W15" s="1"/>
      <c r="X15" s="1"/>
      <c r="Y15" s="2"/>
      <c r="Z15" s="1"/>
      <c r="AB15" s="1"/>
      <c r="AC15" s="28">
        <f t="shared" si="0"/>
        <v>109480</v>
      </c>
      <c r="AD15" s="1"/>
      <c r="AE15" s="1">
        <f t="shared" si="1"/>
        <v>0</v>
      </c>
      <c r="AF15" s="1"/>
      <c r="AG15" s="1"/>
      <c r="AL15" s="1"/>
      <c r="AO15" s="1"/>
    </row>
    <row r="16" spans="1:41" x14ac:dyDescent="0.25">
      <c r="A16" s="1" t="s">
        <v>778</v>
      </c>
      <c r="B16" s="1" t="s">
        <v>1037</v>
      </c>
      <c r="C16" s="4" t="s">
        <v>777</v>
      </c>
      <c r="D16" s="28">
        <v>0</v>
      </c>
      <c r="H16" s="4" t="s">
        <v>25</v>
      </c>
      <c r="I16" s="4" t="s">
        <v>335</v>
      </c>
      <c r="J16" s="3"/>
      <c r="K16" s="1"/>
      <c r="L16" s="1"/>
      <c r="M16" s="1"/>
      <c r="N16" s="1"/>
      <c r="P16" s="1"/>
      <c r="Q16" s="2" t="s">
        <v>774</v>
      </c>
      <c r="R16" s="1" t="s">
        <v>778</v>
      </c>
      <c r="S16" s="1"/>
      <c r="T16" s="1">
        <v>0</v>
      </c>
      <c r="U16" s="28"/>
      <c r="V16" s="1"/>
      <c r="W16" s="1"/>
      <c r="X16" s="1"/>
      <c r="Y16" s="2"/>
      <c r="Z16" s="1"/>
      <c r="AB16" s="1" t="s">
        <v>67</v>
      </c>
      <c r="AC16" s="28">
        <f t="shared" si="0"/>
        <v>109480</v>
      </c>
      <c r="AD16" s="1"/>
      <c r="AE16" s="1">
        <f t="shared" si="1"/>
        <v>0</v>
      </c>
      <c r="AF16" s="1"/>
      <c r="AG16" s="1"/>
      <c r="AL16" s="1"/>
      <c r="AO16" s="1"/>
    </row>
    <row r="17" spans="1:41" x14ac:dyDescent="0.25">
      <c r="A17" s="1" t="s">
        <v>775</v>
      </c>
      <c r="B17" s="1" t="s">
        <v>1037</v>
      </c>
      <c r="C17" s="4" t="str">
        <f>Q17</f>
        <v>WATER PUMP GASKET</v>
      </c>
      <c r="H17" s="4" t="s">
        <v>227</v>
      </c>
      <c r="I17" s="4" t="s">
        <v>335</v>
      </c>
      <c r="J17" s="3"/>
      <c r="K17" s="1"/>
      <c r="L17" s="1"/>
      <c r="M17" s="1"/>
      <c r="N17" s="1"/>
      <c r="P17" s="1"/>
      <c r="Q17" s="2" t="s">
        <v>776</v>
      </c>
      <c r="R17" s="1" t="str">
        <f>A17</f>
        <v>AJ88922</v>
      </c>
      <c r="S17" s="1"/>
      <c r="T17" s="1">
        <v>0</v>
      </c>
      <c r="U17" s="28"/>
      <c r="V17" s="1"/>
      <c r="W17" s="1"/>
      <c r="X17" s="1"/>
      <c r="Y17" s="2"/>
      <c r="Z17" s="1"/>
      <c r="AB17" s="1" t="s">
        <v>67</v>
      </c>
      <c r="AC17" s="28">
        <f t="shared" si="0"/>
        <v>109480</v>
      </c>
      <c r="AD17" s="1"/>
      <c r="AE17" s="1">
        <f t="shared" si="1"/>
        <v>0</v>
      </c>
      <c r="AF17" s="1"/>
      <c r="AG17" s="1"/>
      <c r="AL17" s="1"/>
      <c r="AO17" s="1"/>
    </row>
    <row r="18" spans="1:41" ht="60" x14ac:dyDescent="0.25">
      <c r="A18" s="1" t="s">
        <v>247</v>
      </c>
      <c r="B18" s="1" t="s">
        <v>1291</v>
      </c>
      <c r="C18" s="4" t="s">
        <v>1308</v>
      </c>
      <c r="D18" s="28">
        <v>0</v>
      </c>
      <c r="E18" s="1" t="s">
        <v>243</v>
      </c>
      <c r="F18" s="2" t="s">
        <v>244</v>
      </c>
      <c r="G18" s="2" t="s">
        <v>245</v>
      </c>
      <c r="H18" s="4" t="s">
        <v>223</v>
      </c>
      <c r="I18" s="4" t="s">
        <v>147</v>
      </c>
      <c r="J18" s="4" t="s">
        <v>82</v>
      </c>
      <c r="K18" s="1" t="s">
        <v>29</v>
      </c>
      <c r="L18" s="1"/>
      <c r="M18" s="1"/>
      <c r="N18" s="1"/>
      <c r="P18" s="2"/>
      <c r="Q18" s="2" t="s">
        <v>246</v>
      </c>
      <c r="R18" s="1" t="s">
        <v>247</v>
      </c>
      <c r="S18" s="1"/>
      <c r="T18" s="1">
        <v>0</v>
      </c>
      <c r="U18" s="28" t="s">
        <v>248</v>
      </c>
      <c r="V18" s="1"/>
      <c r="W18" s="1"/>
      <c r="X18" s="1"/>
      <c r="Y18" s="2"/>
      <c r="Z18" s="1"/>
      <c r="AB18" s="1" t="s">
        <v>67</v>
      </c>
      <c r="AC18" s="28">
        <f t="shared" si="0"/>
        <v>109480</v>
      </c>
      <c r="AD18" s="1"/>
      <c r="AE18" s="1">
        <f t="shared" si="1"/>
        <v>0</v>
      </c>
      <c r="AF18" s="1"/>
      <c r="AG18" s="1"/>
      <c r="AL18" s="1"/>
      <c r="AO18" s="1"/>
    </row>
    <row r="19" spans="1:41" x14ac:dyDescent="0.25">
      <c r="A19" s="1" t="s">
        <v>249</v>
      </c>
      <c r="B19" s="1" t="s">
        <v>1037</v>
      </c>
      <c r="C19" s="4" t="str">
        <f>Q19</f>
        <v>CYLINDER HEAD BOLT</v>
      </c>
      <c r="H19" s="4" t="s">
        <v>223</v>
      </c>
      <c r="I19" s="4" t="s">
        <v>147</v>
      </c>
      <c r="J19" s="4"/>
      <c r="K19" s="1"/>
      <c r="L19" s="1"/>
      <c r="M19" s="1"/>
      <c r="N19" s="1"/>
      <c r="P19" s="1"/>
      <c r="Q19" s="2" t="s">
        <v>250</v>
      </c>
      <c r="R19" s="1" t="str">
        <f>A19</f>
        <v>AJ89986</v>
      </c>
      <c r="S19" s="1"/>
      <c r="T19" s="1">
        <v>0</v>
      </c>
      <c r="U19" s="28"/>
      <c r="V19" s="1"/>
      <c r="W19" s="1"/>
      <c r="X19" s="1"/>
      <c r="Y19" s="2"/>
      <c r="Z19" s="1"/>
      <c r="AB19" s="1" t="s">
        <v>67</v>
      </c>
      <c r="AC19" s="28">
        <f t="shared" si="0"/>
        <v>109480</v>
      </c>
      <c r="AD19" s="1"/>
      <c r="AE19" s="1">
        <f t="shared" si="1"/>
        <v>0</v>
      </c>
      <c r="AF19" s="1"/>
      <c r="AG19" s="1"/>
      <c r="AL19" s="1"/>
      <c r="AO19" s="1"/>
    </row>
    <row r="20" spans="1:41" x14ac:dyDescent="0.25">
      <c r="A20" s="1" t="s">
        <v>1584</v>
      </c>
      <c r="B20" s="1" t="s">
        <v>1291</v>
      </c>
      <c r="C20" s="4" t="s">
        <v>1585</v>
      </c>
      <c r="D20" s="31">
        <v>4</v>
      </c>
      <c r="E20" s="2" t="s">
        <v>692</v>
      </c>
      <c r="F20" s="1" t="s">
        <v>1573</v>
      </c>
      <c r="G20" s="1" t="s">
        <v>1581</v>
      </c>
      <c r="H20" s="4" t="s">
        <v>1586</v>
      </c>
      <c r="I20" s="4" t="s">
        <v>603</v>
      </c>
      <c r="J20" s="3" t="s">
        <v>101</v>
      </c>
      <c r="K20" s="1" t="s">
        <v>29</v>
      </c>
      <c r="L20" s="1" t="s">
        <v>55</v>
      </c>
      <c r="M20" s="1" t="s">
        <v>1587</v>
      </c>
      <c r="N20" s="1"/>
      <c r="P20" s="1"/>
      <c r="Q20" s="25"/>
      <c r="R20" s="2"/>
      <c r="S20" s="13">
        <v>2</v>
      </c>
      <c r="T20" s="28"/>
      <c r="U20" s="36">
        <f>Parts[[#This Row],[Stock]]*Parts[[#This Row],[Price EU euro]]</f>
        <v>8</v>
      </c>
      <c r="V20" s="13"/>
      <c r="W20" s="13" t="s">
        <v>1513</v>
      </c>
      <c r="X20" s="13"/>
      <c r="Y20" s="12"/>
      <c r="Z20" s="1" t="s">
        <v>1589</v>
      </c>
      <c r="AA20" s="1" t="s">
        <v>1588</v>
      </c>
      <c r="AB20" s="1"/>
      <c r="AC20" s="28"/>
      <c r="AD20" s="1"/>
      <c r="AE20" s="1">
        <f t="shared" si="1"/>
        <v>8</v>
      </c>
      <c r="AF20" s="1"/>
      <c r="AG20" s="1"/>
      <c r="AL20" s="1"/>
      <c r="AO20" s="1"/>
    </row>
    <row r="21" spans="1:41" ht="30" x14ac:dyDescent="0.25">
      <c r="A21" s="2" t="s">
        <v>635</v>
      </c>
      <c r="B21" s="1" t="s">
        <v>1037</v>
      </c>
      <c r="C21" s="4" t="s">
        <v>634</v>
      </c>
      <c r="H21" s="4" t="s">
        <v>223</v>
      </c>
      <c r="I21" s="4" t="s">
        <v>225</v>
      </c>
      <c r="J21" s="3"/>
      <c r="K21" s="1" t="s">
        <v>29</v>
      </c>
      <c r="L21" s="1" t="s">
        <v>55</v>
      </c>
      <c r="M21" s="1" t="s">
        <v>109</v>
      </c>
      <c r="N21" s="1"/>
      <c r="P21" s="1"/>
      <c r="Q21" s="2" t="s">
        <v>636</v>
      </c>
      <c r="R21" s="1" t="s">
        <v>637</v>
      </c>
      <c r="S21" s="1"/>
      <c r="T21" s="1">
        <v>0</v>
      </c>
      <c r="U21" s="28" t="s">
        <v>638</v>
      </c>
      <c r="V21" s="1"/>
      <c r="W21" s="1"/>
      <c r="X21" s="1"/>
      <c r="Y21" s="2"/>
      <c r="Z21" s="1"/>
      <c r="AB21" s="1" t="s">
        <v>555</v>
      </c>
      <c r="AC21" s="28">
        <f t="shared" ref="AC21:AC41" si="2">68000*1.61</f>
        <v>109480</v>
      </c>
      <c r="AD21" s="1"/>
      <c r="AE21" s="1">
        <f t="shared" si="1"/>
        <v>0</v>
      </c>
      <c r="AF21" s="1"/>
      <c r="AG21" s="1"/>
      <c r="AL21" s="1"/>
      <c r="AO21" s="1"/>
    </row>
    <row r="22" spans="1:41" x14ac:dyDescent="0.25">
      <c r="A22" s="1" t="s">
        <v>641</v>
      </c>
      <c r="B22" s="1" t="s">
        <v>1037</v>
      </c>
      <c r="C22" s="4" t="s">
        <v>639</v>
      </c>
      <c r="H22" s="4" t="s">
        <v>640</v>
      </c>
      <c r="I22" s="4" t="s">
        <v>225</v>
      </c>
      <c r="J22" s="3"/>
      <c r="K22" s="1" t="s">
        <v>29</v>
      </c>
      <c r="L22" s="1" t="s">
        <v>55</v>
      </c>
      <c r="M22" s="1" t="s">
        <v>109</v>
      </c>
      <c r="N22" s="1"/>
      <c r="P22" s="1"/>
      <c r="Q22" s="2" t="s">
        <v>642</v>
      </c>
      <c r="R22" s="1" t="str">
        <f>A22</f>
        <v>C21069</v>
      </c>
      <c r="S22" s="1"/>
      <c r="T22" s="1">
        <v>0</v>
      </c>
      <c r="U22" s="28" t="s">
        <v>643</v>
      </c>
      <c r="V22" s="1"/>
      <c r="W22" s="1"/>
      <c r="X22" s="1"/>
      <c r="Y22" s="2"/>
      <c r="Z22" s="1"/>
      <c r="AB22" s="1" t="s">
        <v>555</v>
      </c>
      <c r="AC22" s="28">
        <f t="shared" si="2"/>
        <v>109480</v>
      </c>
      <c r="AD22" s="1"/>
      <c r="AE22" s="1">
        <f t="shared" si="1"/>
        <v>0</v>
      </c>
      <c r="AF22" s="1"/>
      <c r="AG22" s="1"/>
      <c r="AL22" s="1"/>
      <c r="AO22" s="1"/>
    </row>
    <row r="23" spans="1:41" x14ac:dyDescent="0.25">
      <c r="A23" s="1" t="s">
        <v>743</v>
      </c>
      <c r="B23" s="1" t="s">
        <v>1291</v>
      </c>
      <c r="C23" s="24" t="s">
        <v>744</v>
      </c>
      <c r="F23" s="1" t="s">
        <v>1318</v>
      </c>
      <c r="G23" s="1" t="s">
        <v>1317</v>
      </c>
      <c r="H23" s="4" t="s">
        <v>736</v>
      </c>
      <c r="I23" s="4" t="s">
        <v>680</v>
      </c>
      <c r="J23" s="4"/>
      <c r="K23" s="1"/>
      <c r="L23" s="1"/>
      <c r="M23" s="1"/>
      <c r="N23" s="1"/>
      <c r="P23" s="1"/>
      <c r="Q23" s="2" t="s">
        <v>744</v>
      </c>
      <c r="R23" s="1" t="str">
        <f>A23</f>
        <v>C2A1497</v>
      </c>
      <c r="S23" s="1"/>
      <c r="T23" s="1">
        <v>0</v>
      </c>
      <c r="U23" s="28"/>
      <c r="V23" s="1"/>
      <c r="W23" s="1"/>
      <c r="X23" s="1"/>
      <c r="Y23" s="2"/>
      <c r="Z23" s="1"/>
      <c r="AB23" s="1" t="s">
        <v>67</v>
      </c>
      <c r="AC23" s="28">
        <f t="shared" si="2"/>
        <v>109480</v>
      </c>
      <c r="AD23" s="1"/>
      <c r="AE23" s="1">
        <f t="shared" si="1"/>
        <v>0</v>
      </c>
      <c r="AF23" s="1"/>
      <c r="AG23" s="1"/>
      <c r="AL23" s="1"/>
      <c r="AO23" s="1"/>
    </row>
    <row r="24" spans="1:41" ht="30" x14ac:dyDescent="0.25">
      <c r="A24" s="1" t="s">
        <v>1343</v>
      </c>
      <c r="B24" s="1" t="s">
        <v>1291</v>
      </c>
      <c r="C24" s="4" t="s">
        <v>1324</v>
      </c>
      <c r="F24" s="1" t="s">
        <v>1307</v>
      </c>
      <c r="G24" s="1" t="s">
        <v>1306</v>
      </c>
      <c r="H24" s="4" t="s">
        <v>739</v>
      </c>
      <c r="I24" s="4" t="s">
        <v>680</v>
      </c>
      <c r="J24" s="4"/>
      <c r="K24" s="1"/>
      <c r="L24" s="1"/>
      <c r="M24" s="1"/>
      <c r="N24" s="1"/>
      <c r="P24" s="1"/>
      <c r="Q24" s="2" t="s">
        <v>742</v>
      </c>
      <c r="R24" s="1" t="str">
        <f>A24</f>
        <v>C2A1511</v>
      </c>
      <c r="S24" s="1"/>
      <c r="T24" s="1">
        <v>0</v>
      </c>
      <c r="U24" s="28"/>
      <c r="V24" s="1"/>
      <c r="W24" s="1"/>
      <c r="X24" s="1"/>
      <c r="Y24" s="2"/>
      <c r="Z24" s="1"/>
      <c r="AB24" s="1" t="s">
        <v>67</v>
      </c>
      <c r="AC24" s="28">
        <f t="shared" si="2"/>
        <v>109480</v>
      </c>
      <c r="AD24" s="1"/>
      <c r="AE24" s="1">
        <f t="shared" si="1"/>
        <v>0</v>
      </c>
      <c r="AF24" s="1"/>
      <c r="AG24" s="1"/>
      <c r="AL24" s="1"/>
      <c r="AO24" s="1"/>
    </row>
    <row r="25" spans="1:41" ht="30" x14ac:dyDescent="0.25">
      <c r="A25" s="1" t="s">
        <v>1344</v>
      </c>
      <c r="B25" s="1" t="s">
        <v>1291</v>
      </c>
      <c r="C25" s="4" t="s">
        <v>1325</v>
      </c>
      <c r="F25" s="1" t="s">
        <v>1307</v>
      </c>
      <c r="G25" s="1" t="s">
        <v>1306</v>
      </c>
      <c r="H25" s="4" t="s">
        <v>739</v>
      </c>
      <c r="I25" s="4" t="s">
        <v>680</v>
      </c>
      <c r="J25" s="4"/>
      <c r="K25" s="1"/>
      <c r="L25" s="1"/>
      <c r="M25" s="1"/>
      <c r="N25" s="1"/>
      <c r="P25" s="1"/>
      <c r="Q25" s="2" t="s">
        <v>740</v>
      </c>
      <c r="R25" s="1" t="str">
        <f>A25</f>
        <v>C2A1512</v>
      </c>
      <c r="S25" s="1"/>
      <c r="T25" s="1">
        <v>0</v>
      </c>
      <c r="U25" s="28"/>
      <c r="V25" s="1"/>
      <c r="W25" s="1"/>
      <c r="X25" s="1"/>
      <c r="Y25" s="2"/>
      <c r="Z25" s="1"/>
      <c r="AB25" s="1" t="s">
        <v>67</v>
      </c>
      <c r="AC25" s="28">
        <f t="shared" si="2"/>
        <v>109480</v>
      </c>
      <c r="AD25" s="1"/>
      <c r="AE25" s="1">
        <f t="shared" si="1"/>
        <v>0</v>
      </c>
      <c r="AF25" s="1"/>
      <c r="AG25" s="1"/>
      <c r="AL25" s="1"/>
      <c r="AO25" s="1"/>
    </row>
    <row r="26" spans="1:41" ht="30" x14ac:dyDescent="0.25">
      <c r="A26" s="1" t="s">
        <v>1191</v>
      </c>
      <c r="B26" s="1" t="s">
        <v>1188</v>
      </c>
      <c r="C26" s="4" t="s">
        <v>1189</v>
      </c>
      <c r="D26" s="28">
        <v>1</v>
      </c>
      <c r="E26" s="2" t="s">
        <v>1193</v>
      </c>
      <c r="G26" s="1" t="s">
        <v>1194</v>
      </c>
      <c r="H26" s="4" t="s">
        <v>1190</v>
      </c>
      <c r="I26" s="4" t="s">
        <v>1192</v>
      </c>
      <c r="J26" s="3" t="s">
        <v>82</v>
      </c>
      <c r="K26" s="1" t="s">
        <v>29</v>
      </c>
      <c r="L26" s="1" t="s">
        <v>31</v>
      </c>
      <c r="M26" s="1" t="s">
        <v>31</v>
      </c>
      <c r="N26" s="1" t="s">
        <v>31</v>
      </c>
      <c r="O26" s="1" t="s">
        <v>31</v>
      </c>
      <c r="P26" s="1"/>
      <c r="Q26" s="2" t="s">
        <v>1189</v>
      </c>
      <c r="R26" s="2" t="s">
        <v>1195</v>
      </c>
      <c r="S26" s="1">
        <v>65</v>
      </c>
      <c r="T26" s="28">
        <v>1</v>
      </c>
      <c r="U26" s="28">
        <v>65</v>
      </c>
      <c r="V26" s="1"/>
      <c r="W26" s="1"/>
      <c r="X26" s="1" t="s">
        <v>47</v>
      </c>
      <c r="Y26" s="2"/>
      <c r="Z26" s="1"/>
      <c r="AB26" s="1" t="s">
        <v>1196</v>
      </c>
      <c r="AC26" s="28">
        <f t="shared" si="2"/>
        <v>109480</v>
      </c>
      <c r="AD26" s="1" t="s">
        <v>48</v>
      </c>
      <c r="AE26" s="1">
        <f t="shared" si="1"/>
        <v>65</v>
      </c>
      <c r="AF26" s="1"/>
      <c r="AG26" s="1"/>
      <c r="AL26" s="1"/>
      <c r="AO26" s="1"/>
    </row>
    <row r="27" spans="1:41" ht="45" x14ac:dyDescent="0.25">
      <c r="A27" s="1" t="s">
        <v>308</v>
      </c>
      <c r="B27" s="1" t="s">
        <v>1037</v>
      </c>
      <c r="C27" s="4" t="s">
        <v>1382</v>
      </c>
      <c r="D27" s="28">
        <v>0</v>
      </c>
      <c r="F27" s="2" t="s">
        <v>309</v>
      </c>
      <c r="G27" s="2" t="s">
        <v>310</v>
      </c>
      <c r="I27" s="4" t="s">
        <v>147</v>
      </c>
      <c r="J27" s="4"/>
      <c r="K27" s="1"/>
      <c r="L27" s="1"/>
      <c r="M27" s="1"/>
      <c r="N27" s="1"/>
      <c r="P27" s="2"/>
      <c r="Q27" s="2" t="s">
        <v>311</v>
      </c>
      <c r="R27" s="1" t="str">
        <f>A27</f>
        <v>C2C22758</v>
      </c>
      <c r="S27" s="1"/>
      <c r="T27" s="1">
        <v>0</v>
      </c>
      <c r="U27" s="28" t="s">
        <v>312</v>
      </c>
      <c r="V27" s="1"/>
      <c r="W27" s="1"/>
      <c r="X27" s="1"/>
      <c r="Y27" s="2"/>
      <c r="Z27" s="1"/>
      <c r="AB27" s="1"/>
      <c r="AC27" s="28">
        <f t="shared" si="2"/>
        <v>109480</v>
      </c>
      <c r="AD27" s="1"/>
      <c r="AE27" s="1">
        <f t="shared" si="1"/>
        <v>0</v>
      </c>
      <c r="AF27" s="1"/>
      <c r="AG27" s="1"/>
      <c r="AL27" s="1"/>
      <c r="AO27" s="1"/>
    </row>
    <row r="28" spans="1:41" x14ac:dyDescent="0.25">
      <c r="A28" s="1" t="s">
        <v>1386</v>
      </c>
      <c r="B28" s="1" t="s">
        <v>1220</v>
      </c>
      <c r="C28" s="4" t="s">
        <v>1385</v>
      </c>
      <c r="E28" s="2"/>
      <c r="H28" s="4" t="s">
        <v>319</v>
      </c>
      <c r="I28" s="4"/>
      <c r="J28" s="3"/>
      <c r="K28" s="1"/>
      <c r="L28" s="1"/>
      <c r="M28" s="1"/>
      <c r="N28" s="1"/>
      <c r="P28" s="1"/>
      <c r="R28" s="2"/>
      <c r="S28" s="1">
        <v>20</v>
      </c>
      <c r="T28" s="1">
        <v>0</v>
      </c>
      <c r="U28" s="28"/>
      <c r="V28" s="1"/>
      <c r="W28" s="1"/>
      <c r="X28" s="1"/>
      <c r="Y28" s="2"/>
      <c r="Z28" s="1"/>
      <c r="AB28" s="1"/>
      <c r="AC28" s="28">
        <f t="shared" si="2"/>
        <v>109480</v>
      </c>
      <c r="AD28" s="1"/>
      <c r="AE28" s="1">
        <f t="shared" si="1"/>
        <v>0</v>
      </c>
      <c r="AF28" s="1"/>
      <c r="AG28" s="1"/>
      <c r="AL28" s="1"/>
      <c r="AO28" s="1"/>
    </row>
    <row r="29" spans="1:41" ht="30" x14ac:dyDescent="0.25">
      <c r="A29" s="2" t="s">
        <v>816</v>
      </c>
      <c r="B29" s="1" t="s">
        <v>1037</v>
      </c>
      <c r="C29" s="4" t="s">
        <v>815</v>
      </c>
      <c r="E29" s="2"/>
      <c r="H29" s="4" t="s">
        <v>223</v>
      </c>
      <c r="I29" s="4" t="s">
        <v>225</v>
      </c>
      <c r="J29" s="3" t="s">
        <v>101</v>
      </c>
      <c r="K29" s="1" t="s">
        <v>29</v>
      </c>
      <c r="L29" s="1" t="s">
        <v>55</v>
      </c>
      <c r="M29" s="1"/>
      <c r="N29" s="1"/>
      <c r="P29" s="1"/>
      <c r="Q29" s="2" t="s">
        <v>817</v>
      </c>
      <c r="R29" s="1" t="s">
        <v>818</v>
      </c>
      <c r="S29" s="1"/>
      <c r="T29" s="1">
        <v>0</v>
      </c>
      <c r="U29" s="28" t="s">
        <v>819</v>
      </c>
      <c r="V29" s="1"/>
      <c r="W29" s="1"/>
      <c r="X29" s="1"/>
      <c r="Y29" s="2"/>
      <c r="Z29" s="1"/>
      <c r="AB29" s="1" t="s">
        <v>307</v>
      </c>
      <c r="AC29" s="28">
        <f t="shared" si="2"/>
        <v>109480</v>
      </c>
      <c r="AD29" s="1"/>
      <c r="AE29" s="1">
        <f t="shared" si="1"/>
        <v>0</v>
      </c>
      <c r="AF29" s="1"/>
      <c r="AG29" s="1"/>
      <c r="AL29" s="1"/>
      <c r="AO29" s="1"/>
    </row>
    <row r="30" spans="1:41" ht="30" x14ac:dyDescent="0.25">
      <c r="A30" s="1" t="s">
        <v>1279</v>
      </c>
      <c r="B30" s="1" t="s">
        <v>1284</v>
      </c>
      <c r="C30" s="4" t="s">
        <v>1280</v>
      </c>
      <c r="D30" s="28">
        <v>2</v>
      </c>
      <c r="E30" s="2" t="s">
        <v>1282</v>
      </c>
      <c r="H30" s="4" t="s">
        <v>781</v>
      </c>
      <c r="I30" s="4" t="s">
        <v>781</v>
      </c>
      <c r="J30" s="3"/>
      <c r="K30" s="1" t="s">
        <v>59</v>
      </c>
      <c r="L30" s="1" t="s">
        <v>1281</v>
      </c>
      <c r="M30" s="1" t="s">
        <v>84</v>
      </c>
      <c r="N30" s="1" t="s">
        <v>692</v>
      </c>
      <c r="P30" s="1"/>
      <c r="Q30" s="2" t="s">
        <v>1283</v>
      </c>
      <c r="R30" s="2" t="str">
        <f t="shared" ref="R30:R40" si="3">A30</f>
        <v>CAC4610</v>
      </c>
      <c r="S30" s="1">
        <v>15</v>
      </c>
      <c r="T30" s="28">
        <v>0</v>
      </c>
      <c r="U30" s="28">
        <f>S30</f>
        <v>15</v>
      </c>
      <c r="V30" s="1"/>
      <c r="W30" s="1"/>
      <c r="X30" s="1" t="s">
        <v>78</v>
      </c>
      <c r="Y30" s="2"/>
      <c r="Z30" s="1"/>
      <c r="AB30" s="1" t="s">
        <v>1285</v>
      </c>
      <c r="AC30" s="28">
        <f t="shared" si="2"/>
        <v>109480</v>
      </c>
      <c r="AD30" s="1" t="s">
        <v>175</v>
      </c>
      <c r="AE30" s="1">
        <f t="shared" si="1"/>
        <v>30</v>
      </c>
      <c r="AF30" s="1"/>
      <c r="AG30" s="1"/>
      <c r="AL30" s="1"/>
      <c r="AO30" s="1"/>
    </row>
    <row r="31" spans="1:41" ht="30" x14ac:dyDescent="0.25">
      <c r="A31" s="1" t="s">
        <v>983</v>
      </c>
      <c r="B31" s="1" t="s">
        <v>1037</v>
      </c>
      <c r="C31" s="4" t="s">
        <v>982</v>
      </c>
      <c r="D31" s="28">
        <v>0</v>
      </c>
      <c r="E31" s="2" t="s">
        <v>984</v>
      </c>
      <c r="F31" s="10" t="s">
        <v>750</v>
      </c>
      <c r="G31" s="10" t="s">
        <v>390</v>
      </c>
      <c r="H31" s="4" t="s">
        <v>781</v>
      </c>
      <c r="I31" s="4" t="s">
        <v>781</v>
      </c>
      <c r="J31" s="3"/>
      <c r="K31" s="1" t="s">
        <v>59</v>
      </c>
      <c r="L31" s="1" t="s">
        <v>55</v>
      </c>
      <c r="M31" s="1"/>
      <c r="N31" s="1"/>
      <c r="P31" s="10"/>
      <c r="R31" s="2" t="str">
        <f t="shared" si="3"/>
        <v>CAC6332</v>
      </c>
      <c r="S31" s="1"/>
      <c r="T31" s="1">
        <v>0</v>
      </c>
      <c r="U31" s="28"/>
      <c r="V31" s="1"/>
      <c r="W31" s="1"/>
      <c r="X31" s="1"/>
      <c r="Y31" s="2"/>
      <c r="Z31" s="1"/>
      <c r="AB31" s="1"/>
      <c r="AC31" s="28">
        <f t="shared" si="2"/>
        <v>109480</v>
      </c>
      <c r="AD31" s="1"/>
      <c r="AE31" s="1">
        <f t="shared" si="1"/>
        <v>0</v>
      </c>
      <c r="AF31" s="1"/>
      <c r="AG31" s="1"/>
      <c r="AL31" s="1"/>
      <c r="AO31" s="1"/>
    </row>
    <row r="32" spans="1:41" ht="30" x14ac:dyDescent="0.25">
      <c r="A32" s="1" t="s">
        <v>992</v>
      </c>
      <c r="B32" s="1" t="s">
        <v>1037</v>
      </c>
      <c r="C32" s="4" t="s">
        <v>991</v>
      </c>
      <c r="E32" s="2" t="s">
        <v>993</v>
      </c>
      <c r="H32" s="4" t="s">
        <v>781</v>
      </c>
      <c r="I32" s="4" t="s">
        <v>781</v>
      </c>
      <c r="J32" s="3"/>
      <c r="K32" s="1" t="s">
        <v>59</v>
      </c>
      <c r="L32" s="1" t="s">
        <v>55</v>
      </c>
      <c r="M32" s="1"/>
      <c r="N32" s="1"/>
      <c r="P32" s="1"/>
      <c r="R32" s="2" t="str">
        <f t="shared" si="3"/>
        <v>CAC6333</v>
      </c>
      <c r="S32" s="1"/>
      <c r="T32" s="1">
        <v>0</v>
      </c>
      <c r="U32" s="28"/>
      <c r="V32" s="1"/>
      <c r="W32" s="1"/>
      <c r="X32" s="1"/>
      <c r="Y32" s="2"/>
      <c r="Z32" s="1"/>
      <c r="AB32" s="1"/>
      <c r="AC32" s="28">
        <f t="shared" si="2"/>
        <v>109480</v>
      </c>
      <c r="AD32" s="1"/>
      <c r="AE32" s="1">
        <f t="shared" si="1"/>
        <v>0</v>
      </c>
      <c r="AF32" s="1"/>
      <c r="AG32" s="1"/>
      <c r="AL32" s="1"/>
      <c r="AO32" s="1"/>
    </row>
    <row r="33" spans="1:41" x14ac:dyDescent="0.25">
      <c r="A33" s="1" t="s">
        <v>339</v>
      </c>
      <c r="B33" s="1" t="s">
        <v>1037</v>
      </c>
      <c r="C33" s="4" t="str">
        <f>Q33</f>
        <v>FUEL FILTER O-RING</v>
      </c>
      <c r="H33" s="4" t="s">
        <v>227</v>
      </c>
      <c r="I33" s="4" t="s">
        <v>337</v>
      </c>
      <c r="J33" s="3"/>
      <c r="K33" s="1"/>
      <c r="L33" s="1"/>
      <c r="M33" s="1"/>
      <c r="N33" s="1"/>
      <c r="P33" s="1"/>
      <c r="Q33" s="2" t="s">
        <v>340</v>
      </c>
      <c r="R33" s="1" t="str">
        <f t="shared" si="3"/>
        <v>CAC89682</v>
      </c>
      <c r="S33" s="1"/>
      <c r="T33" s="1">
        <v>0</v>
      </c>
      <c r="U33" s="28"/>
      <c r="V33" s="1"/>
      <c r="W33" s="1"/>
      <c r="X33" s="1"/>
      <c r="Y33" s="2"/>
      <c r="Z33" s="1"/>
      <c r="AB33" s="1" t="s">
        <v>67</v>
      </c>
      <c r="AC33" s="28">
        <f t="shared" si="2"/>
        <v>109480</v>
      </c>
      <c r="AD33" s="1"/>
      <c r="AE33" s="1">
        <f t="shared" si="1"/>
        <v>0</v>
      </c>
      <c r="AF33" s="1"/>
      <c r="AG33" s="1"/>
      <c r="AL33" s="1"/>
      <c r="AO33" s="1"/>
    </row>
    <row r="34" spans="1:41" ht="30" x14ac:dyDescent="0.25">
      <c r="A34" s="1" t="s">
        <v>1031</v>
      </c>
      <c r="B34" s="1" t="s">
        <v>1037</v>
      </c>
      <c r="C34" s="4" t="s">
        <v>1030</v>
      </c>
      <c r="E34" s="2" t="s">
        <v>1032</v>
      </c>
      <c r="H34" s="4" t="s">
        <v>163</v>
      </c>
      <c r="I34" s="4" t="s">
        <v>781</v>
      </c>
      <c r="J34" s="3"/>
      <c r="K34" s="1" t="s">
        <v>59</v>
      </c>
      <c r="L34" s="1" t="s">
        <v>55</v>
      </c>
      <c r="M34" s="1"/>
      <c r="N34" s="1"/>
      <c r="P34" s="1"/>
      <c r="R34" s="2" t="str">
        <f t="shared" si="3"/>
        <v>CBC1706</v>
      </c>
      <c r="S34" s="1"/>
      <c r="T34" s="1">
        <v>0</v>
      </c>
      <c r="U34" s="28"/>
      <c r="V34" s="1"/>
      <c r="W34" s="1"/>
      <c r="X34" s="1"/>
      <c r="Y34" s="2"/>
      <c r="Z34" s="1"/>
      <c r="AB34" s="1"/>
      <c r="AC34" s="28">
        <f t="shared" si="2"/>
        <v>109480</v>
      </c>
      <c r="AD34" s="1"/>
      <c r="AE34" s="1">
        <f t="shared" ref="AE34:AE65" si="4">S34*D34</f>
        <v>0</v>
      </c>
      <c r="AF34" s="1"/>
      <c r="AG34" s="1"/>
      <c r="AL34" s="1"/>
      <c r="AO34" s="1"/>
    </row>
    <row r="35" spans="1:41" ht="30" x14ac:dyDescent="0.25">
      <c r="A35" s="1" t="s">
        <v>540</v>
      </c>
      <c r="B35" s="1" t="s">
        <v>1037</v>
      </c>
      <c r="C35" s="4" t="s">
        <v>539</v>
      </c>
      <c r="D35" s="28">
        <v>1</v>
      </c>
      <c r="E35" s="2" t="s">
        <v>542</v>
      </c>
      <c r="H35" s="4" t="s">
        <v>260</v>
      </c>
      <c r="I35" s="4" t="s">
        <v>541</v>
      </c>
      <c r="J35" s="3"/>
      <c r="K35" s="1" t="s">
        <v>59</v>
      </c>
      <c r="L35" s="1" t="s">
        <v>55</v>
      </c>
      <c r="M35" s="1" t="s">
        <v>84</v>
      </c>
      <c r="N35" s="1"/>
      <c r="O35" s="1" t="s">
        <v>32</v>
      </c>
      <c r="P35" s="1"/>
      <c r="Q35" s="19" t="s">
        <v>539</v>
      </c>
      <c r="R35" s="2" t="str">
        <f t="shared" si="3"/>
        <v>CBC2268</v>
      </c>
      <c r="S35" s="1">
        <v>95</v>
      </c>
      <c r="T35" s="28">
        <v>0</v>
      </c>
      <c r="U35" s="28"/>
      <c r="V35" s="1"/>
      <c r="W35" s="1"/>
      <c r="X35" s="1" t="s">
        <v>47</v>
      </c>
      <c r="Y35" s="2"/>
      <c r="Z35" s="1"/>
      <c r="AB35" s="29" t="s">
        <v>1241</v>
      </c>
      <c r="AC35" s="28">
        <f t="shared" si="2"/>
        <v>109480</v>
      </c>
      <c r="AD35" s="1" t="s">
        <v>41</v>
      </c>
      <c r="AE35" s="1">
        <f t="shared" si="4"/>
        <v>95</v>
      </c>
      <c r="AF35" s="1"/>
      <c r="AG35" s="1"/>
      <c r="AL35" s="1"/>
      <c r="AO35" s="1"/>
    </row>
    <row r="36" spans="1:41" ht="30" x14ac:dyDescent="0.25">
      <c r="A36" s="1" t="s">
        <v>858</v>
      </c>
      <c r="B36" s="1" t="s">
        <v>1037</v>
      </c>
      <c r="C36" s="4" t="s">
        <v>855</v>
      </c>
      <c r="D36" s="28">
        <v>1</v>
      </c>
      <c r="E36" s="2" t="s">
        <v>857</v>
      </c>
      <c r="H36" s="4" t="s">
        <v>260</v>
      </c>
      <c r="I36" s="4" t="s">
        <v>225</v>
      </c>
      <c r="J36" s="3"/>
      <c r="K36" s="1" t="s">
        <v>59</v>
      </c>
      <c r="L36" s="1" t="s">
        <v>60</v>
      </c>
      <c r="M36" s="1" t="s">
        <v>84</v>
      </c>
      <c r="N36" s="1"/>
      <c r="O36" s="1" t="s">
        <v>32</v>
      </c>
      <c r="P36" s="1"/>
      <c r="Q36" s="19"/>
      <c r="R36" s="2" t="str">
        <f t="shared" si="3"/>
        <v>CBC2964</v>
      </c>
      <c r="S36" s="1">
        <v>55</v>
      </c>
      <c r="T36" s="28">
        <v>0</v>
      </c>
      <c r="U36" s="28"/>
      <c r="V36" s="1"/>
      <c r="W36" s="1"/>
      <c r="X36" s="1" t="s">
        <v>47</v>
      </c>
      <c r="Y36" s="2"/>
      <c r="Z36" s="1"/>
      <c r="AB36" s="29" t="s">
        <v>1241</v>
      </c>
      <c r="AC36" s="28">
        <f t="shared" si="2"/>
        <v>109480</v>
      </c>
      <c r="AD36" s="1" t="s">
        <v>41</v>
      </c>
      <c r="AE36" s="1">
        <f t="shared" si="4"/>
        <v>55</v>
      </c>
      <c r="AF36" s="1"/>
      <c r="AG36" s="1"/>
      <c r="AL36" s="1"/>
      <c r="AO36" s="1"/>
    </row>
    <row r="37" spans="1:41" ht="30" x14ac:dyDescent="0.25">
      <c r="A37" s="1" t="s">
        <v>856</v>
      </c>
      <c r="B37" s="1" t="s">
        <v>1037</v>
      </c>
      <c r="C37" s="4" t="s">
        <v>855</v>
      </c>
      <c r="D37" s="28">
        <v>1</v>
      </c>
      <c r="E37" s="2" t="s">
        <v>857</v>
      </c>
      <c r="H37" s="4" t="s">
        <v>260</v>
      </c>
      <c r="I37" s="4" t="s">
        <v>225</v>
      </c>
      <c r="J37" s="3"/>
      <c r="K37" s="1" t="s">
        <v>59</v>
      </c>
      <c r="L37" s="1" t="s">
        <v>30</v>
      </c>
      <c r="M37" s="1" t="s">
        <v>84</v>
      </c>
      <c r="N37" s="1"/>
      <c r="O37" s="1" t="s">
        <v>32</v>
      </c>
      <c r="P37" s="1"/>
      <c r="Q37" s="19"/>
      <c r="R37" s="2" t="str">
        <f t="shared" si="3"/>
        <v>CBC2965</v>
      </c>
      <c r="S37" s="1">
        <v>55</v>
      </c>
      <c r="T37" s="28">
        <v>0</v>
      </c>
      <c r="U37" s="28"/>
      <c r="V37" s="1"/>
      <c r="W37" s="1"/>
      <c r="X37" s="1" t="s">
        <v>47</v>
      </c>
      <c r="Y37" s="2"/>
      <c r="Z37" s="1"/>
      <c r="AB37" s="29" t="s">
        <v>1241</v>
      </c>
      <c r="AC37" s="28">
        <f t="shared" si="2"/>
        <v>109480</v>
      </c>
      <c r="AD37" s="1" t="s">
        <v>41</v>
      </c>
      <c r="AE37" s="1">
        <f t="shared" si="4"/>
        <v>55</v>
      </c>
      <c r="AF37" s="1"/>
      <c r="AG37" s="1"/>
      <c r="AL37" s="1"/>
      <c r="AO37" s="1"/>
    </row>
    <row r="38" spans="1:41" ht="30" x14ac:dyDescent="0.25">
      <c r="A38" s="1" t="s">
        <v>1024</v>
      </c>
      <c r="B38" s="1" t="s">
        <v>1037</v>
      </c>
      <c r="C38" s="4" t="s">
        <v>1022</v>
      </c>
      <c r="E38" s="2" t="s">
        <v>1025</v>
      </c>
      <c r="H38" s="4" t="s">
        <v>1023</v>
      </c>
      <c r="I38" s="4" t="s">
        <v>781</v>
      </c>
      <c r="J38" s="3"/>
      <c r="K38" s="1" t="s">
        <v>59</v>
      </c>
      <c r="L38" s="1" t="s">
        <v>55</v>
      </c>
      <c r="M38" s="1"/>
      <c r="N38" s="1"/>
      <c r="P38" s="1"/>
      <c r="R38" s="2" t="str">
        <f t="shared" si="3"/>
        <v>CBC8207</v>
      </c>
      <c r="S38" s="1"/>
      <c r="T38" s="1">
        <v>0</v>
      </c>
      <c r="U38" s="28"/>
      <c r="V38" s="1"/>
      <c r="W38" s="1"/>
      <c r="X38" s="1"/>
      <c r="Y38" s="2"/>
      <c r="Z38" s="1"/>
      <c r="AB38" s="1"/>
      <c r="AC38" s="28">
        <f t="shared" si="2"/>
        <v>109480</v>
      </c>
      <c r="AD38" s="1"/>
      <c r="AE38" s="1">
        <f t="shared" si="4"/>
        <v>0</v>
      </c>
      <c r="AF38" s="1"/>
      <c r="AG38" s="1"/>
      <c r="AL38" s="1"/>
      <c r="AO38" s="1"/>
    </row>
    <row r="39" spans="1:41" ht="30" x14ac:dyDescent="0.25">
      <c r="A39" s="1" t="s">
        <v>848</v>
      </c>
      <c r="B39" s="1" t="s">
        <v>1037</v>
      </c>
      <c r="C39" s="4" t="s">
        <v>847</v>
      </c>
      <c r="D39" s="28">
        <v>1</v>
      </c>
      <c r="E39" s="2" t="s">
        <v>849</v>
      </c>
      <c r="G39" s="10" t="s">
        <v>850</v>
      </c>
      <c r="H39" s="4" t="s">
        <v>260</v>
      </c>
      <c r="I39" s="4" t="s">
        <v>225</v>
      </c>
      <c r="J39" s="3"/>
      <c r="K39" s="1" t="s">
        <v>59</v>
      </c>
      <c r="L39" s="1" t="s">
        <v>83</v>
      </c>
      <c r="M39" s="1" t="s">
        <v>84</v>
      </c>
      <c r="N39" s="1"/>
      <c r="O39" s="1" t="s">
        <v>32</v>
      </c>
      <c r="P39" s="10"/>
      <c r="Q39" s="19" t="s">
        <v>847</v>
      </c>
      <c r="R39" s="2" t="str">
        <f t="shared" si="3"/>
        <v>CCC2890</v>
      </c>
      <c r="S39" s="1">
        <v>145</v>
      </c>
      <c r="T39" s="28">
        <v>0</v>
      </c>
      <c r="U39" s="28"/>
      <c r="V39" s="1"/>
      <c r="W39" s="1"/>
      <c r="X39" s="1" t="s">
        <v>47</v>
      </c>
      <c r="Y39" s="2"/>
      <c r="Z39" s="1"/>
      <c r="AB39" s="29" t="s">
        <v>1241</v>
      </c>
      <c r="AC39" s="28">
        <f t="shared" si="2"/>
        <v>109480</v>
      </c>
      <c r="AD39" s="1" t="s">
        <v>41</v>
      </c>
      <c r="AE39" s="1">
        <f t="shared" si="4"/>
        <v>145</v>
      </c>
      <c r="AF39" s="1"/>
      <c r="AG39" s="1"/>
      <c r="AL39" s="1"/>
      <c r="AO39" s="1"/>
    </row>
    <row r="40" spans="1:41" ht="30" x14ac:dyDescent="0.25">
      <c r="A40" s="1" t="s">
        <v>1034</v>
      </c>
      <c r="B40" s="1" t="s">
        <v>1037</v>
      </c>
      <c r="C40" s="4" t="s">
        <v>1033</v>
      </c>
      <c r="E40" s="2" t="s">
        <v>1035</v>
      </c>
      <c r="H40" s="4" t="s">
        <v>163</v>
      </c>
      <c r="I40" s="4" t="s">
        <v>781</v>
      </c>
      <c r="J40" s="3"/>
      <c r="K40" s="1" t="s">
        <v>59</v>
      </c>
      <c r="L40" s="1" t="s">
        <v>55</v>
      </c>
      <c r="M40" s="1"/>
      <c r="N40" s="1"/>
      <c r="P40" s="1"/>
      <c r="R40" s="2" t="str">
        <f t="shared" si="3"/>
        <v>CCC4466</v>
      </c>
      <c r="S40" s="1"/>
      <c r="T40" s="1">
        <v>0</v>
      </c>
      <c r="U40" s="28"/>
      <c r="V40" s="1"/>
      <c r="W40" s="1"/>
      <c r="X40" s="1"/>
      <c r="Y40" s="2"/>
      <c r="Z40" s="1"/>
      <c r="AB40" s="1"/>
      <c r="AC40" s="28">
        <f t="shared" si="2"/>
        <v>109480</v>
      </c>
      <c r="AD40" s="1"/>
      <c r="AE40" s="1">
        <f t="shared" si="4"/>
        <v>0</v>
      </c>
      <c r="AF40" s="1"/>
      <c r="AG40" s="1"/>
      <c r="AL40" s="1"/>
      <c r="AO40" s="1"/>
    </row>
    <row r="41" spans="1:41" ht="45" x14ac:dyDescent="0.25">
      <c r="A41" s="1" t="s">
        <v>371</v>
      </c>
      <c r="B41" s="1" t="s">
        <v>1037</v>
      </c>
      <c r="C41" s="4" t="s">
        <v>370</v>
      </c>
      <c r="E41" s="2" t="s">
        <v>373</v>
      </c>
      <c r="H41" s="4" t="s">
        <v>342</v>
      </c>
      <c r="I41" s="4" t="s">
        <v>372</v>
      </c>
      <c r="J41" s="3"/>
      <c r="K41" s="1"/>
      <c r="L41" s="1"/>
      <c r="M41" s="1"/>
      <c r="N41" s="1"/>
      <c r="P41" s="1"/>
      <c r="Q41" s="2" t="s">
        <v>374</v>
      </c>
      <c r="R41" s="1" t="s">
        <v>375</v>
      </c>
      <c r="S41" s="1"/>
      <c r="T41" s="1">
        <v>0</v>
      </c>
      <c r="U41" s="28" t="s">
        <v>376</v>
      </c>
      <c r="V41" s="1"/>
      <c r="W41" s="1"/>
      <c r="X41" s="1"/>
      <c r="Y41" s="2"/>
      <c r="Z41" s="1"/>
      <c r="AB41" s="1" t="s">
        <v>307</v>
      </c>
      <c r="AC41" s="28">
        <f t="shared" si="2"/>
        <v>109480</v>
      </c>
      <c r="AD41" s="1"/>
      <c r="AE41" s="1">
        <f t="shared" si="4"/>
        <v>0</v>
      </c>
      <c r="AF41" s="1"/>
      <c r="AG41" s="1"/>
      <c r="AL41" s="1"/>
      <c r="AO41" s="1"/>
    </row>
    <row r="42" spans="1:41" ht="30" x14ac:dyDescent="0.25">
      <c r="A42" s="1" t="s">
        <v>1578</v>
      </c>
      <c r="B42" s="1" t="s">
        <v>1291</v>
      </c>
      <c r="C42" s="4" t="s">
        <v>1579</v>
      </c>
      <c r="D42" s="31">
        <v>6</v>
      </c>
      <c r="E42" s="2" t="s">
        <v>1580</v>
      </c>
      <c r="F42" s="1" t="s">
        <v>1573</v>
      </c>
      <c r="G42" s="1" t="s">
        <v>1581</v>
      </c>
      <c r="H42" s="4" t="s">
        <v>988</v>
      </c>
      <c r="I42" s="4" t="s">
        <v>783</v>
      </c>
      <c r="J42" s="3" t="s">
        <v>101</v>
      </c>
      <c r="K42" s="1" t="s">
        <v>1574</v>
      </c>
      <c r="L42" s="1" t="s">
        <v>1508</v>
      </c>
      <c r="M42" s="1"/>
      <c r="N42" s="1"/>
      <c r="P42" s="1"/>
      <c r="Q42" s="25"/>
      <c r="R42" s="2"/>
      <c r="S42" s="13">
        <v>5</v>
      </c>
      <c r="T42" s="28"/>
      <c r="U42" s="36">
        <f>Parts[[#This Row],[Stock]]*Parts[[#This Row],[Price EU euro]]</f>
        <v>30</v>
      </c>
      <c r="V42" s="13"/>
      <c r="W42" s="13" t="s">
        <v>1513</v>
      </c>
      <c r="X42" s="13"/>
      <c r="Y42" s="12" t="s">
        <v>1582</v>
      </c>
      <c r="Z42" s="1"/>
      <c r="AA42" s="1" t="s">
        <v>1583</v>
      </c>
      <c r="AB42" s="1"/>
      <c r="AC42" s="28"/>
      <c r="AD42" s="1"/>
      <c r="AE42" s="1">
        <f t="shared" si="4"/>
        <v>30</v>
      </c>
      <c r="AF42" s="1"/>
      <c r="AG42" s="1"/>
      <c r="AL42" s="1"/>
      <c r="AO42" s="1"/>
    </row>
    <row r="43" spans="1:41" x14ac:dyDescent="0.25">
      <c r="A43" s="1" t="s">
        <v>734</v>
      </c>
      <c r="B43" s="1" t="s">
        <v>1291</v>
      </c>
      <c r="C43" s="4" t="s">
        <v>1316</v>
      </c>
      <c r="F43" s="1" t="s">
        <v>1318</v>
      </c>
      <c r="G43" s="1" t="s">
        <v>1317</v>
      </c>
      <c r="H43" s="4" t="s">
        <v>678</v>
      </c>
      <c r="I43" s="4" t="s">
        <v>680</v>
      </c>
      <c r="J43" s="4"/>
      <c r="K43" s="1"/>
      <c r="L43" s="1"/>
      <c r="M43" s="1"/>
      <c r="N43" s="1"/>
      <c r="P43" s="1"/>
      <c r="Q43" s="2" t="s">
        <v>735</v>
      </c>
      <c r="R43" s="1" t="str">
        <f>A43</f>
        <v>EAZ1269</v>
      </c>
      <c r="S43" s="1"/>
      <c r="T43" s="1">
        <v>0</v>
      </c>
      <c r="U43" s="28"/>
      <c r="V43" s="1"/>
      <c r="W43" s="1"/>
      <c r="X43" s="1"/>
      <c r="Y43" s="2"/>
      <c r="Z43" s="1"/>
      <c r="AB43" s="1" t="s">
        <v>67</v>
      </c>
      <c r="AC43" s="28">
        <f t="shared" ref="AC43:AC74" si="5">68000*1.61</f>
        <v>109480</v>
      </c>
      <c r="AD43" s="1"/>
      <c r="AE43" s="1">
        <f t="shared" si="4"/>
        <v>0</v>
      </c>
      <c r="AF43" s="1"/>
      <c r="AG43" s="1"/>
      <c r="AL43" s="1"/>
      <c r="AO43" s="1"/>
    </row>
    <row r="44" spans="1:41" x14ac:dyDescent="0.25">
      <c r="A44" s="1" t="s">
        <v>679</v>
      </c>
      <c r="B44" s="1" t="s">
        <v>1291</v>
      </c>
      <c r="C44" s="4" t="s">
        <v>1315</v>
      </c>
      <c r="F44" s="1" t="s">
        <v>1318</v>
      </c>
      <c r="G44" s="1" t="s">
        <v>1317</v>
      </c>
      <c r="H44" s="4" t="s">
        <v>678</v>
      </c>
      <c r="I44" s="4" t="s">
        <v>680</v>
      </c>
      <c r="J44" s="3"/>
      <c r="K44" s="1"/>
      <c r="L44" s="1"/>
      <c r="M44" s="1"/>
      <c r="N44" s="1"/>
      <c r="P44" s="1"/>
      <c r="Q44" s="2" t="s">
        <v>681</v>
      </c>
      <c r="R44" s="1" t="str">
        <f>A44</f>
        <v>EAZ1286</v>
      </c>
      <c r="S44" s="1"/>
      <c r="T44" s="1">
        <v>0</v>
      </c>
      <c r="U44" s="28"/>
      <c r="V44" s="1"/>
      <c r="W44" s="1"/>
      <c r="X44" s="1"/>
      <c r="Y44" s="2"/>
      <c r="Z44" s="1"/>
      <c r="AB44" s="1" t="s">
        <v>67</v>
      </c>
      <c r="AC44" s="28">
        <f t="shared" si="5"/>
        <v>109480</v>
      </c>
      <c r="AD44" s="1"/>
      <c r="AE44" s="1">
        <f t="shared" si="4"/>
        <v>0</v>
      </c>
      <c r="AF44" s="1"/>
      <c r="AG44" s="1"/>
      <c r="AL44" s="1"/>
      <c r="AO44" s="1"/>
    </row>
    <row r="45" spans="1:41" x14ac:dyDescent="0.25">
      <c r="A45" s="1" t="s">
        <v>320</v>
      </c>
      <c r="B45" s="1" t="s">
        <v>1291</v>
      </c>
      <c r="C45" s="4" t="s">
        <v>318</v>
      </c>
      <c r="H45" s="4" t="s">
        <v>319</v>
      </c>
      <c r="I45" s="4" t="s">
        <v>229</v>
      </c>
      <c r="J45" s="3"/>
      <c r="K45" s="1"/>
      <c r="L45" s="1"/>
      <c r="M45" s="1"/>
      <c r="N45" s="1"/>
      <c r="P45" s="1"/>
      <c r="Q45" s="2" t="s">
        <v>321</v>
      </c>
      <c r="R45" s="1" t="s">
        <v>320</v>
      </c>
      <c r="S45" s="1">
        <v>25</v>
      </c>
      <c r="T45" s="1">
        <v>0</v>
      </c>
      <c r="U45" s="28"/>
      <c r="V45" s="1"/>
      <c r="W45" s="1"/>
      <c r="X45" s="1"/>
      <c r="Y45" s="2"/>
      <c r="Z45" s="1"/>
      <c r="AB45" s="1" t="s">
        <v>67</v>
      </c>
      <c r="AC45" s="28">
        <f t="shared" si="5"/>
        <v>109480</v>
      </c>
      <c r="AD45" s="1"/>
      <c r="AE45" s="1">
        <f t="shared" si="4"/>
        <v>0</v>
      </c>
      <c r="AF45" s="1"/>
      <c r="AG45" s="1"/>
      <c r="AL45" s="1"/>
      <c r="AO45" s="1"/>
    </row>
    <row r="46" spans="1:41" ht="30" x14ac:dyDescent="0.25">
      <c r="A46" s="1" t="s">
        <v>1590</v>
      </c>
      <c r="B46" s="1" t="s">
        <v>1291</v>
      </c>
      <c r="C46" s="4" t="s">
        <v>1591</v>
      </c>
      <c r="D46" s="31">
        <v>16</v>
      </c>
      <c r="E46" s="2" t="s">
        <v>1592</v>
      </c>
      <c r="F46" s="1" t="s">
        <v>1547</v>
      </c>
      <c r="G46" s="1" t="s">
        <v>1557</v>
      </c>
      <c r="H46" s="4" t="s">
        <v>1593</v>
      </c>
      <c r="I46" s="4" t="s">
        <v>147</v>
      </c>
      <c r="J46" s="3" t="s">
        <v>82</v>
      </c>
      <c r="K46" s="1" t="s">
        <v>29</v>
      </c>
      <c r="L46" s="1" t="s">
        <v>55</v>
      </c>
      <c r="M46" s="1" t="s">
        <v>167</v>
      </c>
      <c r="N46" s="1"/>
      <c r="P46" s="1" t="s">
        <v>1594</v>
      </c>
      <c r="Q46" s="25"/>
      <c r="R46" s="2"/>
      <c r="S46" s="13">
        <v>25</v>
      </c>
      <c r="T46" s="28"/>
      <c r="U46" s="36">
        <f>Parts[[#This Row],[Stock]]*Parts[[#This Row],[Price EU euro]]</f>
        <v>400</v>
      </c>
      <c r="V46" s="13"/>
      <c r="W46" s="13" t="s">
        <v>1513</v>
      </c>
      <c r="X46" s="13"/>
      <c r="Y46" s="12" t="s">
        <v>1595</v>
      </c>
      <c r="Z46" s="1"/>
      <c r="AB46" s="29" t="s">
        <v>1596</v>
      </c>
      <c r="AC46" s="28">
        <f t="shared" si="5"/>
        <v>109480</v>
      </c>
      <c r="AD46" s="1"/>
      <c r="AE46" s="1">
        <f t="shared" si="4"/>
        <v>400</v>
      </c>
      <c r="AF46" s="1"/>
      <c r="AG46" s="1"/>
      <c r="AL46" s="1"/>
      <c r="AO46" s="1"/>
    </row>
    <row r="47" spans="1:41" x14ac:dyDescent="0.25">
      <c r="A47" s="1" t="s">
        <v>362</v>
      </c>
      <c r="B47" s="1" t="s">
        <v>1037</v>
      </c>
      <c r="C47" s="4" t="str">
        <f>Q47</f>
        <v>GASKET-MANIFOLD DOWNPIPE</v>
      </c>
      <c r="H47" s="4" t="s">
        <v>227</v>
      </c>
      <c r="I47" s="4" t="s">
        <v>360</v>
      </c>
      <c r="J47" s="3"/>
      <c r="K47" s="1"/>
      <c r="L47" s="1"/>
      <c r="M47" s="1"/>
      <c r="N47" s="1"/>
      <c r="P47" s="1"/>
      <c r="Q47" s="2" t="s">
        <v>363</v>
      </c>
      <c r="R47" s="1" t="str">
        <f>A47</f>
        <v>EAZ2050</v>
      </c>
      <c r="S47" s="1"/>
      <c r="T47" s="1">
        <v>0</v>
      </c>
      <c r="U47" s="28"/>
      <c r="V47" s="1"/>
      <c r="W47" s="1"/>
      <c r="X47" s="1"/>
      <c r="Y47" s="2"/>
      <c r="Z47" s="1"/>
      <c r="AB47" s="1" t="s">
        <v>67</v>
      </c>
      <c r="AC47" s="28">
        <f t="shared" si="5"/>
        <v>109480</v>
      </c>
      <c r="AD47" s="1"/>
      <c r="AE47" s="1">
        <f t="shared" si="4"/>
        <v>0</v>
      </c>
      <c r="AF47" s="1"/>
      <c r="AG47" s="1"/>
      <c r="AL47" s="1"/>
      <c r="AO47" s="1"/>
    </row>
    <row r="48" spans="1:41" ht="120" x14ac:dyDescent="0.25">
      <c r="A48" s="2" t="s">
        <v>546</v>
      </c>
      <c r="B48" s="1" t="s">
        <v>1037</v>
      </c>
      <c r="C48" s="4" t="s">
        <v>545</v>
      </c>
      <c r="H48" s="4" t="s">
        <v>342</v>
      </c>
      <c r="I48" s="4" t="s">
        <v>344</v>
      </c>
      <c r="J48" s="4" t="s">
        <v>101</v>
      </c>
      <c r="K48" s="1"/>
      <c r="L48" s="1"/>
      <c r="M48" s="1"/>
      <c r="N48" s="1"/>
      <c r="O48" s="2"/>
      <c r="P48" s="1"/>
      <c r="S48" s="1"/>
      <c r="T48" s="1">
        <v>0</v>
      </c>
      <c r="U48" s="28" t="s">
        <v>547</v>
      </c>
      <c r="V48" s="1"/>
      <c r="W48" s="1"/>
      <c r="X48" s="1"/>
      <c r="Y48" s="12" t="s">
        <v>548</v>
      </c>
      <c r="Z48" s="1"/>
      <c r="AB48" s="1" t="s">
        <v>94</v>
      </c>
      <c r="AC48" s="28">
        <f t="shared" si="5"/>
        <v>109480</v>
      </c>
      <c r="AD48" s="1"/>
      <c r="AE48" s="1">
        <f t="shared" si="4"/>
        <v>0</v>
      </c>
      <c r="AF48" s="1"/>
      <c r="AG48" s="1"/>
      <c r="AL48" s="1"/>
      <c r="AO48" s="1"/>
    </row>
    <row r="49" spans="1:41" x14ac:dyDescent="0.25">
      <c r="A49" s="1" t="s">
        <v>550</v>
      </c>
      <c r="B49" s="1" t="s">
        <v>1037</v>
      </c>
      <c r="C49" s="4" t="s">
        <v>549</v>
      </c>
      <c r="H49" s="4" t="s">
        <v>342</v>
      </c>
      <c r="I49" s="4" t="s">
        <v>344</v>
      </c>
      <c r="J49" s="4" t="s">
        <v>101</v>
      </c>
      <c r="K49" s="1"/>
      <c r="L49" s="1"/>
      <c r="M49" s="1"/>
      <c r="N49" s="1"/>
      <c r="O49" s="2"/>
      <c r="P49" s="1"/>
      <c r="S49" s="1"/>
      <c r="T49" s="1">
        <v>0</v>
      </c>
      <c r="U49" s="28"/>
      <c r="V49" s="1"/>
      <c r="W49" s="1"/>
      <c r="X49" s="1"/>
      <c r="Y49" s="2"/>
      <c r="Z49" s="1"/>
      <c r="AB49" s="1"/>
      <c r="AC49" s="28">
        <f t="shared" si="5"/>
        <v>109480</v>
      </c>
      <c r="AD49" s="1"/>
      <c r="AE49" s="1">
        <f t="shared" si="4"/>
        <v>0</v>
      </c>
      <c r="AF49" s="1"/>
      <c r="AG49" s="1"/>
      <c r="AL49" s="1"/>
      <c r="AO49" s="1"/>
    </row>
    <row r="50" spans="1:41" x14ac:dyDescent="0.25">
      <c r="A50" s="1" t="s">
        <v>557</v>
      </c>
      <c r="B50" s="1" t="s">
        <v>1037</v>
      </c>
      <c r="C50" s="4" t="s">
        <v>556</v>
      </c>
      <c r="H50" s="4" t="s">
        <v>223</v>
      </c>
      <c r="I50" s="4"/>
      <c r="J50" s="4"/>
      <c r="K50" s="1"/>
      <c r="L50" s="1"/>
      <c r="M50" s="1"/>
      <c r="N50" s="1"/>
      <c r="O50" s="2"/>
      <c r="P50" s="1"/>
      <c r="Q50" s="2" t="s">
        <v>553</v>
      </c>
      <c r="R50" s="1" t="s">
        <v>558</v>
      </c>
      <c r="S50" s="1"/>
      <c r="T50" s="1">
        <v>0</v>
      </c>
      <c r="U50" s="28" t="s">
        <v>559</v>
      </c>
      <c r="V50" s="1"/>
      <c r="W50" s="1"/>
      <c r="X50" s="1"/>
      <c r="Y50" s="2"/>
      <c r="Z50" s="1"/>
      <c r="AB50" s="1" t="s">
        <v>555</v>
      </c>
      <c r="AC50" s="28">
        <f t="shared" si="5"/>
        <v>109480</v>
      </c>
      <c r="AD50" s="1"/>
      <c r="AE50" s="1">
        <f t="shared" si="4"/>
        <v>0</v>
      </c>
      <c r="AF50" s="1"/>
      <c r="AG50" s="1"/>
      <c r="AL50" s="1"/>
      <c r="AO50" s="1"/>
    </row>
    <row r="51" spans="1:41" x14ac:dyDescent="0.25">
      <c r="A51" s="1" t="s">
        <v>571</v>
      </c>
      <c r="B51" s="1" t="s">
        <v>1037</v>
      </c>
      <c r="C51" s="4" t="s">
        <v>570</v>
      </c>
      <c r="F51" s="2"/>
      <c r="G51" s="1">
        <v>18107</v>
      </c>
      <c r="I51" s="4" t="s">
        <v>409</v>
      </c>
      <c r="J51" s="3"/>
      <c r="K51" s="1"/>
      <c r="L51" s="1" t="s">
        <v>83</v>
      </c>
      <c r="M51" s="1"/>
      <c r="N51" s="1"/>
      <c r="P51" s="1"/>
      <c r="S51" s="1"/>
      <c r="T51" s="1">
        <v>0</v>
      </c>
      <c r="U51" s="28"/>
      <c r="V51" s="1"/>
      <c r="W51" s="1"/>
      <c r="X51" s="1"/>
      <c r="Y51" s="2"/>
      <c r="Z51" s="1"/>
      <c r="AB51" s="1"/>
      <c r="AC51" s="28">
        <f t="shared" si="5"/>
        <v>109480</v>
      </c>
      <c r="AD51" s="1"/>
      <c r="AE51" s="1">
        <f t="shared" si="4"/>
        <v>0</v>
      </c>
      <c r="AF51" s="1"/>
      <c r="AG51" s="1"/>
      <c r="AL51" s="1"/>
      <c r="AO51" s="1"/>
    </row>
    <row r="52" spans="1:41" ht="30" x14ac:dyDescent="0.25">
      <c r="A52" s="1" t="s">
        <v>573</v>
      </c>
      <c r="B52" s="1" t="s">
        <v>1037</v>
      </c>
      <c r="C52" s="4" t="s">
        <v>572</v>
      </c>
      <c r="F52" s="2"/>
      <c r="G52" s="1">
        <v>18107</v>
      </c>
      <c r="I52" s="4" t="s">
        <v>409</v>
      </c>
      <c r="J52" s="3"/>
      <c r="K52" s="1"/>
      <c r="L52" s="1" t="s">
        <v>83</v>
      </c>
      <c r="M52" s="1"/>
      <c r="N52" s="1"/>
      <c r="P52" s="1"/>
      <c r="S52" s="1"/>
      <c r="T52" s="1">
        <v>0</v>
      </c>
      <c r="U52" s="28"/>
      <c r="V52" s="1"/>
      <c r="W52" s="1"/>
      <c r="X52" s="1"/>
      <c r="Y52" s="2"/>
      <c r="Z52" s="1"/>
      <c r="AB52" s="1"/>
      <c r="AC52" s="28">
        <f t="shared" si="5"/>
        <v>109480</v>
      </c>
      <c r="AD52" s="1"/>
      <c r="AE52" s="1">
        <f t="shared" si="4"/>
        <v>0</v>
      </c>
      <c r="AF52" s="1"/>
      <c r="AG52" s="1"/>
      <c r="AL52" s="1"/>
      <c r="AO52" s="1"/>
    </row>
    <row r="53" spans="1:41" ht="30" x14ac:dyDescent="0.25">
      <c r="A53" s="1" t="s">
        <v>575</v>
      </c>
      <c r="B53" s="1" t="s">
        <v>1037</v>
      </c>
      <c r="C53" s="4" t="s">
        <v>574</v>
      </c>
      <c r="F53" s="2">
        <v>18108</v>
      </c>
      <c r="I53" s="4" t="s">
        <v>409</v>
      </c>
      <c r="J53" s="3"/>
      <c r="K53" s="1"/>
      <c r="L53" s="1" t="s">
        <v>83</v>
      </c>
      <c r="M53" s="1"/>
      <c r="N53" s="1"/>
      <c r="P53" s="1"/>
      <c r="S53" s="1"/>
      <c r="T53" s="1">
        <v>0</v>
      </c>
      <c r="U53" s="28"/>
      <c r="V53" s="1"/>
      <c r="W53" s="1"/>
      <c r="X53" s="1"/>
      <c r="Y53" s="2"/>
      <c r="Z53" s="1"/>
      <c r="AB53" s="1"/>
      <c r="AC53" s="28">
        <f t="shared" si="5"/>
        <v>109480</v>
      </c>
      <c r="AD53" s="1"/>
      <c r="AE53" s="1">
        <f t="shared" si="4"/>
        <v>0</v>
      </c>
      <c r="AF53" s="1"/>
      <c r="AG53" s="1"/>
      <c r="AL53" s="1"/>
      <c r="AO53" s="1"/>
    </row>
    <row r="54" spans="1:41" ht="45" x14ac:dyDescent="0.25">
      <c r="A54" s="1" t="s">
        <v>577</v>
      </c>
      <c r="B54" s="1" t="s">
        <v>1037</v>
      </c>
      <c r="C54" s="4" t="s">
        <v>576</v>
      </c>
      <c r="F54" s="2">
        <v>18108</v>
      </c>
      <c r="I54" s="4" t="s">
        <v>409</v>
      </c>
      <c r="J54" s="3"/>
      <c r="K54" s="1"/>
      <c r="L54" s="1" t="s">
        <v>83</v>
      </c>
      <c r="M54" s="1"/>
      <c r="N54" s="1"/>
      <c r="O54" s="2"/>
      <c r="P54" s="1"/>
      <c r="S54" s="1"/>
      <c r="T54" s="1">
        <v>0</v>
      </c>
      <c r="U54" s="28"/>
      <c r="V54" s="1"/>
      <c r="W54" s="1"/>
      <c r="X54" s="1"/>
      <c r="Y54" s="2"/>
      <c r="Z54" s="1"/>
      <c r="AB54" s="1"/>
      <c r="AC54" s="28">
        <f t="shared" si="5"/>
        <v>109480</v>
      </c>
      <c r="AD54" s="1"/>
      <c r="AE54" s="1">
        <f t="shared" si="4"/>
        <v>0</v>
      </c>
      <c r="AF54" s="1"/>
      <c r="AG54" s="1"/>
      <c r="AL54" s="1"/>
      <c r="AO54" s="1"/>
    </row>
    <row r="55" spans="1:41" x14ac:dyDescent="0.25">
      <c r="A55" s="1" t="s">
        <v>1648</v>
      </c>
      <c r="B55" s="1" t="s">
        <v>1037</v>
      </c>
      <c r="C55" s="5" t="s">
        <v>578</v>
      </c>
      <c r="D55" s="28">
        <v>1</v>
      </c>
      <c r="H55" s="5" t="s">
        <v>579</v>
      </c>
      <c r="I55" s="4" t="s">
        <v>409</v>
      </c>
      <c r="J55" s="3"/>
      <c r="K55" s="1"/>
      <c r="L55" s="1" t="s">
        <v>83</v>
      </c>
      <c r="M55" s="1"/>
      <c r="N55" s="1"/>
      <c r="O55" s="8"/>
      <c r="P55" s="1"/>
      <c r="S55" s="13"/>
      <c r="T55" s="1">
        <v>0</v>
      </c>
      <c r="U55" s="36">
        <v>10</v>
      </c>
      <c r="V55" s="13"/>
      <c r="W55" s="13"/>
      <c r="X55" s="13"/>
      <c r="Y55" s="2"/>
      <c r="Z55" s="1"/>
      <c r="AB55" s="11" t="s">
        <v>216</v>
      </c>
      <c r="AC55" s="32">
        <f t="shared" si="5"/>
        <v>109480</v>
      </c>
      <c r="AD55" s="1"/>
      <c r="AE55" s="1">
        <f t="shared" si="4"/>
        <v>0</v>
      </c>
      <c r="AF55" s="1"/>
      <c r="AG55" s="1"/>
      <c r="AL55" s="1"/>
      <c r="AO55" s="1"/>
    </row>
    <row r="56" spans="1:41" ht="30" x14ac:dyDescent="0.25">
      <c r="A56" s="1" t="s">
        <v>948</v>
      </c>
      <c r="B56" s="1" t="s">
        <v>1037</v>
      </c>
      <c r="C56" s="4" t="s">
        <v>946</v>
      </c>
      <c r="D56" s="28">
        <v>0</v>
      </c>
      <c r="E56" s="2" t="s">
        <v>1351</v>
      </c>
      <c r="F56" s="1" t="s">
        <v>110</v>
      </c>
      <c r="G56" s="10" t="s">
        <v>72</v>
      </c>
      <c r="H56" s="4" t="s">
        <v>276</v>
      </c>
      <c r="I56" s="4" t="s">
        <v>278</v>
      </c>
      <c r="J56" s="3" t="s">
        <v>101</v>
      </c>
      <c r="K56" s="1" t="s">
        <v>29</v>
      </c>
      <c r="L56" s="1" t="s">
        <v>60</v>
      </c>
      <c r="M56" s="1"/>
      <c r="N56" s="1"/>
      <c r="O56" s="1" t="s">
        <v>1346</v>
      </c>
      <c r="P56" s="10"/>
      <c r="Q56" s="2" t="s">
        <v>946</v>
      </c>
      <c r="R56" s="1" t="s">
        <v>948</v>
      </c>
      <c r="S56" s="1">
        <v>195</v>
      </c>
      <c r="T56" s="1">
        <v>1</v>
      </c>
      <c r="U56" s="28">
        <v>250</v>
      </c>
      <c r="V56" s="1"/>
      <c r="W56" s="1"/>
      <c r="X56" s="1" t="s">
        <v>47</v>
      </c>
      <c r="Y56" s="2"/>
      <c r="Z56" s="1"/>
      <c r="AA56" s="1" t="s">
        <v>1347</v>
      </c>
      <c r="AB56" s="1" t="s">
        <v>1184</v>
      </c>
      <c r="AC56" s="28">
        <f t="shared" si="5"/>
        <v>109480</v>
      </c>
      <c r="AD56" s="1" t="s">
        <v>1349</v>
      </c>
      <c r="AE56" s="1">
        <f t="shared" si="4"/>
        <v>0</v>
      </c>
      <c r="AF56" s="1"/>
      <c r="AG56" s="1"/>
      <c r="AL56" s="1"/>
      <c r="AO56" s="1"/>
    </row>
    <row r="57" spans="1:41" ht="30" x14ac:dyDescent="0.25">
      <c r="A57" s="1" t="s">
        <v>947</v>
      </c>
      <c r="B57" s="1" t="s">
        <v>1037</v>
      </c>
      <c r="C57" s="4" t="s">
        <v>946</v>
      </c>
      <c r="D57" s="28">
        <v>0</v>
      </c>
      <c r="E57" s="2" t="s">
        <v>1350</v>
      </c>
      <c r="F57" s="1" t="s">
        <v>110</v>
      </c>
      <c r="G57" s="10" t="s">
        <v>72</v>
      </c>
      <c r="H57" s="4" t="s">
        <v>276</v>
      </c>
      <c r="I57" s="4" t="s">
        <v>278</v>
      </c>
      <c r="J57" s="3" t="s">
        <v>101</v>
      </c>
      <c r="K57" s="1" t="s">
        <v>29</v>
      </c>
      <c r="L57" s="1" t="s">
        <v>30</v>
      </c>
      <c r="M57" s="1"/>
      <c r="N57" s="1"/>
      <c r="O57" s="1" t="s">
        <v>1345</v>
      </c>
      <c r="P57" s="10"/>
      <c r="Q57" s="2" t="s">
        <v>946</v>
      </c>
      <c r="R57" s="1" t="s">
        <v>947</v>
      </c>
      <c r="S57" s="1">
        <v>295</v>
      </c>
      <c r="T57" s="1">
        <v>1</v>
      </c>
      <c r="U57" s="28">
        <v>250</v>
      </c>
      <c r="V57" s="1"/>
      <c r="W57" s="1"/>
      <c r="X57" s="1" t="s">
        <v>47</v>
      </c>
      <c r="Y57" s="2"/>
      <c r="Z57" s="1"/>
      <c r="AA57" s="1" t="s">
        <v>1348</v>
      </c>
      <c r="AB57" s="29" t="s">
        <v>1241</v>
      </c>
      <c r="AC57" s="28">
        <f t="shared" si="5"/>
        <v>109480</v>
      </c>
      <c r="AD57" s="1" t="s">
        <v>41</v>
      </c>
      <c r="AE57" s="1">
        <f t="shared" si="4"/>
        <v>0</v>
      </c>
      <c r="AF57" s="1"/>
      <c r="AG57" s="1"/>
      <c r="AL57" s="1"/>
      <c r="AO57" s="1"/>
    </row>
    <row r="58" spans="1:41" ht="30" x14ac:dyDescent="0.25">
      <c r="A58" s="1" t="s">
        <v>915</v>
      </c>
      <c r="B58" s="1" t="s">
        <v>1037</v>
      </c>
      <c r="C58" s="4" t="s">
        <v>914</v>
      </c>
      <c r="D58" s="28">
        <v>0</v>
      </c>
      <c r="E58" s="2" t="s">
        <v>916</v>
      </c>
      <c r="F58" s="1" t="s">
        <v>110</v>
      </c>
      <c r="G58" s="1" t="s">
        <v>1489</v>
      </c>
      <c r="H58" s="4" t="s">
        <v>276</v>
      </c>
      <c r="I58" s="4" t="s">
        <v>278</v>
      </c>
      <c r="J58" s="3" t="s">
        <v>101</v>
      </c>
      <c r="K58" s="1" t="s">
        <v>59</v>
      </c>
      <c r="L58" s="1" t="s">
        <v>60</v>
      </c>
      <c r="M58" s="1"/>
      <c r="N58" s="1"/>
      <c r="O58" s="1" t="s">
        <v>279</v>
      </c>
      <c r="P58" s="1"/>
      <c r="Q58" s="19" t="s">
        <v>914</v>
      </c>
      <c r="R58" s="1" t="s">
        <v>915</v>
      </c>
      <c r="S58" s="1">
        <v>750</v>
      </c>
      <c r="T58" s="28">
        <v>0</v>
      </c>
      <c r="U58" s="28">
        <v>750</v>
      </c>
      <c r="V58" s="1">
        <v>500</v>
      </c>
      <c r="W58" s="1"/>
      <c r="X58" s="1"/>
      <c r="Y58" s="2"/>
      <c r="Z58" s="1"/>
      <c r="AA58" s="1" t="s">
        <v>1490</v>
      </c>
      <c r="AB58" s="29" t="s">
        <v>1241</v>
      </c>
      <c r="AC58" s="28">
        <f t="shared" si="5"/>
        <v>109480</v>
      </c>
      <c r="AD58" s="1" t="s">
        <v>41</v>
      </c>
      <c r="AE58" s="1">
        <f t="shared" si="4"/>
        <v>0</v>
      </c>
      <c r="AF58" s="1"/>
      <c r="AG58" s="1"/>
      <c r="AL58" s="1"/>
      <c r="AO58" s="1"/>
    </row>
    <row r="59" spans="1:41" ht="30" x14ac:dyDescent="0.25">
      <c r="A59" s="1" t="s">
        <v>923</v>
      </c>
      <c r="B59" s="1" t="s">
        <v>1037</v>
      </c>
      <c r="C59" s="4" t="s">
        <v>919</v>
      </c>
      <c r="D59" s="28">
        <v>1</v>
      </c>
      <c r="E59" s="2" t="s">
        <v>280</v>
      </c>
      <c r="G59" s="10" t="s">
        <v>922</v>
      </c>
      <c r="H59" s="4" t="s">
        <v>151</v>
      </c>
      <c r="I59" s="4" t="s">
        <v>921</v>
      </c>
      <c r="J59" s="3" t="s">
        <v>586</v>
      </c>
      <c r="K59" s="1" t="s">
        <v>59</v>
      </c>
      <c r="L59" s="1" t="s">
        <v>60</v>
      </c>
      <c r="M59" s="1" t="s">
        <v>31</v>
      </c>
      <c r="N59" s="1"/>
      <c r="O59" s="1" t="s">
        <v>279</v>
      </c>
      <c r="P59" s="10"/>
      <c r="Q59" s="19" t="s">
        <v>919</v>
      </c>
      <c r="R59" s="1" t="s">
        <v>923</v>
      </c>
      <c r="S59" s="1">
        <v>165</v>
      </c>
      <c r="T59" s="28">
        <v>0</v>
      </c>
      <c r="U59" s="28"/>
      <c r="V59" s="1"/>
      <c r="W59" s="1"/>
      <c r="X59" s="1" t="s">
        <v>47</v>
      </c>
      <c r="Y59" s="2"/>
      <c r="Z59" s="1"/>
      <c r="AA59" s="1" t="s">
        <v>282</v>
      </c>
      <c r="AB59" s="29" t="s">
        <v>1241</v>
      </c>
      <c r="AC59" s="28">
        <f t="shared" si="5"/>
        <v>109480</v>
      </c>
      <c r="AD59" s="1" t="s">
        <v>41</v>
      </c>
      <c r="AE59" s="1">
        <f t="shared" si="4"/>
        <v>165</v>
      </c>
      <c r="AF59" s="1"/>
      <c r="AG59" s="1"/>
      <c r="AL59" s="1"/>
      <c r="AO59" s="1"/>
    </row>
    <row r="60" spans="1:41" ht="30" x14ac:dyDescent="0.25">
      <c r="A60" s="1" t="s">
        <v>920</v>
      </c>
      <c r="B60" s="1" t="s">
        <v>1037</v>
      </c>
      <c r="C60" s="4" t="s">
        <v>919</v>
      </c>
      <c r="D60" s="28">
        <v>1</v>
      </c>
      <c r="E60" s="2" t="s">
        <v>280</v>
      </c>
      <c r="G60" s="10" t="s">
        <v>922</v>
      </c>
      <c r="H60" s="4" t="s">
        <v>151</v>
      </c>
      <c r="I60" s="4" t="s">
        <v>921</v>
      </c>
      <c r="J60" s="3" t="s">
        <v>586</v>
      </c>
      <c r="K60" s="1" t="s">
        <v>59</v>
      </c>
      <c r="L60" s="1" t="s">
        <v>30</v>
      </c>
      <c r="M60" s="1" t="s">
        <v>31</v>
      </c>
      <c r="N60" s="1"/>
      <c r="O60" s="1" t="s">
        <v>279</v>
      </c>
      <c r="P60" s="10"/>
      <c r="Q60" s="19" t="s">
        <v>919</v>
      </c>
      <c r="R60" s="1" t="s">
        <v>920</v>
      </c>
      <c r="S60" s="1">
        <v>165</v>
      </c>
      <c r="T60" s="28">
        <v>0</v>
      </c>
      <c r="U60" s="28"/>
      <c r="V60" s="1"/>
      <c r="W60" s="1"/>
      <c r="X60" s="1" t="s">
        <v>47</v>
      </c>
      <c r="Y60" s="2"/>
      <c r="Z60" s="1"/>
      <c r="AA60" s="1" t="s">
        <v>282</v>
      </c>
      <c r="AB60" s="29" t="s">
        <v>1241</v>
      </c>
      <c r="AC60" s="28">
        <f t="shared" si="5"/>
        <v>109480</v>
      </c>
      <c r="AD60" s="1" t="s">
        <v>41</v>
      </c>
      <c r="AE60" s="1">
        <f t="shared" si="4"/>
        <v>165</v>
      </c>
      <c r="AF60" s="1"/>
      <c r="AG60" s="1"/>
      <c r="AL60" s="1"/>
      <c r="AO60" s="1"/>
    </row>
    <row r="61" spans="1:41" ht="30" x14ac:dyDescent="0.25">
      <c r="A61" s="1" t="s">
        <v>277</v>
      </c>
      <c r="B61" s="1" t="s">
        <v>1037</v>
      </c>
      <c r="C61" s="4" t="s">
        <v>275</v>
      </c>
      <c r="D61" s="28">
        <v>0</v>
      </c>
      <c r="E61" s="2" t="s">
        <v>280</v>
      </c>
      <c r="G61" s="10" t="s">
        <v>72</v>
      </c>
      <c r="H61" s="4" t="s">
        <v>276</v>
      </c>
      <c r="I61" s="4" t="s">
        <v>278</v>
      </c>
      <c r="J61" s="3" t="s">
        <v>101</v>
      </c>
      <c r="K61" s="1" t="s">
        <v>29</v>
      </c>
      <c r="L61" s="1" t="s">
        <v>60</v>
      </c>
      <c r="M61" s="1" t="s">
        <v>31</v>
      </c>
      <c r="N61" s="1"/>
      <c r="O61" s="1" t="s">
        <v>279</v>
      </c>
      <c r="P61" s="10"/>
      <c r="Q61" s="2" t="s">
        <v>281</v>
      </c>
      <c r="R61" s="1" t="s">
        <v>277</v>
      </c>
      <c r="S61" s="1">
        <v>285</v>
      </c>
      <c r="T61" s="1">
        <v>0</v>
      </c>
      <c r="U61" s="28"/>
      <c r="V61" s="1"/>
      <c r="W61" s="1"/>
      <c r="X61" s="1" t="s">
        <v>47</v>
      </c>
      <c r="Y61" s="2"/>
      <c r="Z61" s="1"/>
      <c r="AA61" s="1" t="s">
        <v>282</v>
      </c>
      <c r="AB61" s="1"/>
      <c r="AC61" s="28">
        <f t="shared" si="5"/>
        <v>109480</v>
      </c>
      <c r="AD61" s="1" t="s">
        <v>41</v>
      </c>
      <c r="AE61" s="1">
        <f t="shared" si="4"/>
        <v>0</v>
      </c>
      <c r="AF61" s="1"/>
      <c r="AG61" s="1"/>
      <c r="AL61" s="1"/>
      <c r="AO61" s="1"/>
    </row>
    <row r="62" spans="1:41" ht="30" x14ac:dyDescent="0.25">
      <c r="A62" s="1" t="s">
        <v>283</v>
      </c>
      <c r="B62" s="1" t="s">
        <v>1037</v>
      </c>
      <c r="C62" s="4" t="s">
        <v>275</v>
      </c>
      <c r="D62" s="28">
        <v>1</v>
      </c>
      <c r="E62" s="2" t="s">
        <v>280</v>
      </c>
      <c r="F62" s="1" t="s">
        <v>110</v>
      </c>
      <c r="G62" s="10" t="s">
        <v>72</v>
      </c>
      <c r="H62" s="4" t="s">
        <v>276</v>
      </c>
      <c r="I62" s="4" t="s">
        <v>278</v>
      </c>
      <c r="J62" s="3" t="s">
        <v>101</v>
      </c>
      <c r="K62" s="1" t="s">
        <v>29</v>
      </c>
      <c r="L62" s="1" t="s">
        <v>30</v>
      </c>
      <c r="M62" s="1" t="s">
        <v>31</v>
      </c>
      <c r="N62" s="1"/>
      <c r="O62" s="1" t="s">
        <v>279</v>
      </c>
      <c r="P62" s="10"/>
      <c r="Q62" s="2" t="s">
        <v>284</v>
      </c>
      <c r="R62" s="2" t="s">
        <v>283</v>
      </c>
      <c r="S62" s="1">
        <v>285</v>
      </c>
      <c r="T62" s="28">
        <v>0</v>
      </c>
      <c r="U62" s="28"/>
      <c r="V62" s="1"/>
      <c r="W62" s="1"/>
      <c r="X62" s="1" t="s">
        <v>47</v>
      </c>
      <c r="Y62" s="2"/>
      <c r="Z62" s="1"/>
      <c r="AA62" s="1" t="s">
        <v>282</v>
      </c>
      <c r="AB62" s="29" t="s">
        <v>1241</v>
      </c>
      <c r="AC62" s="28">
        <f t="shared" si="5"/>
        <v>109480</v>
      </c>
      <c r="AD62" s="1" t="s">
        <v>41</v>
      </c>
      <c r="AE62" s="1">
        <f t="shared" si="4"/>
        <v>285</v>
      </c>
      <c r="AF62" s="1"/>
      <c r="AG62" s="1"/>
      <c r="AL62" s="1"/>
      <c r="AO62" s="1"/>
    </row>
    <row r="63" spans="1:41" ht="30" x14ac:dyDescent="0.25">
      <c r="A63" s="1" t="s">
        <v>918</v>
      </c>
      <c r="B63" s="1" t="s">
        <v>1037</v>
      </c>
      <c r="C63" s="4" t="s">
        <v>917</v>
      </c>
      <c r="D63" s="28">
        <v>1</v>
      </c>
      <c r="E63" s="2" t="s">
        <v>280</v>
      </c>
      <c r="G63" s="10" t="s">
        <v>72</v>
      </c>
      <c r="H63" s="4" t="s">
        <v>276</v>
      </c>
      <c r="I63" s="4" t="s">
        <v>278</v>
      </c>
      <c r="J63" s="3" t="s">
        <v>101</v>
      </c>
      <c r="K63" s="1" t="s">
        <v>59</v>
      </c>
      <c r="L63" s="1" t="s">
        <v>83</v>
      </c>
      <c r="M63" s="1" t="s">
        <v>31</v>
      </c>
      <c r="N63" s="1"/>
      <c r="O63" s="1" t="s">
        <v>279</v>
      </c>
      <c r="P63" s="10"/>
      <c r="Q63" s="19" t="s">
        <v>917</v>
      </c>
      <c r="R63" s="1" t="s">
        <v>918</v>
      </c>
      <c r="S63" s="1">
        <v>465</v>
      </c>
      <c r="T63" s="28">
        <v>0</v>
      </c>
      <c r="U63" s="28"/>
      <c r="V63" s="1"/>
      <c r="W63" s="1"/>
      <c r="X63" s="1" t="s">
        <v>78</v>
      </c>
      <c r="Y63" s="2"/>
      <c r="Z63" s="1"/>
      <c r="AA63" s="1" t="s">
        <v>282</v>
      </c>
      <c r="AB63" s="29" t="s">
        <v>1241</v>
      </c>
      <c r="AC63" s="28">
        <f t="shared" si="5"/>
        <v>109480</v>
      </c>
      <c r="AD63" s="1" t="s">
        <v>41</v>
      </c>
      <c r="AE63" s="1">
        <f t="shared" si="4"/>
        <v>465</v>
      </c>
      <c r="AF63" s="1"/>
      <c r="AG63" s="1"/>
      <c r="AL63" s="1"/>
      <c r="AO63" s="1"/>
    </row>
    <row r="64" spans="1:41" x14ac:dyDescent="0.25">
      <c r="A64" s="1" t="s">
        <v>645</v>
      </c>
      <c r="B64" s="1" t="s">
        <v>1037</v>
      </c>
      <c r="C64" s="4" t="s">
        <v>644</v>
      </c>
      <c r="I64" s="4"/>
      <c r="J64" s="3" t="s">
        <v>76</v>
      </c>
      <c r="K64" s="1" t="s">
        <v>29</v>
      </c>
      <c r="L64" s="1" t="s">
        <v>55</v>
      </c>
      <c r="M64" s="1" t="s">
        <v>646</v>
      </c>
      <c r="N64" s="1"/>
      <c r="O64" s="1" t="s">
        <v>619</v>
      </c>
      <c r="P64" s="1"/>
      <c r="Q64" s="2" t="s">
        <v>647</v>
      </c>
      <c r="R64" s="1" t="str">
        <f>A64</f>
        <v>GJA 2447AAAGD</v>
      </c>
      <c r="S64" s="1"/>
      <c r="T64" s="1">
        <v>0</v>
      </c>
      <c r="U64" s="28" t="s">
        <v>648</v>
      </c>
      <c r="V64" s="1"/>
      <c r="W64" s="1"/>
      <c r="X64" s="1"/>
      <c r="Y64" s="2"/>
      <c r="Z64" s="1"/>
      <c r="AB64" s="1" t="s">
        <v>555</v>
      </c>
      <c r="AC64" s="28">
        <f t="shared" si="5"/>
        <v>109480</v>
      </c>
      <c r="AD64" s="1"/>
      <c r="AE64" s="1">
        <f t="shared" si="4"/>
        <v>0</v>
      </c>
      <c r="AF64" s="1"/>
      <c r="AG64" s="1"/>
      <c r="AL64" s="1"/>
      <c r="AO64" s="1"/>
    </row>
    <row r="65" spans="1:41" x14ac:dyDescent="0.25">
      <c r="A65" s="1" t="s">
        <v>645</v>
      </c>
      <c r="B65" s="1" t="s">
        <v>1037</v>
      </c>
      <c r="C65" s="4" t="s">
        <v>644</v>
      </c>
      <c r="I65" s="4"/>
      <c r="J65" s="3" t="s">
        <v>76</v>
      </c>
      <c r="K65" s="1" t="s">
        <v>29</v>
      </c>
      <c r="L65" s="1" t="s">
        <v>55</v>
      </c>
      <c r="M65" s="1" t="s">
        <v>646</v>
      </c>
      <c r="N65" s="1"/>
      <c r="O65" s="1" t="s">
        <v>619</v>
      </c>
      <c r="P65" s="1"/>
      <c r="Q65" s="2" t="s">
        <v>647</v>
      </c>
      <c r="R65" s="1" t="str">
        <f>A65</f>
        <v>GJA 2447AAAGD</v>
      </c>
      <c r="S65" s="1"/>
      <c r="T65" s="1">
        <v>0</v>
      </c>
      <c r="U65" s="28" t="s">
        <v>648</v>
      </c>
      <c r="V65" s="1"/>
      <c r="W65" s="1"/>
      <c r="X65" s="1"/>
      <c r="Y65" s="2"/>
      <c r="Z65" s="1"/>
      <c r="AB65" s="1" t="s">
        <v>649</v>
      </c>
      <c r="AC65" s="28">
        <f t="shared" si="5"/>
        <v>109480</v>
      </c>
      <c r="AD65" s="1"/>
      <c r="AE65" s="1">
        <f t="shared" si="4"/>
        <v>0</v>
      </c>
      <c r="AF65" s="1"/>
      <c r="AG65" s="1"/>
      <c r="AL65" s="1"/>
      <c r="AO65" s="1"/>
    </row>
    <row r="66" spans="1:41" ht="45" x14ac:dyDescent="0.25">
      <c r="A66" s="1" t="s">
        <v>1287</v>
      </c>
      <c r="B66" s="1" t="s">
        <v>1037</v>
      </c>
      <c r="C66" s="4" t="s">
        <v>1286</v>
      </c>
      <c r="D66" s="28">
        <v>1</v>
      </c>
      <c r="E66" s="2" t="s">
        <v>1288</v>
      </c>
      <c r="F66" s="1" t="s">
        <v>110</v>
      </c>
      <c r="G66" s="10" t="s">
        <v>72</v>
      </c>
      <c r="H66" s="4" t="s">
        <v>482</v>
      </c>
      <c r="I66" s="4" t="s">
        <v>1253</v>
      </c>
      <c r="J66" s="3"/>
      <c r="K66" s="1" t="s">
        <v>29</v>
      </c>
      <c r="L66" s="1" t="s">
        <v>60</v>
      </c>
      <c r="M66" s="1" t="s">
        <v>692</v>
      </c>
      <c r="N66" s="1" t="s">
        <v>692</v>
      </c>
      <c r="O66" s="1" t="s">
        <v>482</v>
      </c>
      <c r="P66" s="10"/>
      <c r="Q66" s="2" t="s">
        <v>1286</v>
      </c>
      <c r="R66" s="2" t="str">
        <f>A66</f>
        <v>GJA1000BG</v>
      </c>
      <c r="S66" s="1">
        <v>165</v>
      </c>
      <c r="T66" s="28">
        <v>0</v>
      </c>
      <c r="U66" s="28">
        <v>10</v>
      </c>
      <c r="V66" s="1"/>
      <c r="W66" s="1"/>
      <c r="X66" s="1" t="s">
        <v>47</v>
      </c>
      <c r="Y66" s="2"/>
      <c r="Z66" s="1"/>
      <c r="AB66" s="29" t="s">
        <v>1241</v>
      </c>
      <c r="AC66" s="28">
        <f t="shared" si="5"/>
        <v>109480</v>
      </c>
      <c r="AD66" s="1" t="s">
        <v>41</v>
      </c>
      <c r="AE66" s="1">
        <f t="shared" ref="AE66:AE100" si="6">S66*D66</f>
        <v>165</v>
      </c>
      <c r="AF66" s="1"/>
      <c r="AG66" s="1"/>
      <c r="AL66" s="1"/>
      <c r="AO66" s="1"/>
    </row>
    <row r="67" spans="1:41" ht="30" x14ac:dyDescent="0.25">
      <c r="A67" s="1" t="s">
        <v>512</v>
      </c>
      <c r="B67" s="1" t="s">
        <v>1037</v>
      </c>
      <c r="C67" s="4" t="s">
        <v>479</v>
      </c>
      <c r="D67" s="28">
        <v>1</v>
      </c>
      <c r="E67" s="2" t="s">
        <v>483</v>
      </c>
      <c r="H67" s="4" t="s">
        <v>480</v>
      </c>
      <c r="I67" s="4" t="s">
        <v>482</v>
      </c>
      <c r="J67" s="3" t="s">
        <v>76</v>
      </c>
      <c r="K67" s="1" t="s">
        <v>29</v>
      </c>
      <c r="L67" s="1" t="s">
        <v>60</v>
      </c>
      <c r="M67" s="1"/>
      <c r="N67" s="1" t="s">
        <v>29</v>
      </c>
      <c r="O67" s="1" t="s">
        <v>32</v>
      </c>
      <c r="P67" s="1"/>
      <c r="Q67" s="4" t="s">
        <v>479</v>
      </c>
      <c r="R67" s="1" t="s">
        <v>512</v>
      </c>
      <c r="S67" s="1">
        <v>55</v>
      </c>
      <c r="T67" s="28">
        <v>0</v>
      </c>
      <c r="U67" s="28"/>
      <c r="V67" s="1"/>
      <c r="W67" s="1"/>
      <c r="X67" s="1" t="s">
        <v>47</v>
      </c>
      <c r="Y67" s="2"/>
      <c r="Z67" s="1"/>
      <c r="AB67" s="29" t="s">
        <v>1241</v>
      </c>
      <c r="AC67" s="28">
        <f t="shared" si="5"/>
        <v>109480</v>
      </c>
      <c r="AD67" s="1" t="s">
        <v>41</v>
      </c>
      <c r="AE67" s="1">
        <f t="shared" si="6"/>
        <v>55</v>
      </c>
      <c r="AF67" s="1"/>
      <c r="AG67" s="1"/>
      <c r="AL67" s="1"/>
      <c r="AO67" s="1"/>
    </row>
    <row r="68" spans="1:41" ht="30" x14ac:dyDescent="0.25">
      <c r="A68" s="1" t="s">
        <v>481</v>
      </c>
      <c r="B68" s="1" t="s">
        <v>1037</v>
      </c>
      <c r="C68" s="4" t="s">
        <v>479</v>
      </c>
      <c r="D68" s="28">
        <v>1</v>
      </c>
      <c r="E68" s="2" t="s">
        <v>483</v>
      </c>
      <c r="H68" s="4" t="s">
        <v>480</v>
      </c>
      <c r="I68" s="4" t="s">
        <v>482</v>
      </c>
      <c r="J68" s="3" t="s">
        <v>76</v>
      </c>
      <c r="K68" s="1" t="s">
        <v>29</v>
      </c>
      <c r="L68" s="1" t="s">
        <v>30</v>
      </c>
      <c r="M68" s="1"/>
      <c r="N68" s="1" t="s">
        <v>29</v>
      </c>
      <c r="O68" s="1" t="s">
        <v>32</v>
      </c>
      <c r="P68" s="1"/>
      <c r="Q68" s="4" t="s">
        <v>479</v>
      </c>
      <c r="R68" s="1" t="s">
        <v>481</v>
      </c>
      <c r="S68" s="1">
        <v>55</v>
      </c>
      <c r="T68" s="28">
        <v>0</v>
      </c>
      <c r="U68" s="28"/>
      <c r="V68" s="1"/>
      <c r="W68" s="1"/>
      <c r="X68" s="1" t="s">
        <v>47</v>
      </c>
      <c r="Y68" s="2"/>
      <c r="Z68" s="1"/>
      <c r="AB68" s="29" t="s">
        <v>1241</v>
      </c>
      <c r="AC68" s="28">
        <f t="shared" si="5"/>
        <v>109480</v>
      </c>
      <c r="AD68" s="1" t="s">
        <v>41</v>
      </c>
      <c r="AE68" s="1">
        <f t="shared" si="6"/>
        <v>55</v>
      </c>
      <c r="AF68" s="1"/>
      <c r="AG68" s="1"/>
      <c r="AL68" s="1"/>
      <c r="AO68" s="1"/>
    </row>
    <row r="69" spans="1:41" ht="30" x14ac:dyDescent="0.25">
      <c r="A69" s="1" t="s">
        <v>513</v>
      </c>
      <c r="B69" s="1" t="s">
        <v>1037</v>
      </c>
      <c r="C69" s="4" t="s">
        <v>479</v>
      </c>
      <c r="D69" s="28">
        <v>1</v>
      </c>
      <c r="E69" s="2" t="s">
        <v>483</v>
      </c>
      <c r="F69" s="10" t="s">
        <v>514</v>
      </c>
      <c r="G69" s="10" t="s">
        <v>72</v>
      </c>
      <c r="H69" s="4" t="s">
        <v>480</v>
      </c>
      <c r="I69" s="4" t="s">
        <v>482</v>
      </c>
      <c r="J69" s="3" t="s">
        <v>76</v>
      </c>
      <c r="K69" s="1" t="s">
        <v>29</v>
      </c>
      <c r="L69" s="1" t="s">
        <v>60</v>
      </c>
      <c r="M69" s="1"/>
      <c r="N69" s="1" t="s">
        <v>59</v>
      </c>
      <c r="O69" s="1" t="s">
        <v>32</v>
      </c>
      <c r="P69" s="10"/>
      <c r="Q69" s="4" t="s">
        <v>479</v>
      </c>
      <c r="R69" s="1" t="s">
        <v>513</v>
      </c>
      <c r="S69" s="1">
        <v>55</v>
      </c>
      <c r="T69" s="28">
        <v>0</v>
      </c>
      <c r="U69" s="28"/>
      <c r="V69" s="1"/>
      <c r="W69" s="1"/>
      <c r="X69" s="1" t="s">
        <v>47</v>
      </c>
      <c r="Y69" s="2"/>
      <c r="Z69" s="1"/>
      <c r="AB69" s="29" t="s">
        <v>1241</v>
      </c>
      <c r="AC69" s="28">
        <f t="shared" si="5"/>
        <v>109480</v>
      </c>
      <c r="AD69" s="1" t="s">
        <v>41</v>
      </c>
      <c r="AE69" s="1">
        <f t="shared" si="6"/>
        <v>55</v>
      </c>
      <c r="AF69" s="1"/>
      <c r="AG69" s="1"/>
      <c r="AL69" s="1"/>
      <c r="AO69" s="1"/>
    </row>
    <row r="70" spans="1:41" ht="30" x14ac:dyDescent="0.25">
      <c r="A70" s="1" t="s">
        <v>484</v>
      </c>
      <c r="B70" s="1" t="s">
        <v>1037</v>
      </c>
      <c r="C70" s="4" t="s">
        <v>479</v>
      </c>
      <c r="D70" s="28">
        <v>1</v>
      </c>
      <c r="E70" s="2" t="s">
        <v>483</v>
      </c>
      <c r="H70" s="4" t="s">
        <v>480</v>
      </c>
      <c r="I70" s="4" t="s">
        <v>482</v>
      </c>
      <c r="J70" s="3" t="s">
        <v>76</v>
      </c>
      <c r="K70" s="1" t="s">
        <v>29</v>
      </c>
      <c r="L70" s="1" t="s">
        <v>30</v>
      </c>
      <c r="M70" s="1"/>
      <c r="N70" s="1" t="s">
        <v>59</v>
      </c>
      <c r="O70" s="1" t="s">
        <v>32</v>
      </c>
      <c r="P70" s="1"/>
      <c r="Q70" s="4" t="s">
        <v>479</v>
      </c>
      <c r="R70" s="1" t="s">
        <v>484</v>
      </c>
      <c r="S70" s="1">
        <v>55</v>
      </c>
      <c r="T70" s="28">
        <v>0</v>
      </c>
      <c r="U70" s="28"/>
      <c r="V70" s="1"/>
      <c r="W70" s="1"/>
      <c r="X70" s="1" t="s">
        <v>47</v>
      </c>
      <c r="Y70" s="2"/>
      <c r="Z70" s="1"/>
      <c r="AB70" s="29" t="s">
        <v>1241</v>
      </c>
      <c r="AC70" s="28">
        <f t="shared" si="5"/>
        <v>109480</v>
      </c>
      <c r="AD70" s="1" t="s">
        <v>41</v>
      </c>
      <c r="AE70" s="1">
        <f t="shared" si="6"/>
        <v>55</v>
      </c>
      <c r="AF70" s="1"/>
      <c r="AG70" s="1"/>
      <c r="AL70" s="1"/>
      <c r="AO70" s="1"/>
    </row>
    <row r="71" spans="1:41" ht="30" x14ac:dyDescent="0.25">
      <c r="A71" s="1" t="s">
        <v>350</v>
      </c>
      <c r="B71" s="1" t="s">
        <v>1037</v>
      </c>
      <c r="C71" s="4" t="s">
        <v>348</v>
      </c>
      <c r="D71" s="28">
        <v>1</v>
      </c>
      <c r="E71" s="2" t="s">
        <v>352</v>
      </c>
      <c r="H71" s="4" t="s">
        <v>349</v>
      </c>
      <c r="I71" s="4" t="s">
        <v>351</v>
      </c>
      <c r="J71" s="3" t="s">
        <v>76</v>
      </c>
      <c r="K71" s="1" t="s">
        <v>29</v>
      </c>
      <c r="L71" s="1" t="s">
        <v>60</v>
      </c>
      <c r="M71" s="1"/>
      <c r="N71" s="1"/>
      <c r="O71" s="1" t="s">
        <v>32</v>
      </c>
      <c r="P71" s="1"/>
      <c r="Q71" s="2" t="s">
        <v>348</v>
      </c>
      <c r="R71" s="1" t="s">
        <v>350</v>
      </c>
      <c r="S71" s="1">
        <v>95</v>
      </c>
      <c r="T71" s="28">
        <v>0</v>
      </c>
      <c r="U71" s="28"/>
      <c r="V71" s="1"/>
      <c r="W71" s="1"/>
      <c r="X71" s="1" t="s">
        <v>47</v>
      </c>
      <c r="Y71" s="2"/>
      <c r="Z71" s="1"/>
      <c r="AB71" s="29" t="s">
        <v>1241</v>
      </c>
      <c r="AC71" s="28">
        <f t="shared" si="5"/>
        <v>109480</v>
      </c>
      <c r="AD71" s="1" t="s">
        <v>41</v>
      </c>
      <c r="AE71" s="1">
        <f t="shared" si="6"/>
        <v>95</v>
      </c>
      <c r="AF71" s="1"/>
      <c r="AG71" s="1"/>
      <c r="AL71" s="1"/>
      <c r="AO71" s="1"/>
    </row>
    <row r="72" spans="1:41" ht="45" x14ac:dyDescent="0.25">
      <c r="A72" s="1" t="s">
        <v>289</v>
      </c>
      <c r="B72" s="1" t="s">
        <v>1037</v>
      </c>
      <c r="C72" s="4" t="s">
        <v>285</v>
      </c>
      <c r="D72" s="28">
        <v>1</v>
      </c>
      <c r="E72" s="2" t="s">
        <v>291</v>
      </c>
      <c r="H72" s="4" t="s">
        <v>288</v>
      </c>
      <c r="I72" s="4" t="s">
        <v>287</v>
      </c>
      <c r="J72" s="3" t="s">
        <v>76</v>
      </c>
      <c r="K72" s="1" t="s">
        <v>29</v>
      </c>
      <c r="L72" s="1" t="s">
        <v>60</v>
      </c>
      <c r="M72" s="1"/>
      <c r="N72" s="1"/>
      <c r="O72" s="1" t="s">
        <v>290</v>
      </c>
      <c r="P72" s="1"/>
      <c r="Q72" s="2" t="s">
        <v>285</v>
      </c>
      <c r="R72" s="1" t="s">
        <v>289</v>
      </c>
      <c r="S72" s="1">
        <v>110</v>
      </c>
      <c r="T72" s="28">
        <v>0</v>
      </c>
      <c r="U72" s="28"/>
      <c r="V72" s="1"/>
      <c r="W72" s="1"/>
      <c r="X72" s="1" t="s">
        <v>47</v>
      </c>
      <c r="Y72" s="2"/>
      <c r="Z72" s="1"/>
      <c r="AB72" s="29" t="s">
        <v>1241</v>
      </c>
      <c r="AC72" s="28">
        <f t="shared" si="5"/>
        <v>109480</v>
      </c>
      <c r="AD72" s="1" t="s">
        <v>41</v>
      </c>
      <c r="AE72" s="1">
        <f t="shared" si="6"/>
        <v>110</v>
      </c>
      <c r="AF72" s="1"/>
      <c r="AG72" s="1"/>
      <c r="AL72" s="1"/>
      <c r="AO72" s="1"/>
    </row>
    <row r="73" spans="1:41" ht="30" x14ac:dyDescent="0.25">
      <c r="A73" s="1" t="s">
        <v>417</v>
      </c>
      <c r="B73" s="1" t="s">
        <v>1037</v>
      </c>
      <c r="C73" s="4" t="s">
        <v>416</v>
      </c>
      <c r="D73" s="28">
        <v>0</v>
      </c>
      <c r="E73" s="2" t="s">
        <v>419</v>
      </c>
      <c r="F73" s="1" t="s">
        <v>110</v>
      </c>
      <c r="G73" s="10" t="s">
        <v>420</v>
      </c>
      <c r="H73" s="4" t="s">
        <v>163</v>
      </c>
      <c r="I73" s="4" t="s">
        <v>413</v>
      </c>
      <c r="J73" s="3" t="s">
        <v>101</v>
      </c>
      <c r="K73" s="1" t="s">
        <v>83</v>
      </c>
      <c r="L73" s="1" t="s">
        <v>60</v>
      </c>
      <c r="M73" s="1"/>
      <c r="N73" s="1" t="s">
        <v>418</v>
      </c>
      <c r="O73" s="1" t="s">
        <v>32</v>
      </c>
      <c r="P73" s="10"/>
      <c r="Q73" s="4" t="s">
        <v>416</v>
      </c>
      <c r="R73" s="1" t="s">
        <v>417</v>
      </c>
      <c r="S73" s="1">
        <v>95</v>
      </c>
      <c r="T73" s="1">
        <v>1</v>
      </c>
      <c r="U73" s="28"/>
      <c r="V73" s="1"/>
      <c r="W73" s="1"/>
      <c r="X73" s="1" t="s">
        <v>47</v>
      </c>
      <c r="Y73" s="2"/>
      <c r="Z73" s="1"/>
      <c r="AB73" s="29" t="s">
        <v>1241</v>
      </c>
      <c r="AC73" s="28">
        <f t="shared" si="5"/>
        <v>109480</v>
      </c>
      <c r="AD73" s="1" t="s">
        <v>41</v>
      </c>
      <c r="AE73" s="1">
        <f t="shared" si="6"/>
        <v>0</v>
      </c>
      <c r="AF73" s="1"/>
      <c r="AG73" s="1"/>
      <c r="AL73" s="1"/>
      <c r="AO73" s="1"/>
    </row>
    <row r="74" spans="1:41" ht="30" x14ac:dyDescent="0.25">
      <c r="A74" s="1" t="s">
        <v>417</v>
      </c>
      <c r="B74" s="1" t="s">
        <v>1037</v>
      </c>
      <c r="C74" s="4" t="s">
        <v>416</v>
      </c>
      <c r="D74" s="28">
        <v>0</v>
      </c>
      <c r="E74" s="2" t="s">
        <v>419</v>
      </c>
      <c r="F74" s="1" t="s">
        <v>110</v>
      </c>
      <c r="G74" s="10" t="s">
        <v>420</v>
      </c>
      <c r="H74" s="4" t="s">
        <v>163</v>
      </c>
      <c r="I74" s="4" t="s">
        <v>413</v>
      </c>
      <c r="J74" s="3" t="s">
        <v>101</v>
      </c>
      <c r="K74" s="1" t="s">
        <v>83</v>
      </c>
      <c r="L74" s="1" t="s">
        <v>60</v>
      </c>
      <c r="M74" s="1"/>
      <c r="N74" s="1" t="s">
        <v>418</v>
      </c>
      <c r="O74" s="1" t="s">
        <v>32</v>
      </c>
      <c r="P74" s="10"/>
      <c r="Q74" s="4" t="s">
        <v>416</v>
      </c>
      <c r="R74" s="1" t="s">
        <v>417</v>
      </c>
      <c r="S74" s="1">
        <v>95</v>
      </c>
      <c r="T74" s="1">
        <v>1</v>
      </c>
      <c r="U74" s="28">
        <f>S74</f>
        <v>95</v>
      </c>
      <c r="V74" s="1"/>
      <c r="W74" s="1"/>
      <c r="X74" s="1" t="s">
        <v>47</v>
      </c>
      <c r="Y74" s="2"/>
      <c r="Z74" s="1"/>
      <c r="AA74" s="1" t="s">
        <v>1392</v>
      </c>
      <c r="AB74" s="1" t="s">
        <v>1366</v>
      </c>
      <c r="AC74" s="28">
        <f t="shared" si="5"/>
        <v>109480</v>
      </c>
      <c r="AD74" s="1" t="s">
        <v>1391</v>
      </c>
      <c r="AE74" s="1">
        <f t="shared" si="6"/>
        <v>0</v>
      </c>
      <c r="AF74" s="1"/>
      <c r="AG74" s="1"/>
      <c r="AL74" s="1"/>
      <c r="AO74" s="1"/>
    </row>
    <row r="75" spans="1:41" ht="30" x14ac:dyDescent="0.25">
      <c r="A75" s="1" t="s">
        <v>421</v>
      </c>
      <c r="B75" s="1" t="s">
        <v>1037</v>
      </c>
      <c r="C75" s="4" t="s">
        <v>416</v>
      </c>
      <c r="D75" s="28">
        <v>1</v>
      </c>
      <c r="E75" s="2" t="s">
        <v>419</v>
      </c>
      <c r="H75" s="4" t="s">
        <v>163</v>
      </c>
      <c r="I75" s="4" t="s">
        <v>413</v>
      </c>
      <c r="J75" s="3" t="s">
        <v>76</v>
      </c>
      <c r="K75" s="1" t="s">
        <v>83</v>
      </c>
      <c r="L75" s="1" t="s">
        <v>60</v>
      </c>
      <c r="M75" s="1"/>
      <c r="N75" s="1" t="s">
        <v>422</v>
      </c>
      <c r="O75" s="1" t="s">
        <v>32</v>
      </c>
      <c r="P75" s="1"/>
      <c r="Q75" s="4" t="s">
        <v>416</v>
      </c>
      <c r="R75" s="1" t="s">
        <v>421</v>
      </c>
      <c r="S75" s="1">
        <v>65</v>
      </c>
      <c r="T75" s="28">
        <v>0</v>
      </c>
      <c r="U75" s="28"/>
      <c r="V75" s="1"/>
      <c r="W75" s="1"/>
      <c r="X75" s="1" t="s">
        <v>47</v>
      </c>
      <c r="Y75" s="2"/>
      <c r="Z75" s="1"/>
      <c r="AB75" s="29" t="s">
        <v>1241</v>
      </c>
      <c r="AC75" s="28">
        <f t="shared" ref="AC75:AC100" si="7">68000*1.61</f>
        <v>109480</v>
      </c>
      <c r="AD75" s="1" t="s">
        <v>41</v>
      </c>
      <c r="AE75" s="1">
        <f t="shared" si="6"/>
        <v>65</v>
      </c>
      <c r="AF75" s="1"/>
      <c r="AG75" s="1"/>
      <c r="AL75" s="1"/>
      <c r="AO75" s="1"/>
    </row>
    <row r="76" spans="1:41" ht="30" x14ac:dyDescent="0.25">
      <c r="A76" s="1" t="s">
        <v>516</v>
      </c>
      <c r="B76" s="1" t="s">
        <v>1037</v>
      </c>
      <c r="C76" s="4" t="s">
        <v>515</v>
      </c>
      <c r="D76" s="28">
        <v>1</v>
      </c>
      <c r="E76" s="2" t="s">
        <v>517</v>
      </c>
      <c r="H76" s="4" t="s">
        <v>200</v>
      </c>
      <c r="I76" s="4" t="s">
        <v>482</v>
      </c>
      <c r="J76" s="3" t="s">
        <v>76</v>
      </c>
      <c r="K76" s="1" t="s">
        <v>29</v>
      </c>
      <c r="L76" s="1" t="s">
        <v>60</v>
      </c>
      <c r="M76" s="1"/>
      <c r="N76" s="1" t="s">
        <v>59</v>
      </c>
      <c r="O76" s="1" t="s">
        <v>70</v>
      </c>
      <c r="P76" s="1"/>
      <c r="Q76" s="4" t="s">
        <v>515</v>
      </c>
      <c r="R76" s="2" t="s">
        <v>516</v>
      </c>
      <c r="S76" s="1">
        <v>55</v>
      </c>
      <c r="T76" s="28">
        <v>0</v>
      </c>
      <c r="U76" s="28"/>
      <c r="V76" s="1"/>
      <c r="W76" s="1"/>
      <c r="X76" s="1" t="s">
        <v>47</v>
      </c>
      <c r="Y76" s="2"/>
      <c r="Z76" s="1"/>
      <c r="AB76" s="29" t="s">
        <v>1241</v>
      </c>
      <c r="AC76" s="28">
        <f t="shared" si="7"/>
        <v>109480</v>
      </c>
      <c r="AD76" s="1" t="s">
        <v>41</v>
      </c>
      <c r="AE76" s="1">
        <f t="shared" si="6"/>
        <v>55</v>
      </c>
      <c r="AF76" s="1"/>
      <c r="AG76" s="1"/>
      <c r="AL76" s="1"/>
      <c r="AO76" s="1"/>
    </row>
    <row r="77" spans="1:41" ht="75" x14ac:dyDescent="0.25">
      <c r="A77" s="1" t="s">
        <v>1254</v>
      </c>
      <c r="B77" s="1" t="s">
        <v>1037</v>
      </c>
      <c r="C77" s="4" t="s">
        <v>1256</v>
      </c>
      <c r="D77" s="28">
        <v>1</v>
      </c>
      <c r="E77" s="2" t="s">
        <v>1252</v>
      </c>
      <c r="F77" s="1" t="s">
        <v>110</v>
      </c>
      <c r="G77" s="10" t="s">
        <v>72</v>
      </c>
      <c r="H77" s="4" t="s">
        <v>1251</v>
      </c>
      <c r="I77" s="4" t="s">
        <v>1253</v>
      </c>
      <c r="J77" s="3"/>
      <c r="K77" s="1" t="s">
        <v>59</v>
      </c>
      <c r="L77" s="1" t="s">
        <v>60</v>
      </c>
      <c r="M77" s="1"/>
      <c r="N77" s="1"/>
      <c r="P77" s="10"/>
      <c r="Q77" s="2" t="s">
        <v>1250</v>
      </c>
      <c r="R77" s="2" t="s">
        <v>1255</v>
      </c>
      <c r="S77" s="1">
        <v>450</v>
      </c>
      <c r="T77" s="28">
        <v>0</v>
      </c>
      <c r="U77" s="28">
        <f>S77</f>
        <v>450</v>
      </c>
      <c r="V77" s="1"/>
      <c r="W77" s="1"/>
      <c r="X77" s="1" t="s">
        <v>47</v>
      </c>
      <c r="Y77" s="2"/>
      <c r="Z77" s="1"/>
      <c r="AA77" s="1" t="s">
        <v>1259</v>
      </c>
      <c r="AB77" s="29" t="s">
        <v>1241</v>
      </c>
      <c r="AC77" s="28">
        <f t="shared" si="7"/>
        <v>109480</v>
      </c>
      <c r="AD77" s="1"/>
      <c r="AE77" s="1">
        <f t="shared" si="6"/>
        <v>450</v>
      </c>
      <c r="AF77" s="1"/>
      <c r="AG77" s="1"/>
      <c r="AL77" s="1"/>
      <c r="AO77" s="1"/>
    </row>
    <row r="78" spans="1:41" ht="30" x14ac:dyDescent="0.25">
      <c r="A78" s="1" t="s">
        <v>853</v>
      </c>
      <c r="B78" s="1" t="s">
        <v>1037</v>
      </c>
      <c r="C78" s="4" t="s">
        <v>851</v>
      </c>
      <c r="D78" s="28">
        <v>1</v>
      </c>
      <c r="E78" s="2" t="s">
        <v>854</v>
      </c>
      <c r="H78" s="4" t="s">
        <v>852</v>
      </c>
      <c r="I78" s="4" t="s">
        <v>852</v>
      </c>
      <c r="J78" s="3" t="s">
        <v>586</v>
      </c>
      <c r="K78" s="1" t="s">
        <v>59</v>
      </c>
      <c r="L78" s="1" t="s">
        <v>83</v>
      </c>
      <c r="M78" s="1" t="s">
        <v>31</v>
      </c>
      <c r="N78" s="1"/>
      <c r="O78" s="1" t="s">
        <v>70</v>
      </c>
      <c r="P78" s="1"/>
      <c r="Q78" s="19" t="s">
        <v>851</v>
      </c>
      <c r="R78" s="1" t="s">
        <v>853</v>
      </c>
      <c r="S78" s="1">
        <v>15</v>
      </c>
      <c r="T78" s="28">
        <v>0</v>
      </c>
      <c r="U78" s="28"/>
      <c r="V78" s="1"/>
      <c r="W78" s="1"/>
      <c r="X78" s="1" t="s">
        <v>47</v>
      </c>
      <c r="Y78" s="2"/>
      <c r="Z78" s="1"/>
      <c r="AB78" s="29" t="s">
        <v>1241</v>
      </c>
      <c r="AC78" s="28">
        <f t="shared" si="7"/>
        <v>109480</v>
      </c>
      <c r="AD78" s="1" t="s">
        <v>41</v>
      </c>
      <c r="AE78" s="1">
        <f t="shared" si="6"/>
        <v>15</v>
      </c>
      <c r="AF78" s="1"/>
      <c r="AG78" s="1"/>
      <c r="AL78" s="1"/>
      <c r="AO78" s="1"/>
    </row>
    <row r="79" spans="1:41" ht="60" x14ac:dyDescent="0.25">
      <c r="A79" s="1" t="s">
        <v>1273</v>
      </c>
      <c r="B79" s="1" t="s">
        <v>1037</v>
      </c>
      <c r="C79" s="4" t="s">
        <v>1278</v>
      </c>
      <c r="D79" s="28">
        <v>1</v>
      </c>
      <c r="E79" s="2" t="s">
        <v>1275</v>
      </c>
      <c r="F79" s="1" t="s">
        <v>110</v>
      </c>
      <c r="G79" s="10" t="s">
        <v>1276</v>
      </c>
      <c r="H79" s="4" t="s">
        <v>141</v>
      </c>
      <c r="I79" s="4" t="s">
        <v>141</v>
      </c>
      <c r="J79" s="3" t="s">
        <v>76</v>
      </c>
      <c r="K79" s="1" t="s">
        <v>59</v>
      </c>
      <c r="L79" s="1" t="s">
        <v>60</v>
      </c>
      <c r="M79" s="1" t="s">
        <v>692</v>
      </c>
      <c r="N79" s="1" t="s">
        <v>692</v>
      </c>
      <c r="O79" s="1" t="s">
        <v>1274</v>
      </c>
      <c r="P79" s="10"/>
      <c r="Q79" s="2" t="s">
        <v>1277</v>
      </c>
      <c r="R79" s="2" t="str">
        <f>A79</f>
        <v>GJA3612DK</v>
      </c>
      <c r="S79" s="1">
        <v>65</v>
      </c>
      <c r="T79" s="28">
        <v>0</v>
      </c>
      <c r="U79" s="28">
        <f>S79</f>
        <v>65</v>
      </c>
      <c r="V79" s="1"/>
      <c r="W79" s="1"/>
      <c r="X79" s="1" t="s">
        <v>47</v>
      </c>
      <c r="Y79" s="2"/>
      <c r="Z79" s="1"/>
      <c r="AB79" s="29" t="s">
        <v>1241</v>
      </c>
      <c r="AC79" s="28">
        <f t="shared" si="7"/>
        <v>109480</v>
      </c>
      <c r="AD79" s="1"/>
      <c r="AE79" s="1">
        <f t="shared" si="6"/>
        <v>65</v>
      </c>
      <c r="AF79" s="1"/>
      <c r="AG79" s="1"/>
      <c r="AL79" s="1"/>
      <c r="AO79" s="1"/>
    </row>
    <row r="80" spans="1:41" x14ac:dyDescent="0.25">
      <c r="A80" s="1" t="s">
        <v>753</v>
      </c>
      <c r="B80" s="1" t="s">
        <v>1037</v>
      </c>
      <c r="C80" s="4" t="s">
        <v>752</v>
      </c>
      <c r="E80" s="1" t="s">
        <v>752</v>
      </c>
      <c r="F80" s="1" t="s">
        <v>121</v>
      </c>
      <c r="G80" s="1" t="s">
        <v>754</v>
      </c>
      <c r="H80" s="4" t="s">
        <v>342</v>
      </c>
      <c r="I80" s="4" t="s">
        <v>344</v>
      </c>
      <c r="J80" s="4" t="s">
        <v>76</v>
      </c>
      <c r="K80" s="1" t="s">
        <v>59</v>
      </c>
      <c r="L80" s="1" t="s">
        <v>60</v>
      </c>
      <c r="M80" s="1" t="s">
        <v>84</v>
      </c>
      <c r="N80" s="1"/>
      <c r="P80" s="1"/>
      <c r="Q80" s="19"/>
      <c r="S80" s="1"/>
      <c r="T80" s="1">
        <v>0</v>
      </c>
      <c r="U80" s="28"/>
      <c r="V80" s="1"/>
      <c r="W80" s="1"/>
      <c r="X80" s="1"/>
      <c r="Y80" s="2"/>
      <c r="Z80" s="1"/>
      <c r="AB80" s="1"/>
      <c r="AC80" s="28">
        <f t="shared" si="7"/>
        <v>109480</v>
      </c>
      <c r="AD80" s="1"/>
      <c r="AE80" s="1">
        <f t="shared" si="6"/>
        <v>0</v>
      </c>
      <c r="AF80" s="1"/>
      <c r="AG80" s="1"/>
      <c r="AL80" s="1"/>
      <c r="AO80" s="1"/>
    </row>
    <row r="81" spans="1:41" x14ac:dyDescent="0.25">
      <c r="A81" s="1" t="s">
        <v>343</v>
      </c>
      <c r="B81" s="1" t="s">
        <v>1037</v>
      </c>
      <c r="C81" s="4" t="s">
        <v>341</v>
      </c>
      <c r="E81" s="2"/>
      <c r="H81" s="4" t="s">
        <v>342</v>
      </c>
      <c r="I81" s="4" t="s">
        <v>344</v>
      </c>
      <c r="J81" s="3" t="s">
        <v>345</v>
      </c>
      <c r="K81" s="1" t="s">
        <v>59</v>
      </c>
      <c r="L81" s="1" t="s">
        <v>60</v>
      </c>
      <c r="M81" s="1"/>
      <c r="N81" s="1"/>
      <c r="P81" s="1"/>
      <c r="Q81" s="19"/>
      <c r="R81" s="1" t="str">
        <f>A81</f>
        <v>GJA3892AA</v>
      </c>
      <c r="S81" s="1"/>
      <c r="T81" s="1">
        <v>0</v>
      </c>
      <c r="U81" s="28"/>
      <c r="V81" s="1"/>
      <c r="W81" s="1"/>
      <c r="X81" s="1"/>
      <c r="Y81" s="2"/>
      <c r="Z81" s="1"/>
      <c r="AB81" s="1"/>
      <c r="AC81" s="28">
        <f t="shared" si="7"/>
        <v>109480</v>
      </c>
      <c r="AD81" s="1"/>
      <c r="AE81" s="1">
        <f t="shared" si="6"/>
        <v>0</v>
      </c>
      <c r="AF81" s="1"/>
      <c r="AG81" s="1"/>
      <c r="AL81" s="1"/>
      <c r="AO81" s="1"/>
    </row>
    <row r="82" spans="1:41" ht="30" x14ac:dyDescent="0.25">
      <c r="A82" s="2" t="s">
        <v>622</v>
      </c>
      <c r="B82" s="1" t="s">
        <v>1037</v>
      </c>
      <c r="C82" s="4" t="s">
        <v>612</v>
      </c>
      <c r="E82" s="2" t="s">
        <v>623</v>
      </c>
      <c r="F82" s="1">
        <v>0</v>
      </c>
      <c r="G82" s="1">
        <v>18107</v>
      </c>
      <c r="H82" s="4" t="s">
        <v>342</v>
      </c>
      <c r="I82" s="4" t="s">
        <v>344</v>
      </c>
      <c r="J82" s="4" t="s">
        <v>76</v>
      </c>
      <c r="K82" s="1" t="s">
        <v>29</v>
      </c>
      <c r="L82" s="1" t="s">
        <v>60</v>
      </c>
      <c r="M82" s="1" t="s">
        <v>109</v>
      </c>
      <c r="N82" s="1" t="s">
        <v>418</v>
      </c>
      <c r="O82" s="2" t="s">
        <v>619</v>
      </c>
      <c r="P82" s="1"/>
      <c r="Q82" s="2" t="s">
        <v>624</v>
      </c>
      <c r="R82" s="1" t="s">
        <v>625</v>
      </c>
      <c r="S82" s="1"/>
      <c r="T82" s="1">
        <v>0</v>
      </c>
      <c r="U82" s="28" t="s">
        <v>626</v>
      </c>
      <c r="V82" s="1"/>
      <c r="W82" s="1"/>
      <c r="X82" s="1"/>
      <c r="Y82" s="2"/>
      <c r="Z82" s="1"/>
      <c r="AB82" s="1" t="s">
        <v>555</v>
      </c>
      <c r="AC82" s="28">
        <f t="shared" si="7"/>
        <v>109480</v>
      </c>
      <c r="AD82" s="1"/>
      <c r="AE82" s="1">
        <f t="shared" si="6"/>
        <v>0</v>
      </c>
      <c r="AF82" s="1"/>
      <c r="AG82" s="1"/>
      <c r="AL82" s="1"/>
      <c r="AO82" s="1"/>
    </row>
    <row r="83" spans="1:41" ht="45" x14ac:dyDescent="0.25">
      <c r="A83" s="2" t="s">
        <v>618</v>
      </c>
      <c r="B83" s="1" t="s">
        <v>1037</v>
      </c>
      <c r="C83" s="4" t="s">
        <v>612</v>
      </c>
      <c r="E83" s="2" t="s">
        <v>615</v>
      </c>
      <c r="F83" s="1">
        <v>0</v>
      </c>
      <c r="G83" s="1">
        <v>18107</v>
      </c>
      <c r="H83" s="4" t="s">
        <v>342</v>
      </c>
      <c r="I83" s="4" t="s">
        <v>344</v>
      </c>
      <c r="J83" s="4" t="s">
        <v>76</v>
      </c>
      <c r="K83" s="1" t="s">
        <v>29</v>
      </c>
      <c r="L83" s="1" t="s">
        <v>30</v>
      </c>
      <c r="M83" s="1" t="s">
        <v>109</v>
      </c>
      <c r="N83" s="1" t="s">
        <v>418</v>
      </c>
      <c r="O83" s="2" t="s">
        <v>619</v>
      </c>
      <c r="P83" s="1"/>
      <c r="S83" s="1"/>
      <c r="T83" s="1">
        <v>0</v>
      </c>
      <c r="U83" s="28"/>
      <c r="V83" s="1"/>
      <c r="W83" s="1"/>
      <c r="X83" s="1"/>
      <c r="Y83" s="2"/>
      <c r="Z83" s="1"/>
      <c r="AB83" s="1"/>
      <c r="AC83" s="28">
        <f t="shared" si="7"/>
        <v>109480</v>
      </c>
      <c r="AD83" s="1"/>
      <c r="AE83" s="1">
        <f t="shared" si="6"/>
        <v>0</v>
      </c>
      <c r="AF83" s="1"/>
      <c r="AG83" s="1"/>
      <c r="AL83" s="1"/>
      <c r="AO83" s="1"/>
    </row>
    <row r="84" spans="1:41" ht="30" x14ac:dyDescent="0.25">
      <c r="A84" s="2" t="s">
        <v>651</v>
      </c>
      <c r="B84" s="1" t="s">
        <v>1037</v>
      </c>
      <c r="C84" s="4" t="s">
        <v>650</v>
      </c>
      <c r="H84" s="4" t="s">
        <v>342</v>
      </c>
      <c r="I84" s="4" t="s">
        <v>344</v>
      </c>
      <c r="J84" s="4" t="s">
        <v>76</v>
      </c>
      <c r="K84" s="1"/>
      <c r="L84" s="1"/>
      <c r="M84" s="1"/>
      <c r="N84" s="1"/>
      <c r="O84" s="2" t="s">
        <v>652</v>
      </c>
      <c r="P84" s="1"/>
      <c r="R84" s="1" t="str">
        <f>A84</f>
        <v>GJA4742AA/SDC
GJA4742AASDC</v>
      </c>
      <c r="S84" s="1"/>
      <c r="T84" s="1">
        <v>0</v>
      </c>
      <c r="U84" s="28"/>
      <c r="V84" s="1"/>
      <c r="W84" s="1"/>
      <c r="X84" s="1"/>
      <c r="Y84" s="2"/>
      <c r="Z84" s="1"/>
      <c r="AB84" s="1" t="s">
        <v>653</v>
      </c>
      <c r="AC84" s="28">
        <f t="shared" si="7"/>
        <v>109480</v>
      </c>
      <c r="AD84" s="1"/>
      <c r="AE84" s="1">
        <f t="shared" si="6"/>
        <v>0</v>
      </c>
      <c r="AF84" s="1"/>
      <c r="AG84" s="1"/>
      <c r="AL84" s="1"/>
      <c r="AO84" s="1"/>
    </row>
    <row r="85" spans="1:41" ht="30" x14ac:dyDescent="0.25">
      <c r="A85" s="1" t="s">
        <v>432</v>
      </c>
      <c r="B85" s="1" t="s">
        <v>1037</v>
      </c>
      <c r="C85" s="4" t="s">
        <v>430</v>
      </c>
      <c r="D85" s="28">
        <v>1</v>
      </c>
      <c r="E85" s="2" t="s">
        <v>435</v>
      </c>
      <c r="F85" s="1" t="s">
        <v>110</v>
      </c>
      <c r="G85" s="10" t="s">
        <v>436</v>
      </c>
      <c r="H85" s="4" t="s">
        <v>431</v>
      </c>
      <c r="I85" s="4" t="s">
        <v>433</v>
      </c>
      <c r="J85" s="3" t="s">
        <v>76</v>
      </c>
      <c r="K85" s="1" t="s">
        <v>29</v>
      </c>
      <c r="L85" s="1" t="s">
        <v>30</v>
      </c>
      <c r="M85" s="1"/>
      <c r="N85" s="1" t="s">
        <v>434</v>
      </c>
      <c r="O85" s="1" t="s">
        <v>32</v>
      </c>
      <c r="P85" s="10"/>
      <c r="Q85" s="19" t="s">
        <v>430</v>
      </c>
      <c r="R85" s="2" t="str">
        <f>A85</f>
        <v>GJA6720AD</v>
      </c>
      <c r="S85" s="1"/>
      <c r="T85" s="28">
        <v>0</v>
      </c>
      <c r="U85" s="28"/>
      <c r="V85" s="1"/>
      <c r="W85" s="1"/>
      <c r="X85" s="1"/>
      <c r="Y85" s="2"/>
      <c r="Z85" s="1"/>
      <c r="AB85" s="29" t="s">
        <v>1241</v>
      </c>
      <c r="AC85" s="28">
        <f t="shared" si="7"/>
        <v>109480</v>
      </c>
      <c r="AD85" s="1" t="s">
        <v>41</v>
      </c>
      <c r="AE85" s="1">
        <f t="shared" si="6"/>
        <v>0</v>
      </c>
      <c r="AF85" s="1"/>
      <c r="AG85" s="1"/>
      <c r="AL85" s="1"/>
      <c r="AO85" s="1"/>
    </row>
    <row r="86" spans="1:41" ht="30" x14ac:dyDescent="0.25">
      <c r="A86" s="1" t="s">
        <v>437</v>
      </c>
      <c r="B86" s="1" t="s">
        <v>1037</v>
      </c>
      <c r="C86" s="4" t="s">
        <v>430</v>
      </c>
      <c r="D86" s="28">
        <v>1</v>
      </c>
      <c r="E86" s="2" t="s">
        <v>435</v>
      </c>
      <c r="F86" s="1" t="s">
        <v>110</v>
      </c>
      <c r="G86" s="10" t="s">
        <v>436</v>
      </c>
      <c r="H86" s="4" t="s">
        <v>431</v>
      </c>
      <c r="I86" s="4" t="s">
        <v>433</v>
      </c>
      <c r="J86" s="3" t="s">
        <v>76</v>
      </c>
      <c r="K86" s="1" t="s">
        <v>29</v>
      </c>
      <c r="L86" s="1" t="s">
        <v>60</v>
      </c>
      <c r="M86" s="1"/>
      <c r="N86" s="1" t="s">
        <v>434</v>
      </c>
      <c r="O86" s="1" t="s">
        <v>32</v>
      </c>
      <c r="P86" s="10"/>
      <c r="Q86" s="19" t="s">
        <v>430</v>
      </c>
      <c r="R86" s="1" t="s">
        <v>437</v>
      </c>
      <c r="S86" s="1"/>
      <c r="T86" s="28">
        <v>0</v>
      </c>
      <c r="U86" s="28"/>
      <c r="V86" s="1"/>
      <c r="W86" s="1"/>
      <c r="X86" s="1"/>
      <c r="Y86" s="2"/>
      <c r="Z86" s="1"/>
      <c r="AB86" s="29" t="s">
        <v>1241</v>
      </c>
      <c r="AC86" s="28">
        <f t="shared" si="7"/>
        <v>109480</v>
      </c>
      <c r="AD86" s="1" t="s">
        <v>41</v>
      </c>
      <c r="AE86" s="1">
        <f t="shared" si="6"/>
        <v>0</v>
      </c>
      <c r="AF86" s="1"/>
      <c r="AG86" s="1"/>
      <c r="AL86" s="1"/>
      <c r="AO86" s="1"/>
    </row>
    <row r="87" spans="1:41" ht="45" x14ac:dyDescent="0.25">
      <c r="A87" s="1" t="s">
        <v>951</v>
      </c>
      <c r="B87" s="1" t="s">
        <v>1037</v>
      </c>
      <c r="C87" s="4" t="s">
        <v>949</v>
      </c>
      <c r="D87" s="28">
        <v>1</v>
      </c>
      <c r="E87" s="2" t="s">
        <v>953</v>
      </c>
      <c r="H87" s="4" t="s">
        <v>950</v>
      </c>
      <c r="I87" s="4" t="s">
        <v>952</v>
      </c>
      <c r="J87" s="3"/>
      <c r="K87" s="1" t="s">
        <v>29</v>
      </c>
      <c r="L87" s="1" t="s">
        <v>83</v>
      </c>
      <c r="M87" s="1"/>
      <c r="N87" s="1"/>
      <c r="P87" s="1"/>
      <c r="Q87" s="19" t="s">
        <v>949</v>
      </c>
      <c r="R87" s="1" t="s">
        <v>951</v>
      </c>
      <c r="S87" s="1"/>
      <c r="T87" s="28">
        <v>0</v>
      </c>
      <c r="U87" s="28"/>
      <c r="V87" s="1"/>
      <c r="W87" s="1"/>
      <c r="X87" s="1"/>
      <c r="Y87" s="2"/>
      <c r="Z87" s="1"/>
      <c r="AB87" s="29" t="s">
        <v>1241</v>
      </c>
      <c r="AC87" s="28">
        <f t="shared" si="7"/>
        <v>109480</v>
      </c>
      <c r="AD87" s="1" t="s">
        <v>41</v>
      </c>
      <c r="AE87" s="1">
        <f t="shared" si="6"/>
        <v>0</v>
      </c>
      <c r="AF87" s="1"/>
      <c r="AG87" s="1"/>
      <c r="AL87" s="1"/>
      <c r="AO87" s="1"/>
    </row>
    <row r="88" spans="1:41" x14ac:dyDescent="0.25">
      <c r="A88" s="1" t="s">
        <v>836</v>
      </c>
      <c r="B88" s="1" t="s">
        <v>1037</v>
      </c>
      <c r="C88" s="4" t="str">
        <f>Q88</f>
        <v>WIPER BLADE</v>
      </c>
      <c r="I88" s="4" t="s">
        <v>837</v>
      </c>
      <c r="J88" s="3"/>
      <c r="K88" s="1"/>
      <c r="L88" s="1"/>
      <c r="M88" s="1"/>
      <c r="N88" s="1"/>
      <c r="P88" s="1"/>
      <c r="Q88" s="2" t="s">
        <v>838</v>
      </c>
      <c r="R88" s="1" t="str">
        <f>A88</f>
        <v>GJA8960BB</v>
      </c>
      <c r="S88" s="1"/>
      <c r="T88" s="1">
        <v>0</v>
      </c>
      <c r="U88" s="28"/>
      <c r="V88" s="1"/>
      <c r="W88" s="1"/>
      <c r="X88" s="1"/>
      <c r="Y88" s="2"/>
      <c r="Z88" s="1"/>
      <c r="AA88" s="1" t="s">
        <v>839</v>
      </c>
      <c r="AB88" s="1" t="s">
        <v>67</v>
      </c>
      <c r="AC88" s="28">
        <f t="shared" si="7"/>
        <v>109480</v>
      </c>
      <c r="AD88" s="1"/>
      <c r="AE88" s="1">
        <f t="shared" si="6"/>
        <v>0</v>
      </c>
      <c r="AF88" s="1"/>
      <c r="AG88" s="1"/>
      <c r="AL88" s="1"/>
      <c r="AO88" s="1"/>
    </row>
    <row r="89" spans="1:41" x14ac:dyDescent="0.25">
      <c r="A89" s="1" t="s">
        <v>836</v>
      </c>
      <c r="B89" s="1" t="s">
        <v>1037</v>
      </c>
      <c r="C89" s="4" t="str">
        <f>Q89</f>
        <v xml:space="preserve">WIPER BLADE </v>
      </c>
      <c r="I89" s="4" t="s">
        <v>837</v>
      </c>
      <c r="J89" s="3"/>
      <c r="K89" s="1"/>
      <c r="L89" s="1"/>
      <c r="M89" s="1"/>
      <c r="N89" s="1"/>
      <c r="P89" s="1"/>
      <c r="Q89" s="2" t="s">
        <v>840</v>
      </c>
      <c r="R89" s="1" t="str">
        <f>A89</f>
        <v>GJA8960BB</v>
      </c>
      <c r="S89" s="1"/>
      <c r="T89" s="1">
        <v>0</v>
      </c>
      <c r="U89" s="28"/>
      <c r="V89" s="1"/>
      <c r="W89" s="1"/>
      <c r="X89" s="1"/>
      <c r="Y89" s="2"/>
      <c r="Z89" s="1"/>
      <c r="AA89" s="1" t="s">
        <v>841</v>
      </c>
      <c r="AB89" s="1" t="s">
        <v>67</v>
      </c>
      <c r="AC89" s="28">
        <f t="shared" si="7"/>
        <v>109480</v>
      </c>
      <c r="AD89" s="1"/>
      <c r="AE89" s="1">
        <f t="shared" si="6"/>
        <v>0</v>
      </c>
      <c r="AF89" s="1"/>
      <c r="AG89" s="1"/>
      <c r="AL89" s="1"/>
      <c r="AO89" s="1"/>
    </row>
    <row r="90" spans="1:41" x14ac:dyDescent="0.25">
      <c r="A90" s="1" t="s">
        <v>845</v>
      </c>
      <c r="B90" s="1" t="s">
        <v>1220</v>
      </c>
      <c r="C90" s="4" t="str">
        <f>Q90</f>
        <v>WIPER BLADE-RHD</v>
      </c>
      <c r="I90" s="4" t="s">
        <v>837</v>
      </c>
      <c r="J90" s="3"/>
      <c r="K90" s="1"/>
      <c r="L90" s="1"/>
      <c r="M90" s="1"/>
      <c r="N90" s="1"/>
      <c r="P90" s="1"/>
      <c r="Q90" s="2" t="s">
        <v>846</v>
      </c>
      <c r="R90" s="1" t="str">
        <f>A90</f>
        <v>GJA8962BB</v>
      </c>
      <c r="S90" s="1"/>
      <c r="T90" s="1">
        <v>0</v>
      </c>
      <c r="U90" s="28"/>
      <c r="V90" s="1"/>
      <c r="W90" s="1"/>
      <c r="X90" s="1"/>
      <c r="Y90" s="2"/>
      <c r="Z90" s="1"/>
      <c r="AB90" s="1" t="s">
        <v>67</v>
      </c>
      <c r="AC90" s="28">
        <f t="shared" si="7"/>
        <v>109480</v>
      </c>
      <c r="AD90" s="1"/>
      <c r="AE90" s="1">
        <f t="shared" si="6"/>
        <v>0</v>
      </c>
      <c r="AF90" s="1"/>
      <c r="AG90" s="1"/>
      <c r="AL90" s="1"/>
      <c r="AO90" s="1"/>
    </row>
    <row r="91" spans="1:41" x14ac:dyDescent="0.25">
      <c r="A91" s="1" t="s">
        <v>845</v>
      </c>
      <c r="B91" s="1" t="s">
        <v>1220</v>
      </c>
      <c r="C91" s="4" t="str">
        <f>Q91</f>
        <v>WIPER BLADE-RHD</v>
      </c>
      <c r="I91" s="4" t="s">
        <v>837</v>
      </c>
      <c r="J91" s="3"/>
      <c r="K91" s="1"/>
      <c r="L91" s="1"/>
      <c r="M91" s="1"/>
      <c r="N91" s="1"/>
      <c r="P91" s="1"/>
      <c r="Q91" s="2" t="s">
        <v>846</v>
      </c>
      <c r="R91" s="1" t="str">
        <f>A91</f>
        <v>GJA8962BB</v>
      </c>
      <c r="S91" s="1"/>
      <c r="T91" s="1">
        <v>0</v>
      </c>
      <c r="U91" s="28"/>
      <c r="V91" s="1"/>
      <c r="W91" s="1"/>
      <c r="X91" s="1"/>
      <c r="Y91" s="2"/>
      <c r="Z91" s="1"/>
      <c r="AB91" s="1" t="s">
        <v>67</v>
      </c>
      <c r="AC91" s="28">
        <f t="shared" si="7"/>
        <v>109480</v>
      </c>
      <c r="AD91" s="1"/>
      <c r="AE91" s="1">
        <f t="shared" si="6"/>
        <v>0</v>
      </c>
      <c r="AF91" s="1"/>
      <c r="AG91" s="1"/>
      <c r="AL91" s="1"/>
      <c r="AO91" s="1"/>
    </row>
    <row r="92" spans="1:41" x14ac:dyDescent="0.25">
      <c r="A92" s="1" t="s">
        <v>842</v>
      </c>
      <c r="B92" s="1" t="s">
        <v>1037</v>
      </c>
      <c r="C92" s="4" t="str">
        <f>Q92</f>
        <v>WIPER BLADE-LHD</v>
      </c>
      <c r="I92" s="4" t="s">
        <v>837</v>
      </c>
      <c r="J92" s="3"/>
      <c r="K92" s="1"/>
      <c r="L92" s="1"/>
      <c r="M92" s="1"/>
      <c r="N92" s="1"/>
      <c r="P92" s="1"/>
      <c r="Q92" s="2" t="s">
        <v>843</v>
      </c>
      <c r="R92" s="1" t="str">
        <f>A92</f>
        <v>GJA8962CB</v>
      </c>
      <c r="S92" s="1"/>
      <c r="T92" s="1">
        <v>0</v>
      </c>
      <c r="U92" s="28"/>
      <c r="V92" s="1"/>
      <c r="W92" s="1"/>
      <c r="X92" s="1"/>
      <c r="Y92" s="2"/>
      <c r="Z92" s="1"/>
      <c r="AA92" s="1" t="s">
        <v>844</v>
      </c>
      <c r="AB92" s="1" t="s">
        <v>67</v>
      </c>
      <c r="AC92" s="28">
        <f t="shared" si="7"/>
        <v>109480</v>
      </c>
      <c r="AD92" s="1"/>
      <c r="AE92" s="1">
        <f t="shared" si="6"/>
        <v>0</v>
      </c>
      <c r="AF92" s="1"/>
      <c r="AG92" s="1"/>
      <c r="AL92" s="1"/>
      <c r="AO92" s="1"/>
    </row>
    <row r="93" spans="1:41" ht="45" x14ac:dyDescent="0.25">
      <c r="A93" s="1" t="s">
        <v>964</v>
      </c>
      <c r="B93" s="1" t="s">
        <v>1037</v>
      </c>
      <c r="C93" s="4" t="s">
        <v>962</v>
      </c>
      <c r="D93" s="28">
        <v>0</v>
      </c>
      <c r="E93" s="2" t="s">
        <v>965</v>
      </c>
      <c r="F93" s="10" t="s">
        <v>750</v>
      </c>
      <c r="G93" s="10" t="s">
        <v>72</v>
      </c>
      <c r="H93" s="4" t="s">
        <v>963</v>
      </c>
      <c r="I93" s="4" t="s">
        <v>463</v>
      </c>
      <c r="J93" s="3" t="s">
        <v>101</v>
      </c>
      <c r="K93" s="1" t="s">
        <v>29</v>
      </c>
      <c r="L93" s="1" t="s">
        <v>55</v>
      </c>
      <c r="M93" s="1"/>
      <c r="N93" s="1"/>
      <c r="O93" s="1" t="s">
        <v>32</v>
      </c>
      <c r="P93" s="10"/>
      <c r="Q93" s="2" t="s">
        <v>966</v>
      </c>
      <c r="R93" s="2" t="s">
        <v>964</v>
      </c>
      <c r="S93" s="1"/>
      <c r="T93" s="1">
        <v>0</v>
      </c>
      <c r="U93" s="28"/>
      <c r="V93" s="1"/>
      <c r="W93" s="1"/>
      <c r="X93" s="1"/>
      <c r="Y93" s="2"/>
      <c r="Z93" s="1"/>
      <c r="AA93" s="11" t="s">
        <v>967</v>
      </c>
      <c r="AB93" s="1" t="s">
        <v>307</v>
      </c>
      <c r="AC93" s="28">
        <f t="shared" si="7"/>
        <v>109480</v>
      </c>
      <c r="AD93" s="1"/>
      <c r="AE93" s="1">
        <f t="shared" si="6"/>
        <v>0</v>
      </c>
      <c r="AF93" s="1"/>
      <c r="AG93" s="1"/>
      <c r="AL93" s="1"/>
      <c r="AO93" s="1"/>
    </row>
    <row r="94" spans="1:41" ht="45" x14ac:dyDescent="0.25">
      <c r="A94" s="1" t="s">
        <v>450</v>
      </c>
      <c r="B94" s="1" t="s">
        <v>1037</v>
      </c>
      <c r="C94" s="4" t="s">
        <v>449</v>
      </c>
      <c r="D94" s="28">
        <v>1</v>
      </c>
      <c r="E94" s="2" t="s">
        <v>451</v>
      </c>
      <c r="H94" s="4" t="s">
        <v>449</v>
      </c>
      <c r="I94" s="4" t="s">
        <v>449</v>
      </c>
      <c r="J94" s="3" t="s">
        <v>76</v>
      </c>
      <c r="K94" s="1" t="s">
        <v>29</v>
      </c>
      <c r="L94" s="1" t="s">
        <v>30</v>
      </c>
      <c r="M94" s="1" t="s">
        <v>84</v>
      </c>
      <c r="N94" s="1"/>
      <c r="O94" s="1" t="s">
        <v>32</v>
      </c>
      <c r="P94" s="1"/>
      <c r="Q94" s="19" t="s">
        <v>449</v>
      </c>
      <c r="R94" s="1" t="s">
        <v>450</v>
      </c>
      <c r="S94" s="1"/>
      <c r="T94" s="28">
        <v>0</v>
      </c>
      <c r="U94" s="28"/>
      <c r="V94" s="1"/>
      <c r="W94" s="1"/>
      <c r="X94" s="1"/>
      <c r="Y94" s="2"/>
      <c r="Z94" s="1"/>
      <c r="AA94" s="1" t="s">
        <v>452</v>
      </c>
      <c r="AB94" s="29" t="s">
        <v>1241</v>
      </c>
      <c r="AC94" s="28">
        <f t="shared" si="7"/>
        <v>109480</v>
      </c>
      <c r="AD94" s="1" t="s">
        <v>41</v>
      </c>
      <c r="AE94" s="1">
        <f t="shared" si="6"/>
        <v>0</v>
      </c>
      <c r="AF94" s="1"/>
      <c r="AG94" s="1"/>
      <c r="AL94" s="1"/>
      <c r="AO94" s="1"/>
    </row>
    <row r="95" spans="1:41" ht="45" x14ac:dyDescent="0.25">
      <c r="A95" s="29" t="s">
        <v>454</v>
      </c>
      <c r="B95" s="1" t="s">
        <v>1037</v>
      </c>
      <c r="C95" s="4" t="s">
        <v>453</v>
      </c>
      <c r="D95" s="28">
        <v>1</v>
      </c>
      <c r="E95" s="2" t="s">
        <v>455</v>
      </c>
      <c r="H95" s="4" t="s">
        <v>449</v>
      </c>
      <c r="I95" s="4" t="s">
        <v>449</v>
      </c>
      <c r="J95" s="3" t="s">
        <v>76</v>
      </c>
      <c r="K95" s="1" t="s">
        <v>29</v>
      </c>
      <c r="L95" s="1" t="s">
        <v>30</v>
      </c>
      <c r="M95" s="1" t="s">
        <v>84</v>
      </c>
      <c r="N95" s="1"/>
      <c r="O95" s="1" t="s">
        <v>32</v>
      </c>
      <c r="P95" s="1"/>
      <c r="Q95" s="19" t="s">
        <v>453</v>
      </c>
      <c r="R95" s="19" t="s">
        <v>454</v>
      </c>
      <c r="S95" s="1"/>
      <c r="T95" s="28">
        <v>0</v>
      </c>
      <c r="U95" s="28"/>
      <c r="V95" s="1"/>
      <c r="W95" s="1"/>
      <c r="X95" s="1"/>
      <c r="Y95" s="2"/>
      <c r="Z95" s="1"/>
      <c r="AA95" s="1" t="s">
        <v>452</v>
      </c>
      <c r="AB95" s="29" t="s">
        <v>1241</v>
      </c>
      <c r="AC95" s="28">
        <f t="shared" si="7"/>
        <v>109480</v>
      </c>
      <c r="AD95" s="1" t="s">
        <v>41</v>
      </c>
      <c r="AE95" s="1">
        <f t="shared" si="6"/>
        <v>0</v>
      </c>
      <c r="AF95" s="1"/>
      <c r="AG95" s="1"/>
      <c r="AL95" s="1"/>
      <c r="AO95" s="1"/>
    </row>
    <row r="96" spans="1:41" ht="30" x14ac:dyDescent="0.25">
      <c r="A96" s="2" t="s">
        <v>627</v>
      </c>
      <c r="B96" s="1" t="s">
        <v>1037</v>
      </c>
      <c r="C96" s="4" t="s">
        <v>612</v>
      </c>
      <c r="E96" s="2" t="s">
        <v>621</v>
      </c>
      <c r="F96" s="1">
        <v>18108</v>
      </c>
      <c r="G96" s="1" t="s">
        <v>616</v>
      </c>
      <c r="H96" s="4" t="s">
        <v>342</v>
      </c>
      <c r="I96" s="4" t="s">
        <v>344</v>
      </c>
      <c r="J96" s="4" t="s">
        <v>76</v>
      </c>
      <c r="K96" s="1" t="s">
        <v>29</v>
      </c>
      <c r="L96" s="1" t="s">
        <v>60</v>
      </c>
      <c r="M96" s="1" t="s">
        <v>109</v>
      </c>
      <c r="N96" s="1" t="s">
        <v>418</v>
      </c>
      <c r="O96" s="2" t="s">
        <v>619</v>
      </c>
      <c r="P96" s="1"/>
      <c r="S96" s="1"/>
      <c r="T96" s="1">
        <v>0</v>
      </c>
      <c r="U96" s="28"/>
      <c r="V96" s="1"/>
      <c r="W96" s="1"/>
      <c r="X96" s="1"/>
      <c r="Y96" s="2"/>
      <c r="Z96" s="1"/>
      <c r="AB96" s="1"/>
      <c r="AC96" s="28">
        <f t="shared" si="7"/>
        <v>109480</v>
      </c>
      <c r="AD96" s="1"/>
      <c r="AE96" s="1">
        <f t="shared" si="6"/>
        <v>0</v>
      </c>
      <c r="AF96" s="1"/>
      <c r="AG96" s="1"/>
      <c r="AL96" s="1"/>
      <c r="AO96" s="1"/>
    </row>
    <row r="97" spans="1:41" ht="45" x14ac:dyDescent="0.25">
      <c r="A97" s="2" t="s">
        <v>617</v>
      </c>
      <c r="B97" s="1" t="s">
        <v>1037</v>
      </c>
      <c r="C97" s="4" t="s">
        <v>612</v>
      </c>
      <c r="E97" s="2" t="s">
        <v>615</v>
      </c>
      <c r="F97" s="1">
        <v>18108</v>
      </c>
      <c r="G97" s="1" t="s">
        <v>616</v>
      </c>
      <c r="H97" s="4" t="s">
        <v>342</v>
      </c>
      <c r="I97" s="4" t="s">
        <v>344</v>
      </c>
      <c r="J97" s="4" t="s">
        <v>76</v>
      </c>
      <c r="K97" s="1" t="s">
        <v>29</v>
      </c>
      <c r="L97" s="1" t="s">
        <v>60</v>
      </c>
      <c r="M97" s="1" t="s">
        <v>109</v>
      </c>
      <c r="N97" s="1" t="s">
        <v>418</v>
      </c>
      <c r="O97" s="2" t="s">
        <v>613</v>
      </c>
      <c r="P97" s="1"/>
      <c r="S97" s="1"/>
      <c r="T97" s="1">
        <v>0</v>
      </c>
      <c r="U97" s="28"/>
      <c r="V97" s="1"/>
      <c r="W97" s="1"/>
      <c r="X97" s="1"/>
      <c r="Y97" s="2"/>
      <c r="Z97" s="1"/>
      <c r="AB97" s="1"/>
      <c r="AC97" s="28">
        <f t="shared" si="7"/>
        <v>109480</v>
      </c>
      <c r="AD97" s="1"/>
      <c r="AE97" s="1">
        <f t="shared" si="6"/>
        <v>0</v>
      </c>
      <c r="AF97" s="1"/>
      <c r="AG97" s="1"/>
      <c r="AL97" s="1"/>
      <c r="AO97" s="1"/>
    </row>
    <row r="98" spans="1:41" ht="30" x14ac:dyDescent="0.25">
      <c r="A98" s="2" t="s">
        <v>620</v>
      </c>
      <c r="B98" s="1" t="s">
        <v>1037</v>
      </c>
      <c r="C98" s="4" t="s">
        <v>612</v>
      </c>
      <c r="E98" s="2" t="s">
        <v>621</v>
      </c>
      <c r="F98" s="1">
        <v>18108</v>
      </c>
      <c r="G98" s="1" t="s">
        <v>616</v>
      </c>
      <c r="H98" s="4" t="s">
        <v>342</v>
      </c>
      <c r="I98" s="4" t="s">
        <v>344</v>
      </c>
      <c r="J98" s="4" t="s">
        <v>76</v>
      </c>
      <c r="K98" s="1" t="s">
        <v>29</v>
      </c>
      <c r="L98" s="1" t="s">
        <v>30</v>
      </c>
      <c r="M98" s="1" t="s">
        <v>109</v>
      </c>
      <c r="N98" s="1" t="s">
        <v>418</v>
      </c>
      <c r="O98" s="2" t="s">
        <v>619</v>
      </c>
      <c r="P98" s="1"/>
      <c r="S98" s="1"/>
      <c r="T98" s="1">
        <v>0</v>
      </c>
      <c r="U98" s="28"/>
      <c r="V98" s="1"/>
      <c r="W98" s="1"/>
      <c r="X98" s="1"/>
      <c r="Y98" s="2"/>
      <c r="Z98" s="1"/>
      <c r="AB98" s="1"/>
      <c r="AC98" s="28">
        <f t="shared" si="7"/>
        <v>109480</v>
      </c>
      <c r="AD98" s="1"/>
      <c r="AE98" s="1">
        <f t="shared" si="6"/>
        <v>0</v>
      </c>
      <c r="AF98" s="1"/>
      <c r="AG98" s="1"/>
      <c r="AL98" s="1"/>
      <c r="AO98" s="1"/>
    </row>
    <row r="99" spans="1:41" ht="45" x14ac:dyDescent="0.25">
      <c r="A99" s="2" t="s">
        <v>614</v>
      </c>
      <c r="B99" s="1" t="s">
        <v>1037</v>
      </c>
      <c r="C99" s="4" t="s">
        <v>612</v>
      </c>
      <c r="E99" s="2" t="s">
        <v>615</v>
      </c>
      <c r="F99" s="1">
        <v>18108</v>
      </c>
      <c r="G99" s="1" t="s">
        <v>616</v>
      </c>
      <c r="H99" s="4" t="s">
        <v>342</v>
      </c>
      <c r="I99" s="4" t="s">
        <v>344</v>
      </c>
      <c r="J99" s="4" t="s">
        <v>76</v>
      </c>
      <c r="K99" s="1" t="s">
        <v>29</v>
      </c>
      <c r="L99" s="1" t="s">
        <v>30</v>
      </c>
      <c r="M99" s="1" t="s">
        <v>109</v>
      </c>
      <c r="N99" s="1" t="s">
        <v>418</v>
      </c>
      <c r="O99" s="2" t="s">
        <v>613</v>
      </c>
      <c r="P99" s="1"/>
      <c r="S99" s="1"/>
      <c r="T99" s="1">
        <v>0</v>
      </c>
      <c r="U99" s="28"/>
      <c r="V99" s="1"/>
      <c r="W99" s="1"/>
      <c r="X99" s="1"/>
      <c r="Y99" s="2"/>
      <c r="Z99" s="1"/>
      <c r="AB99" s="1"/>
      <c r="AC99" s="28">
        <f t="shared" si="7"/>
        <v>109480</v>
      </c>
      <c r="AD99" s="1"/>
      <c r="AE99" s="1">
        <f t="shared" si="6"/>
        <v>0</v>
      </c>
      <c r="AF99" s="1"/>
      <c r="AG99" s="1"/>
      <c r="AL99" s="1"/>
      <c r="AO99" s="1"/>
    </row>
    <row r="100" spans="1:41" ht="30" x14ac:dyDescent="0.25">
      <c r="A100" s="1" t="s">
        <v>476</v>
      </c>
      <c r="B100" s="1" t="s">
        <v>1037</v>
      </c>
      <c r="C100" s="4" t="s">
        <v>474</v>
      </c>
      <c r="D100" s="28">
        <v>1</v>
      </c>
      <c r="E100" s="2" t="s">
        <v>477</v>
      </c>
      <c r="H100" s="4" t="s">
        <v>475</v>
      </c>
      <c r="I100" s="4" t="s">
        <v>463</v>
      </c>
      <c r="J100" s="3"/>
      <c r="K100" s="1" t="s">
        <v>83</v>
      </c>
      <c r="L100" s="1" t="s">
        <v>83</v>
      </c>
      <c r="M100" s="1" t="s">
        <v>84</v>
      </c>
      <c r="N100" s="1"/>
      <c r="O100" s="1" t="s">
        <v>32</v>
      </c>
      <c r="P100" s="1"/>
      <c r="Q100" s="19" t="s">
        <v>474</v>
      </c>
      <c r="R100" s="2" t="str">
        <f>A100</f>
        <v>GJB7820AB</v>
      </c>
      <c r="S100" s="1">
        <v>65</v>
      </c>
      <c r="T100" s="28">
        <v>0</v>
      </c>
      <c r="U100" s="28"/>
      <c r="V100" s="1"/>
      <c r="W100" s="1"/>
      <c r="X100" s="1" t="s">
        <v>47</v>
      </c>
      <c r="Y100" s="2"/>
      <c r="Z100" s="1"/>
      <c r="AA100" s="1" t="s">
        <v>478</v>
      </c>
      <c r="AB100" s="29" t="s">
        <v>1241</v>
      </c>
      <c r="AC100" s="28">
        <f t="shared" si="7"/>
        <v>109480</v>
      </c>
      <c r="AD100" s="1" t="s">
        <v>41</v>
      </c>
      <c r="AE100" s="1">
        <f t="shared" si="6"/>
        <v>65</v>
      </c>
      <c r="AF100" s="1"/>
      <c r="AG100" s="1"/>
      <c r="AL100" s="1"/>
      <c r="AO100" s="1"/>
    </row>
    <row r="101" spans="1:41" ht="45" x14ac:dyDescent="0.25">
      <c r="A101" s="1" t="s">
        <v>1610</v>
      </c>
      <c r="B101" s="1" t="s">
        <v>1037</v>
      </c>
      <c r="C101" s="4" t="s">
        <v>1611</v>
      </c>
      <c r="D101" s="31">
        <v>1</v>
      </c>
      <c r="E101" s="2" t="s">
        <v>1612</v>
      </c>
      <c r="F101" s="1" t="s">
        <v>110</v>
      </c>
      <c r="G101" s="1" t="s">
        <v>1618</v>
      </c>
      <c r="H101" s="4" t="s">
        <v>1619</v>
      </c>
      <c r="I101" s="4" t="s">
        <v>225</v>
      </c>
      <c r="J101" s="3" t="s">
        <v>586</v>
      </c>
      <c r="K101" s="1" t="s">
        <v>29</v>
      </c>
      <c r="L101" s="1" t="s">
        <v>60</v>
      </c>
      <c r="M101" s="1" t="s">
        <v>84</v>
      </c>
      <c r="N101" s="1"/>
      <c r="O101" s="1" t="s">
        <v>32</v>
      </c>
      <c r="P101" s="1"/>
      <c r="Q101" s="25" t="str">
        <f>Parts[[#This Row],[Part]]</f>
        <v>Battery Clamp</v>
      </c>
      <c r="R101" s="2"/>
      <c r="S101" s="13"/>
      <c r="T101" s="28"/>
      <c r="U101" s="36"/>
      <c r="V101" s="13"/>
      <c r="W101" s="13"/>
      <c r="X101" s="13"/>
      <c r="Y101" s="12" t="s">
        <v>1621</v>
      </c>
      <c r="Z101" s="1"/>
      <c r="AB101" s="1"/>
      <c r="AC101" s="28">
        <v>168000</v>
      </c>
      <c r="AD101" s="1"/>
      <c r="AF101" s="1"/>
      <c r="AG101" s="1"/>
      <c r="AL101" s="1"/>
      <c r="AO101" s="1"/>
    </row>
    <row r="102" spans="1:41" ht="45" x14ac:dyDescent="0.25">
      <c r="A102" s="1" t="s">
        <v>1616</v>
      </c>
      <c r="B102" s="1" t="s">
        <v>1037</v>
      </c>
      <c r="C102" s="4" t="s">
        <v>1615</v>
      </c>
      <c r="D102" s="31">
        <v>0</v>
      </c>
      <c r="E102" s="2" t="s">
        <v>1612</v>
      </c>
      <c r="F102" s="1" t="s">
        <v>110</v>
      </c>
      <c r="G102" s="10" t="s">
        <v>1617</v>
      </c>
      <c r="H102" s="4" t="s">
        <v>223</v>
      </c>
      <c r="I102" s="4" t="s">
        <v>225</v>
      </c>
      <c r="J102" s="3" t="s">
        <v>586</v>
      </c>
      <c r="K102" s="1" t="s">
        <v>29</v>
      </c>
      <c r="L102" s="1" t="s">
        <v>60</v>
      </c>
      <c r="M102" s="1" t="s">
        <v>84</v>
      </c>
      <c r="N102" s="1"/>
      <c r="O102" s="1" t="s">
        <v>32</v>
      </c>
      <c r="P102" s="1" t="s">
        <v>1613</v>
      </c>
      <c r="Q102" s="25" t="str">
        <f>Parts[[#This Row],[Part]]</f>
        <v>Clamp Bolt</v>
      </c>
      <c r="R102" s="2"/>
      <c r="S102" s="13"/>
      <c r="T102" s="28"/>
      <c r="U102" s="36"/>
      <c r="V102" s="13"/>
      <c r="W102" s="13"/>
      <c r="X102" s="13"/>
      <c r="Y102" s="12" t="s">
        <v>1620</v>
      </c>
      <c r="Z102" s="1"/>
      <c r="AB102" s="1"/>
      <c r="AC102" s="28">
        <f>68000*1.61</f>
        <v>109480</v>
      </c>
      <c r="AD102" s="1"/>
      <c r="AF102" s="1"/>
      <c r="AG102" s="1"/>
      <c r="AL102" s="1"/>
      <c r="AO102" s="1"/>
    </row>
    <row r="103" spans="1:41" ht="45" x14ac:dyDescent="0.25">
      <c r="A103" s="1" t="s">
        <v>1613</v>
      </c>
      <c r="B103" s="1" t="s">
        <v>1037</v>
      </c>
      <c r="C103" s="4" t="s">
        <v>1614</v>
      </c>
      <c r="D103" s="31">
        <v>2</v>
      </c>
      <c r="E103" s="2" t="s">
        <v>1612</v>
      </c>
      <c r="F103" s="1" t="s">
        <v>110</v>
      </c>
      <c r="G103" s="1" t="s">
        <v>1618</v>
      </c>
      <c r="H103" s="4" t="s">
        <v>223</v>
      </c>
      <c r="I103" s="4" t="s">
        <v>225</v>
      </c>
      <c r="J103" s="3" t="s">
        <v>586</v>
      </c>
      <c r="K103" s="1" t="s">
        <v>29</v>
      </c>
      <c r="L103" s="1" t="s">
        <v>60</v>
      </c>
      <c r="M103" s="1" t="s">
        <v>84</v>
      </c>
      <c r="N103" s="1"/>
      <c r="O103" s="1" t="s">
        <v>32</v>
      </c>
      <c r="P103" s="1"/>
      <c r="Q103" s="25" t="str">
        <f>Parts[[#This Row],[Part]]</f>
        <v>Battery Clamp Bolt</v>
      </c>
      <c r="R103" s="2"/>
      <c r="S103" s="13"/>
      <c r="T103" s="28"/>
      <c r="U103" s="36"/>
      <c r="V103" s="13"/>
      <c r="W103" s="13"/>
      <c r="X103" s="13"/>
      <c r="Y103" s="12" t="s">
        <v>1620</v>
      </c>
      <c r="Z103" s="1"/>
      <c r="AB103" s="1"/>
      <c r="AC103" s="28">
        <v>168000</v>
      </c>
      <c r="AD103" s="1"/>
      <c r="AF103" s="1"/>
      <c r="AG103" s="1"/>
      <c r="AL103" s="1"/>
      <c r="AO103" s="1"/>
    </row>
    <row r="104" spans="1:41" ht="30" x14ac:dyDescent="0.25">
      <c r="A104" s="1" t="s">
        <v>443</v>
      </c>
      <c r="B104" s="1" t="s">
        <v>1037</v>
      </c>
      <c r="C104" s="4" t="s">
        <v>441</v>
      </c>
      <c r="D104" s="28">
        <v>2</v>
      </c>
      <c r="E104" s="2" t="s">
        <v>446</v>
      </c>
      <c r="H104" s="4" t="s">
        <v>442</v>
      </c>
      <c r="I104" s="4" t="s">
        <v>444</v>
      </c>
      <c r="J104" s="3" t="s">
        <v>76</v>
      </c>
      <c r="K104" s="1" t="s">
        <v>29</v>
      </c>
      <c r="L104" s="1" t="s">
        <v>55</v>
      </c>
      <c r="M104" s="1"/>
      <c r="N104" s="1" t="s">
        <v>445</v>
      </c>
      <c r="O104" s="1" t="s">
        <v>32</v>
      </c>
      <c r="P104" s="1"/>
      <c r="Q104" s="19" t="s">
        <v>441</v>
      </c>
      <c r="R104" s="1" t="s">
        <v>443</v>
      </c>
      <c r="S104" s="1"/>
      <c r="T104" s="28">
        <v>0</v>
      </c>
      <c r="U104" s="28"/>
      <c r="V104" s="1"/>
      <c r="W104" s="1"/>
      <c r="X104" s="1"/>
      <c r="Y104" s="2"/>
      <c r="Z104" s="1"/>
      <c r="AB104" s="29" t="s">
        <v>1241</v>
      </c>
      <c r="AC104" s="28">
        <f t="shared" ref="AC104:AC135" si="8">68000*1.61</f>
        <v>109480</v>
      </c>
      <c r="AD104" s="1" t="s">
        <v>41</v>
      </c>
      <c r="AE104" s="1">
        <f t="shared" ref="AE104:AE135" si="9">S104*D104</f>
        <v>0</v>
      </c>
      <c r="AF104" s="1"/>
      <c r="AG104" s="1"/>
      <c r="AL104" s="1"/>
      <c r="AO104" s="1"/>
    </row>
    <row r="105" spans="1:41" ht="30" x14ac:dyDescent="0.25">
      <c r="A105" s="1" t="s">
        <v>447</v>
      </c>
      <c r="B105" s="1" t="s">
        <v>1037</v>
      </c>
      <c r="C105" s="4" t="s">
        <v>441</v>
      </c>
      <c r="D105" s="28">
        <v>2</v>
      </c>
      <c r="E105" s="2" t="s">
        <v>446</v>
      </c>
      <c r="H105" s="4" t="s">
        <v>442</v>
      </c>
      <c r="I105" s="4" t="s">
        <v>444</v>
      </c>
      <c r="J105" s="3" t="s">
        <v>76</v>
      </c>
      <c r="K105" s="1" t="s">
        <v>29</v>
      </c>
      <c r="L105" s="1" t="s">
        <v>55</v>
      </c>
      <c r="M105" s="1"/>
      <c r="N105" s="1" t="s">
        <v>448</v>
      </c>
      <c r="O105" s="1" t="s">
        <v>32</v>
      </c>
      <c r="P105" s="1"/>
      <c r="Q105" s="19" t="s">
        <v>441</v>
      </c>
      <c r="R105" s="1" t="s">
        <v>447</v>
      </c>
      <c r="S105" s="1"/>
      <c r="T105" s="28">
        <v>0</v>
      </c>
      <c r="U105" s="28"/>
      <c r="V105" s="1"/>
      <c r="W105" s="1"/>
      <c r="X105" s="1"/>
      <c r="Y105" s="2"/>
      <c r="Z105" s="1"/>
      <c r="AB105" s="29" t="s">
        <v>1241</v>
      </c>
      <c r="AC105" s="28">
        <f t="shared" si="8"/>
        <v>109480</v>
      </c>
      <c r="AD105" s="1" t="s">
        <v>41</v>
      </c>
      <c r="AE105" s="1">
        <f t="shared" si="9"/>
        <v>0</v>
      </c>
      <c r="AF105" s="1"/>
      <c r="AG105" s="1"/>
      <c r="AL105" s="1"/>
      <c r="AO105" s="1"/>
    </row>
    <row r="106" spans="1:41" x14ac:dyDescent="0.25">
      <c r="A106" s="1" t="s">
        <v>150</v>
      </c>
      <c r="B106" s="1" t="s">
        <v>1037</v>
      </c>
      <c r="C106" s="4" t="s">
        <v>148</v>
      </c>
      <c r="H106" s="4" t="s">
        <v>149</v>
      </c>
      <c r="I106" s="19" t="s">
        <v>151</v>
      </c>
      <c r="J106" s="3"/>
      <c r="K106" s="1" t="s">
        <v>29</v>
      </c>
      <c r="L106" s="1" t="s">
        <v>55</v>
      </c>
      <c r="M106" s="1"/>
      <c r="N106" s="1"/>
      <c r="P106" s="1"/>
      <c r="Q106" s="2" t="s">
        <v>152</v>
      </c>
      <c r="R106" s="1" t="str">
        <f>A106</f>
        <v>HJA2500AB</v>
      </c>
      <c r="S106" s="1"/>
      <c r="T106" s="1">
        <v>0</v>
      </c>
      <c r="U106" s="28"/>
      <c r="V106" s="1"/>
      <c r="W106" s="1"/>
      <c r="X106" s="1"/>
      <c r="Y106" s="2"/>
      <c r="Z106" s="1"/>
      <c r="AA106" s="1" t="s">
        <v>153</v>
      </c>
      <c r="AB106" s="1" t="s">
        <v>67</v>
      </c>
      <c r="AC106" s="28">
        <f t="shared" si="8"/>
        <v>109480</v>
      </c>
      <c r="AD106" s="1"/>
      <c r="AE106" s="1">
        <f t="shared" si="9"/>
        <v>0</v>
      </c>
      <c r="AF106" s="1"/>
      <c r="AG106" s="1"/>
      <c r="AL106" s="1"/>
      <c r="AO106" s="1"/>
    </row>
    <row r="107" spans="1:41" ht="60" x14ac:dyDescent="0.25">
      <c r="A107" s="1" t="s">
        <v>408</v>
      </c>
      <c r="B107" s="1" t="s">
        <v>1037</v>
      </c>
      <c r="C107" s="4" t="s">
        <v>1566</v>
      </c>
      <c r="D107" s="28">
        <v>1</v>
      </c>
      <c r="E107" s="2" t="s">
        <v>410</v>
      </c>
      <c r="F107" s="1" t="s">
        <v>1554</v>
      </c>
      <c r="G107" s="1" t="s">
        <v>1567</v>
      </c>
      <c r="H107" s="4" t="s">
        <v>407</v>
      </c>
      <c r="I107" s="4" t="s">
        <v>409</v>
      </c>
      <c r="J107" s="3" t="s">
        <v>101</v>
      </c>
      <c r="K107" s="1" t="s">
        <v>29</v>
      </c>
      <c r="L107" s="1" t="s">
        <v>60</v>
      </c>
      <c r="M107" s="1"/>
      <c r="N107" s="1" t="s">
        <v>418</v>
      </c>
      <c r="O107" s="1" t="s">
        <v>1536</v>
      </c>
      <c r="P107" s="1" t="s">
        <v>1568</v>
      </c>
      <c r="Q107" s="4" t="s">
        <v>406</v>
      </c>
      <c r="R107" s="2" t="s">
        <v>411</v>
      </c>
      <c r="S107" s="1">
        <v>145</v>
      </c>
      <c r="T107" s="28">
        <v>0</v>
      </c>
      <c r="U107" s="28"/>
      <c r="V107" s="1"/>
      <c r="W107" s="1"/>
      <c r="X107" s="1" t="s">
        <v>47</v>
      </c>
      <c r="Y107" s="2" t="s">
        <v>1565</v>
      </c>
      <c r="Z107" s="35" t="s">
        <v>1569</v>
      </c>
      <c r="AA107" s="2" t="s">
        <v>1570</v>
      </c>
      <c r="AB107" s="29" t="s">
        <v>1241</v>
      </c>
      <c r="AC107" s="28">
        <f t="shared" si="8"/>
        <v>109480</v>
      </c>
      <c r="AD107" s="1" t="s">
        <v>41</v>
      </c>
      <c r="AE107" s="1">
        <f t="shared" si="9"/>
        <v>145</v>
      </c>
      <c r="AF107" s="1"/>
      <c r="AG107" s="1"/>
      <c r="AL107" s="1"/>
      <c r="AO107" s="1"/>
    </row>
    <row r="108" spans="1:41" x14ac:dyDescent="0.25">
      <c r="A108" s="1" t="s">
        <v>108</v>
      </c>
      <c r="B108" s="1" t="s">
        <v>1037</v>
      </c>
      <c r="C108" s="16" t="s">
        <v>107</v>
      </c>
      <c r="E108" s="1" t="s">
        <v>102</v>
      </c>
      <c r="H108" s="4" t="s">
        <v>98</v>
      </c>
      <c r="I108" s="16" t="s">
        <v>100</v>
      </c>
      <c r="J108" s="14" t="s">
        <v>101</v>
      </c>
      <c r="K108" s="1"/>
      <c r="L108" s="1" t="s">
        <v>60</v>
      </c>
      <c r="M108" s="1" t="s">
        <v>109</v>
      </c>
      <c r="N108" s="1"/>
      <c r="P108" s="1"/>
      <c r="S108" s="1"/>
      <c r="T108" s="1">
        <v>0</v>
      </c>
      <c r="U108" s="28"/>
      <c r="V108" s="1"/>
      <c r="W108" s="1"/>
      <c r="X108" s="1"/>
      <c r="Y108" s="2"/>
      <c r="Z108" s="1"/>
      <c r="AB108" s="1"/>
      <c r="AC108" s="28">
        <f t="shared" si="8"/>
        <v>109480</v>
      </c>
      <c r="AD108" s="1"/>
      <c r="AE108" s="1">
        <f t="shared" si="9"/>
        <v>0</v>
      </c>
      <c r="AF108" s="1"/>
      <c r="AG108" s="1"/>
      <c r="AL108" s="1"/>
      <c r="AO108" s="1"/>
    </row>
    <row r="109" spans="1:41" x14ac:dyDescent="0.25">
      <c r="A109" s="1" t="s">
        <v>821</v>
      </c>
      <c r="B109" s="1" t="s">
        <v>1037</v>
      </c>
      <c r="C109" s="4" t="s">
        <v>820</v>
      </c>
      <c r="E109" s="2" t="s">
        <v>822</v>
      </c>
      <c r="H109" s="4" t="s">
        <v>342</v>
      </c>
      <c r="I109" s="4" t="s">
        <v>344</v>
      </c>
      <c r="J109" s="4" t="s">
        <v>101</v>
      </c>
      <c r="K109" s="1" t="s">
        <v>29</v>
      </c>
      <c r="L109" s="1" t="s">
        <v>30</v>
      </c>
      <c r="M109" s="1"/>
      <c r="N109" s="1"/>
      <c r="O109" s="2"/>
      <c r="P109" s="1"/>
      <c r="Q109" s="2" t="s">
        <v>823</v>
      </c>
      <c r="R109" s="1" t="str">
        <f t="shared" ref="R109:R114" si="10">A109</f>
        <v>HJA4582AD</v>
      </c>
      <c r="S109" s="1"/>
      <c r="T109" s="1">
        <v>0</v>
      </c>
      <c r="U109" s="28" t="s">
        <v>824</v>
      </c>
      <c r="V109" s="1"/>
      <c r="W109" s="1"/>
      <c r="X109" s="1"/>
      <c r="Y109" s="2"/>
      <c r="Z109" s="1"/>
      <c r="AB109" s="1" t="s">
        <v>307</v>
      </c>
      <c r="AC109" s="28">
        <f t="shared" si="8"/>
        <v>109480</v>
      </c>
      <c r="AD109" s="1"/>
      <c r="AE109" s="1">
        <f t="shared" si="9"/>
        <v>0</v>
      </c>
      <c r="AF109" s="1"/>
      <c r="AG109" s="1"/>
      <c r="AL109" s="1"/>
      <c r="AO109" s="1"/>
    </row>
    <row r="110" spans="1:41" x14ac:dyDescent="0.25">
      <c r="A110" s="1" t="s">
        <v>825</v>
      </c>
      <c r="B110" s="1" t="s">
        <v>1037</v>
      </c>
      <c r="C110" s="4" t="s">
        <v>820</v>
      </c>
      <c r="E110" s="2" t="s">
        <v>822</v>
      </c>
      <c r="H110" s="4" t="s">
        <v>342</v>
      </c>
      <c r="I110" s="4" t="s">
        <v>344</v>
      </c>
      <c r="J110" s="4" t="s">
        <v>101</v>
      </c>
      <c r="K110" s="1" t="s">
        <v>29</v>
      </c>
      <c r="L110" s="1" t="s">
        <v>60</v>
      </c>
      <c r="M110" s="1"/>
      <c r="N110" s="1"/>
      <c r="O110" s="2"/>
      <c r="P110" s="1"/>
      <c r="Q110" s="2" t="s">
        <v>823</v>
      </c>
      <c r="R110" s="1" t="str">
        <f t="shared" si="10"/>
        <v>HJA4583AD</v>
      </c>
      <c r="S110" s="1"/>
      <c r="T110" s="1">
        <v>0</v>
      </c>
      <c r="U110" s="28" t="s">
        <v>826</v>
      </c>
      <c r="V110" s="1"/>
      <c r="W110" s="1"/>
      <c r="X110" s="1"/>
      <c r="Y110" s="2"/>
      <c r="Z110" s="1"/>
      <c r="AB110" s="1" t="s">
        <v>307</v>
      </c>
      <c r="AC110" s="28">
        <f t="shared" si="8"/>
        <v>109480</v>
      </c>
      <c r="AD110" s="1"/>
      <c r="AE110" s="1">
        <f t="shared" si="9"/>
        <v>0</v>
      </c>
      <c r="AF110" s="1"/>
      <c r="AG110" s="1"/>
      <c r="AL110" s="1"/>
      <c r="AO110" s="1"/>
    </row>
    <row r="111" spans="1:41" x14ac:dyDescent="0.25">
      <c r="A111" s="1" t="s">
        <v>171</v>
      </c>
      <c r="B111" s="1" t="s">
        <v>1037</v>
      </c>
      <c r="C111" s="4" t="s">
        <v>170</v>
      </c>
      <c r="E111" s="2"/>
      <c r="G111" s="10" t="s">
        <v>72</v>
      </c>
      <c r="H111" s="4" t="s">
        <v>163</v>
      </c>
      <c r="I111" s="4" t="s">
        <v>165</v>
      </c>
      <c r="J111" s="3" t="s">
        <v>28</v>
      </c>
      <c r="K111" s="1" t="s">
        <v>59</v>
      </c>
      <c r="L111" s="1" t="s">
        <v>166</v>
      </c>
      <c r="M111" s="1" t="s">
        <v>167</v>
      </c>
      <c r="N111" s="1" t="s">
        <v>172</v>
      </c>
      <c r="P111" s="10"/>
      <c r="Q111" s="19"/>
      <c r="R111" s="1" t="str">
        <f t="shared" si="10"/>
        <v xml:space="preserve">HJA5244AD  </v>
      </c>
      <c r="S111" s="1"/>
      <c r="T111" s="1">
        <v>0</v>
      </c>
      <c r="U111" s="28"/>
      <c r="V111" s="1"/>
      <c r="W111" s="1"/>
      <c r="X111" s="1"/>
      <c r="Y111" s="2"/>
      <c r="Z111" s="1"/>
      <c r="AB111" s="1"/>
      <c r="AC111" s="28">
        <f t="shared" si="8"/>
        <v>109480</v>
      </c>
      <c r="AD111" s="1"/>
      <c r="AE111" s="1">
        <f t="shared" si="9"/>
        <v>0</v>
      </c>
      <c r="AF111" s="1"/>
      <c r="AG111" s="1"/>
      <c r="AL111" s="1"/>
      <c r="AO111" s="1"/>
    </row>
    <row r="112" spans="1:41" ht="45" x14ac:dyDescent="0.25">
      <c r="A112" s="1" t="s">
        <v>164</v>
      </c>
      <c r="B112" s="1" t="s">
        <v>1037</v>
      </c>
      <c r="C112" s="4" t="s">
        <v>162</v>
      </c>
      <c r="E112" s="2" t="s">
        <v>168</v>
      </c>
      <c r="F112" s="10" t="s">
        <v>169</v>
      </c>
      <c r="G112" s="10" t="s">
        <v>72</v>
      </c>
      <c r="H112" s="4" t="s">
        <v>163</v>
      </c>
      <c r="I112" s="4" t="s">
        <v>165</v>
      </c>
      <c r="J112" s="3" t="s">
        <v>28</v>
      </c>
      <c r="K112" s="1" t="s">
        <v>59</v>
      </c>
      <c r="L112" s="1" t="s">
        <v>166</v>
      </c>
      <c r="M112" s="1" t="s">
        <v>167</v>
      </c>
      <c r="N112" s="1" t="s">
        <v>83</v>
      </c>
      <c r="P112" s="10"/>
      <c r="Q112" s="19"/>
      <c r="R112" s="1" t="str">
        <f t="shared" si="10"/>
        <v xml:space="preserve">HJA5245AA </v>
      </c>
      <c r="S112" s="1"/>
      <c r="T112" s="1">
        <v>0</v>
      </c>
      <c r="U112" s="28"/>
      <c r="V112" s="1"/>
      <c r="W112" s="1"/>
      <c r="X112" s="1"/>
      <c r="Y112" s="2"/>
      <c r="Z112" s="1"/>
      <c r="AB112" s="1"/>
      <c r="AC112" s="28">
        <f t="shared" si="8"/>
        <v>109480</v>
      </c>
      <c r="AD112" s="1"/>
      <c r="AE112" s="1">
        <f t="shared" si="9"/>
        <v>0</v>
      </c>
      <c r="AF112" s="1"/>
      <c r="AG112" s="1"/>
      <c r="AL112" s="1"/>
      <c r="AO112" s="1"/>
    </row>
    <row r="113" spans="1:41" ht="45" x14ac:dyDescent="0.25">
      <c r="A113" s="1" t="s">
        <v>181</v>
      </c>
      <c r="B113" s="1" t="s">
        <v>1037</v>
      </c>
      <c r="C113" s="4" t="s">
        <v>162</v>
      </c>
      <c r="D113" s="28">
        <v>1</v>
      </c>
      <c r="E113" s="2" t="s">
        <v>182</v>
      </c>
      <c r="F113" s="1" t="s">
        <v>130</v>
      </c>
      <c r="G113" s="10" t="s">
        <v>178</v>
      </c>
      <c r="H113" s="4" t="s">
        <v>163</v>
      </c>
      <c r="I113" s="4" t="s">
        <v>165</v>
      </c>
      <c r="J113" s="3" t="s">
        <v>28</v>
      </c>
      <c r="K113" s="1" t="s">
        <v>59</v>
      </c>
      <c r="L113" s="1" t="s">
        <v>30</v>
      </c>
      <c r="M113" s="1" t="s">
        <v>167</v>
      </c>
      <c r="N113" s="1" t="s">
        <v>83</v>
      </c>
      <c r="O113" s="1" t="s">
        <v>32</v>
      </c>
      <c r="P113" s="10"/>
      <c r="Q113" s="19"/>
      <c r="R113" s="2" t="str">
        <f t="shared" si="10"/>
        <v>HJA5246BC</v>
      </c>
      <c r="S113" s="1">
        <v>35</v>
      </c>
      <c r="T113" s="28">
        <v>0</v>
      </c>
      <c r="U113" s="28" t="s">
        <v>179</v>
      </c>
      <c r="V113" s="1"/>
      <c r="W113" s="1"/>
      <c r="X113" s="1"/>
      <c r="Y113" s="12" t="s">
        <v>183</v>
      </c>
      <c r="Z113" s="1"/>
      <c r="AB113" s="29" t="s">
        <v>1241</v>
      </c>
      <c r="AC113" s="28">
        <f t="shared" si="8"/>
        <v>109480</v>
      </c>
      <c r="AD113" s="1" t="s">
        <v>41</v>
      </c>
      <c r="AE113" s="1">
        <f t="shared" si="9"/>
        <v>35</v>
      </c>
      <c r="AF113" s="1"/>
      <c r="AG113" s="1"/>
      <c r="AL113" s="1"/>
      <c r="AO113" s="1"/>
    </row>
    <row r="114" spans="1:41" ht="45" x14ac:dyDescent="0.25">
      <c r="A114" s="1" t="s">
        <v>176</v>
      </c>
      <c r="B114" s="1" t="s">
        <v>1037</v>
      </c>
      <c r="C114" s="4" t="s">
        <v>162</v>
      </c>
      <c r="D114" s="28">
        <v>1</v>
      </c>
      <c r="E114" s="2" t="s">
        <v>177</v>
      </c>
      <c r="F114" s="1" t="s">
        <v>130</v>
      </c>
      <c r="G114" s="10" t="s">
        <v>178</v>
      </c>
      <c r="H114" s="4" t="s">
        <v>163</v>
      </c>
      <c r="I114" s="4" t="s">
        <v>165</v>
      </c>
      <c r="J114" s="3" t="s">
        <v>28</v>
      </c>
      <c r="K114" s="1" t="s">
        <v>59</v>
      </c>
      <c r="L114" s="1" t="s">
        <v>60</v>
      </c>
      <c r="M114" s="1" t="s">
        <v>167</v>
      </c>
      <c r="N114" s="1" t="s">
        <v>83</v>
      </c>
      <c r="O114" s="1" t="s">
        <v>32</v>
      </c>
      <c r="P114" s="10"/>
      <c r="Q114" s="19"/>
      <c r="R114" s="2" t="str">
        <f t="shared" si="10"/>
        <v>HJA5247BC</v>
      </c>
      <c r="S114" s="1">
        <v>35</v>
      </c>
      <c r="T114" s="28">
        <v>0</v>
      </c>
      <c r="U114" s="28" t="s">
        <v>179</v>
      </c>
      <c r="V114" s="1"/>
      <c r="W114" s="1"/>
      <c r="X114" s="1"/>
      <c r="Y114" s="12" t="s">
        <v>180</v>
      </c>
      <c r="Z114" s="1"/>
      <c r="AB114" s="29" t="s">
        <v>1241</v>
      </c>
      <c r="AC114" s="28">
        <f t="shared" si="8"/>
        <v>109480</v>
      </c>
      <c r="AD114" s="1" t="s">
        <v>41</v>
      </c>
      <c r="AE114" s="1">
        <f t="shared" si="9"/>
        <v>35</v>
      </c>
      <c r="AF114" s="1"/>
      <c r="AG114" s="1"/>
      <c r="AL114" s="1"/>
      <c r="AO114" s="1"/>
    </row>
    <row r="115" spans="1:41" x14ac:dyDescent="0.25">
      <c r="A115" s="1" t="s">
        <v>756</v>
      </c>
      <c r="B115" s="1" t="s">
        <v>1037</v>
      </c>
      <c r="C115" s="4" t="s">
        <v>755</v>
      </c>
      <c r="E115" s="2" t="s">
        <v>757</v>
      </c>
      <c r="H115" s="4" t="s">
        <v>342</v>
      </c>
      <c r="I115" s="4" t="s">
        <v>344</v>
      </c>
      <c r="J115" s="4" t="s">
        <v>76</v>
      </c>
      <c r="K115" s="1" t="s">
        <v>59</v>
      </c>
      <c r="L115" s="1" t="s">
        <v>30</v>
      </c>
      <c r="M115" s="1"/>
      <c r="N115" s="1"/>
      <c r="O115" s="2"/>
      <c r="P115" s="1"/>
      <c r="Q115" s="19"/>
      <c r="S115" s="1"/>
      <c r="T115" s="1">
        <v>0</v>
      </c>
      <c r="U115" s="28"/>
      <c r="V115" s="1"/>
      <c r="W115" s="1"/>
      <c r="X115" s="1"/>
      <c r="Y115" s="2"/>
      <c r="Z115" s="1"/>
      <c r="AB115" s="1"/>
      <c r="AC115" s="28">
        <f t="shared" si="8"/>
        <v>109480</v>
      </c>
      <c r="AD115" s="1"/>
      <c r="AE115" s="1">
        <f t="shared" si="9"/>
        <v>0</v>
      </c>
      <c r="AF115" s="1"/>
      <c r="AG115" s="1"/>
      <c r="AL115" s="1"/>
      <c r="AO115" s="1"/>
    </row>
    <row r="116" spans="1:41" x14ac:dyDescent="0.25">
      <c r="A116" s="1" t="s">
        <v>758</v>
      </c>
      <c r="B116" s="1" t="s">
        <v>1037</v>
      </c>
      <c r="C116" s="4" t="s">
        <v>755</v>
      </c>
      <c r="E116" s="2" t="s">
        <v>757</v>
      </c>
      <c r="H116" s="4" t="s">
        <v>342</v>
      </c>
      <c r="I116" s="4" t="s">
        <v>344</v>
      </c>
      <c r="J116" s="4" t="s">
        <v>76</v>
      </c>
      <c r="K116" s="1" t="s">
        <v>59</v>
      </c>
      <c r="L116" s="1" t="s">
        <v>60</v>
      </c>
      <c r="M116" s="1"/>
      <c r="N116" s="1"/>
      <c r="O116" s="2"/>
      <c r="P116" s="1"/>
      <c r="Q116" s="19"/>
      <c r="S116" s="1"/>
      <c r="T116" s="1">
        <v>0</v>
      </c>
      <c r="U116" s="28"/>
      <c r="V116" s="1"/>
      <c r="W116" s="1"/>
      <c r="X116" s="1"/>
      <c r="Y116" s="2"/>
      <c r="Z116" s="1"/>
      <c r="AB116" s="1"/>
      <c r="AC116" s="28">
        <f t="shared" si="8"/>
        <v>109480</v>
      </c>
      <c r="AD116" s="1"/>
      <c r="AE116" s="1">
        <f t="shared" si="9"/>
        <v>0</v>
      </c>
      <c r="AF116" s="1"/>
      <c r="AG116" s="1"/>
      <c r="AL116" s="1"/>
      <c r="AO116" s="1"/>
    </row>
    <row r="117" spans="1:41" ht="30" x14ac:dyDescent="0.25">
      <c r="A117" s="1" t="s">
        <v>415</v>
      </c>
      <c r="B117" s="1" t="s">
        <v>1037</v>
      </c>
      <c r="C117" s="4" t="s">
        <v>1482</v>
      </c>
      <c r="D117" s="28">
        <v>1</v>
      </c>
      <c r="E117" s="2" t="s">
        <v>1480</v>
      </c>
      <c r="H117" s="4" t="s">
        <v>163</v>
      </c>
      <c r="I117" s="4" t="s">
        <v>413</v>
      </c>
      <c r="J117" s="3" t="s">
        <v>76</v>
      </c>
      <c r="K117" s="1" t="s">
        <v>29</v>
      </c>
      <c r="L117" s="1" t="s">
        <v>60</v>
      </c>
      <c r="M117" s="1"/>
      <c r="N117" s="1"/>
      <c r="O117" s="1" t="s">
        <v>32</v>
      </c>
      <c r="P117" s="1"/>
      <c r="Q117" s="4" t="s">
        <v>1482</v>
      </c>
      <c r="R117" s="1" t="s">
        <v>1244</v>
      </c>
      <c r="S117" s="1">
        <v>80</v>
      </c>
      <c r="T117" s="28">
        <v>0</v>
      </c>
      <c r="U117" s="28"/>
      <c r="V117" s="1"/>
      <c r="W117" s="1"/>
      <c r="X117" s="1" t="s">
        <v>47</v>
      </c>
      <c r="Y117" s="2"/>
      <c r="Z117" s="1"/>
      <c r="AA117" s="1" t="s">
        <v>414</v>
      </c>
      <c r="AB117" s="29" t="s">
        <v>1241</v>
      </c>
      <c r="AC117" s="28">
        <f t="shared" si="8"/>
        <v>109480</v>
      </c>
      <c r="AD117" s="1" t="s">
        <v>41</v>
      </c>
      <c r="AE117" s="1">
        <f t="shared" si="9"/>
        <v>80</v>
      </c>
      <c r="AF117" s="1"/>
      <c r="AG117" s="1"/>
      <c r="AL117" s="1"/>
      <c r="AO117" s="1"/>
    </row>
    <row r="118" spans="1:41" ht="30" x14ac:dyDescent="0.25">
      <c r="A118" s="1" t="s">
        <v>412</v>
      </c>
      <c r="B118" s="1" t="s">
        <v>1037</v>
      </c>
      <c r="C118" s="4" t="s">
        <v>1481</v>
      </c>
      <c r="D118" s="28">
        <v>1</v>
      </c>
      <c r="E118" s="2" t="s">
        <v>1479</v>
      </c>
      <c r="H118" s="4" t="s">
        <v>163</v>
      </c>
      <c r="I118" s="4" t="s">
        <v>413</v>
      </c>
      <c r="J118" s="3" t="s">
        <v>76</v>
      </c>
      <c r="K118" s="1" t="s">
        <v>29</v>
      </c>
      <c r="L118" s="1" t="s">
        <v>30</v>
      </c>
      <c r="M118" s="1"/>
      <c r="N118" s="1"/>
      <c r="O118" s="1" t="s">
        <v>32</v>
      </c>
      <c r="P118" s="1"/>
      <c r="Q118" s="4" t="s">
        <v>1481</v>
      </c>
      <c r="R118" s="1" t="s">
        <v>1243</v>
      </c>
      <c r="S118" s="1">
        <v>80</v>
      </c>
      <c r="T118" s="28">
        <v>0</v>
      </c>
      <c r="U118" s="28"/>
      <c r="V118" s="1"/>
      <c r="W118" s="1"/>
      <c r="X118" s="1" t="s">
        <v>47</v>
      </c>
      <c r="Y118" s="2"/>
      <c r="Z118" s="1"/>
      <c r="AA118" s="1" t="s">
        <v>414</v>
      </c>
      <c r="AB118" s="29" t="s">
        <v>1241</v>
      </c>
      <c r="AC118" s="28">
        <f t="shared" si="8"/>
        <v>109480</v>
      </c>
      <c r="AD118" s="1" t="s">
        <v>41</v>
      </c>
      <c r="AE118" s="1">
        <f t="shared" si="9"/>
        <v>80</v>
      </c>
      <c r="AF118" s="1"/>
      <c r="AG118" s="1"/>
      <c r="AL118" s="1"/>
      <c r="AO118" s="1"/>
    </row>
    <row r="119" spans="1:41" ht="60" x14ac:dyDescent="0.25">
      <c r="A119" s="1" t="s">
        <v>931</v>
      </c>
      <c r="B119" s="1" t="s">
        <v>1037</v>
      </c>
      <c r="C119" s="4" t="s">
        <v>929</v>
      </c>
      <c r="D119" s="28">
        <v>1</v>
      </c>
      <c r="E119" s="2" t="s">
        <v>932</v>
      </c>
      <c r="H119" s="4" t="s">
        <v>930</v>
      </c>
      <c r="I119" s="4" t="s">
        <v>592</v>
      </c>
      <c r="J119" s="3" t="s">
        <v>76</v>
      </c>
      <c r="K119" s="1" t="s">
        <v>59</v>
      </c>
      <c r="L119" s="1" t="s">
        <v>60</v>
      </c>
      <c r="M119" s="1"/>
      <c r="N119" s="1"/>
      <c r="O119" s="1" t="s">
        <v>32</v>
      </c>
      <c r="P119" s="1"/>
      <c r="Q119" s="19" t="s">
        <v>929</v>
      </c>
      <c r="R119" s="1" t="s">
        <v>931</v>
      </c>
      <c r="S119" s="1"/>
      <c r="T119" s="28">
        <v>0</v>
      </c>
      <c r="U119" s="28"/>
      <c r="V119" s="1"/>
      <c r="W119" s="1"/>
      <c r="X119" s="1"/>
      <c r="Y119" s="2"/>
      <c r="Z119" s="1"/>
      <c r="AB119" s="29" t="s">
        <v>1241</v>
      </c>
      <c r="AC119" s="28">
        <f t="shared" si="8"/>
        <v>109480</v>
      </c>
      <c r="AD119" s="1" t="s">
        <v>41</v>
      </c>
      <c r="AE119" s="1">
        <f t="shared" si="9"/>
        <v>0</v>
      </c>
      <c r="AF119" s="1"/>
      <c r="AG119" s="1"/>
      <c r="AL119" s="1"/>
      <c r="AO119" s="1"/>
    </row>
    <row r="120" spans="1:41" ht="60" x14ac:dyDescent="0.25">
      <c r="A120" s="1" t="s">
        <v>933</v>
      </c>
      <c r="B120" s="1" t="s">
        <v>1037</v>
      </c>
      <c r="C120" s="4" t="s">
        <v>929</v>
      </c>
      <c r="D120" s="28">
        <v>1</v>
      </c>
      <c r="E120" s="2" t="s">
        <v>934</v>
      </c>
      <c r="H120" s="4" t="s">
        <v>930</v>
      </c>
      <c r="I120" s="4" t="s">
        <v>592</v>
      </c>
      <c r="J120" s="3" t="s">
        <v>76</v>
      </c>
      <c r="K120" s="1" t="s">
        <v>59</v>
      </c>
      <c r="L120" s="1" t="s">
        <v>30</v>
      </c>
      <c r="M120" s="1"/>
      <c r="N120" s="1"/>
      <c r="O120" s="1" t="s">
        <v>32</v>
      </c>
      <c r="P120" s="1"/>
      <c r="Q120" s="19" t="s">
        <v>929</v>
      </c>
      <c r="R120" s="1" t="s">
        <v>933</v>
      </c>
      <c r="S120" s="1"/>
      <c r="T120" s="28">
        <v>0</v>
      </c>
      <c r="U120" s="28"/>
      <c r="V120" s="1"/>
      <c r="W120" s="1"/>
      <c r="X120" s="1"/>
      <c r="Y120" s="2"/>
      <c r="Z120" s="1"/>
      <c r="AB120" s="29" t="s">
        <v>1241</v>
      </c>
      <c r="AC120" s="28">
        <f t="shared" si="8"/>
        <v>109480</v>
      </c>
      <c r="AD120" s="1" t="s">
        <v>41</v>
      </c>
      <c r="AE120" s="1">
        <f t="shared" si="9"/>
        <v>0</v>
      </c>
      <c r="AF120" s="1"/>
      <c r="AG120" s="1"/>
      <c r="AL120" s="1"/>
      <c r="AO120" s="1"/>
    </row>
    <row r="121" spans="1:41" ht="45" x14ac:dyDescent="0.25">
      <c r="A121" s="1" t="s">
        <v>882</v>
      </c>
      <c r="B121" s="1" t="s">
        <v>1037</v>
      </c>
      <c r="C121" s="4" t="s">
        <v>880</v>
      </c>
      <c r="D121" s="28">
        <v>1</v>
      </c>
      <c r="E121" s="2" t="s">
        <v>884</v>
      </c>
      <c r="H121" s="4" t="s">
        <v>881</v>
      </c>
      <c r="I121" s="4" t="s">
        <v>883</v>
      </c>
      <c r="J121" s="3" t="s">
        <v>76</v>
      </c>
      <c r="K121" s="1" t="s">
        <v>59</v>
      </c>
      <c r="L121" s="1" t="s">
        <v>60</v>
      </c>
      <c r="M121" s="1"/>
      <c r="N121" s="1"/>
      <c r="P121" s="1"/>
      <c r="Q121" s="19" t="s">
        <v>880</v>
      </c>
      <c r="R121" s="1" t="s">
        <v>882</v>
      </c>
      <c r="S121" s="1"/>
      <c r="T121" s="28">
        <v>0</v>
      </c>
      <c r="U121" s="28"/>
      <c r="V121" s="1"/>
      <c r="W121" s="1"/>
      <c r="X121" s="1"/>
      <c r="Y121" s="2"/>
      <c r="Z121" s="1"/>
      <c r="AA121" s="1" t="s">
        <v>282</v>
      </c>
      <c r="AB121" s="29" t="s">
        <v>1241</v>
      </c>
      <c r="AC121" s="28">
        <f t="shared" si="8"/>
        <v>109480</v>
      </c>
      <c r="AD121" s="1" t="s">
        <v>41</v>
      </c>
      <c r="AE121" s="1">
        <f t="shared" si="9"/>
        <v>0</v>
      </c>
      <c r="AF121" s="1"/>
      <c r="AG121" s="1"/>
      <c r="AL121" s="1"/>
      <c r="AO121" s="1"/>
    </row>
    <row r="122" spans="1:41" ht="16.5" x14ac:dyDescent="0.25">
      <c r="A122" s="1" t="s">
        <v>128</v>
      </c>
      <c r="B122" s="1" t="s">
        <v>1037</v>
      </c>
      <c r="C122" s="4" t="s">
        <v>124</v>
      </c>
      <c r="D122" s="28">
        <v>0</v>
      </c>
      <c r="E122" s="1" t="s">
        <v>126</v>
      </c>
      <c r="F122" s="1" t="s">
        <v>130</v>
      </c>
      <c r="H122" s="4" t="s">
        <v>114</v>
      </c>
      <c r="I122" s="4"/>
      <c r="J122" s="3" t="s">
        <v>101</v>
      </c>
      <c r="K122" s="1" t="s">
        <v>29</v>
      </c>
      <c r="L122" s="1" t="s">
        <v>83</v>
      </c>
      <c r="M122" s="1" t="s">
        <v>31</v>
      </c>
      <c r="N122" s="1" t="s">
        <v>31</v>
      </c>
      <c r="O122" s="1" t="s">
        <v>129</v>
      </c>
      <c r="P122" s="1"/>
      <c r="Q122" s="2" t="s">
        <v>127</v>
      </c>
      <c r="R122" s="2" t="str">
        <f>A122</f>
        <v>HJA5903AA</v>
      </c>
      <c r="S122" s="17"/>
      <c r="T122" s="1">
        <v>0</v>
      </c>
      <c r="U122" s="37" t="s">
        <v>131</v>
      </c>
      <c r="V122" s="17"/>
      <c r="W122" s="17"/>
      <c r="X122" s="17"/>
      <c r="Y122" s="12" t="s">
        <v>132</v>
      </c>
      <c r="Z122" s="1"/>
      <c r="AB122" s="1" t="s">
        <v>67</v>
      </c>
      <c r="AC122" s="28">
        <f t="shared" si="8"/>
        <v>109480</v>
      </c>
      <c r="AD122" s="1" t="s">
        <v>133</v>
      </c>
      <c r="AE122" s="1">
        <f t="shared" si="9"/>
        <v>0</v>
      </c>
      <c r="AF122" s="1"/>
      <c r="AG122" s="1"/>
      <c r="AL122" s="1"/>
      <c r="AO122" s="1"/>
    </row>
    <row r="123" spans="1:41" x14ac:dyDescent="0.25">
      <c r="A123" s="1" t="s">
        <v>128</v>
      </c>
      <c r="B123" s="1" t="s">
        <v>1037</v>
      </c>
      <c r="C123" s="4" t="s">
        <v>136</v>
      </c>
      <c r="D123" s="28">
        <v>0</v>
      </c>
      <c r="E123" s="1" t="s">
        <v>126</v>
      </c>
      <c r="F123" s="1" t="s">
        <v>130</v>
      </c>
      <c r="H123" s="4" t="s">
        <v>114</v>
      </c>
      <c r="I123" s="4"/>
      <c r="J123" s="3" t="s">
        <v>101</v>
      </c>
      <c r="K123" s="1" t="s">
        <v>29</v>
      </c>
      <c r="L123" s="1" t="s">
        <v>83</v>
      </c>
      <c r="M123" s="1" t="s">
        <v>31</v>
      </c>
      <c r="N123" s="1" t="s">
        <v>31</v>
      </c>
      <c r="O123" s="1" t="s">
        <v>137</v>
      </c>
      <c r="P123" s="1"/>
      <c r="Q123" s="2" t="s">
        <v>127</v>
      </c>
      <c r="R123" s="2" t="str">
        <f>A123</f>
        <v>HJA5903AA</v>
      </c>
      <c r="S123" s="1"/>
      <c r="T123" s="1">
        <v>0</v>
      </c>
      <c r="U123" s="28" t="s">
        <v>138</v>
      </c>
      <c r="V123" s="1"/>
      <c r="W123" s="1"/>
      <c r="X123" s="1"/>
      <c r="Y123" s="12" t="s">
        <v>132</v>
      </c>
      <c r="Z123" s="1"/>
      <c r="AB123" s="1" t="s">
        <v>67</v>
      </c>
      <c r="AC123" s="28">
        <f t="shared" si="8"/>
        <v>109480</v>
      </c>
      <c r="AD123" s="1"/>
      <c r="AE123" s="1">
        <f t="shared" si="9"/>
        <v>0</v>
      </c>
      <c r="AF123" s="1"/>
      <c r="AG123" s="1"/>
      <c r="AL123" s="1"/>
      <c r="AO123" s="1"/>
    </row>
    <row r="124" spans="1:41" x14ac:dyDescent="0.25">
      <c r="A124" s="1" t="s">
        <v>119</v>
      </c>
      <c r="B124" s="1" t="s">
        <v>1037</v>
      </c>
      <c r="C124" s="4" t="s">
        <v>118</v>
      </c>
      <c r="D124" s="28">
        <v>0</v>
      </c>
      <c r="E124" s="1" t="s">
        <v>120</v>
      </c>
      <c r="F124" s="1" t="s">
        <v>121</v>
      </c>
      <c r="G124" s="1">
        <v>24686</v>
      </c>
      <c r="H124" s="4" t="s">
        <v>114</v>
      </c>
      <c r="I124" s="4"/>
      <c r="J124" s="3"/>
      <c r="K124" s="1" t="s">
        <v>59</v>
      </c>
      <c r="L124" s="1" t="s">
        <v>60</v>
      </c>
      <c r="M124" s="1"/>
      <c r="N124" s="1"/>
      <c r="P124" s="1"/>
      <c r="Q124" s="19"/>
      <c r="S124" s="1"/>
      <c r="T124" s="1">
        <v>0</v>
      </c>
      <c r="U124" s="28"/>
      <c r="V124" s="1"/>
      <c r="W124" s="1"/>
      <c r="X124" s="1"/>
      <c r="Y124" s="2"/>
      <c r="Z124" s="1"/>
      <c r="AB124" s="1"/>
      <c r="AC124" s="28">
        <f t="shared" si="8"/>
        <v>109480</v>
      </c>
      <c r="AD124" s="1"/>
      <c r="AE124" s="1">
        <f t="shared" si="9"/>
        <v>0</v>
      </c>
      <c r="AF124" s="1"/>
      <c r="AG124" s="1"/>
      <c r="AL124" s="1"/>
      <c r="AO124" s="1"/>
    </row>
    <row r="125" spans="1:41" x14ac:dyDescent="0.25">
      <c r="A125" s="1" t="s">
        <v>173</v>
      </c>
      <c r="B125" s="1" t="s">
        <v>1037</v>
      </c>
      <c r="C125" s="4" t="s">
        <v>113</v>
      </c>
      <c r="D125" s="28">
        <v>1</v>
      </c>
      <c r="E125" s="1" t="s">
        <v>116</v>
      </c>
      <c r="F125" s="1" t="s">
        <v>121</v>
      </c>
      <c r="G125" s="1">
        <v>24686</v>
      </c>
      <c r="H125" s="4" t="s">
        <v>114</v>
      </c>
      <c r="I125" s="4"/>
      <c r="J125" s="3"/>
      <c r="K125" s="1" t="s">
        <v>59</v>
      </c>
      <c r="L125" s="1" t="s">
        <v>30</v>
      </c>
      <c r="M125" s="1"/>
      <c r="N125" s="1"/>
      <c r="P125" s="1"/>
      <c r="Q125" s="19"/>
      <c r="S125" s="1">
        <v>25</v>
      </c>
      <c r="T125" s="28">
        <v>0</v>
      </c>
      <c r="U125" s="28">
        <v>25</v>
      </c>
      <c r="V125" s="1"/>
      <c r="W125" s="1"/>
      <c r="X125" s="1" t="s">
        <v>47</v>
      </c>
      <c r="Y125" s="2"/>
      <c r="Z125" s="1"/>
      <c r="AA125" s="1" t="s">
        <v>174</v>
      </c>
      <c r="AB125" s="1" t="s">
        <v>1187</v>
      </c>
      <c r="AC125" s="28">
        <f t="shared" si="8"/>
        <v>109480</v>
      </c>
      <c r="AD125" s="1" t="s">
        <v>175</v>
      </c>
      <c r="AE125" s="1">
        <f t="shared" si="9"/>
        <v>25</v>
      </c>
      <c r="AF125" s="1"/>
      <c r="AG125" s="1"/>
      <c r="AL125" s="1"/>
      <c r="AO125" s="1"/>
    </row>
    <row r="126" spans="1:41" ht="30" x14ac:dyDescent="0.25">
      <c r="A126" s="1" t="s">
        <v>891</v>
      </c>
      <c r="B126" s="1" t="s">
        <v>1037</v>
      </c>
      <c r="C126" s="4" t="s">
        <v>890</v>
      </c>
      <c r="D126" s="28">
        <v>1</v>
      </c>
      <c r="E126" s="2" t="s">
        <v>892</v>
      </c>
      <c r="H126" s="4" t="s">
        <v>461</v>
      </c>
      <c r="I126" s="4" t="s">
        <v>141</v>
      </c>
      <c r="J126" s="3" t="s">
        <v>101</v>
      </c>
      <c r="K126" s="1" t="s">
        <v>29</v>
      </c>
      <c r="L126" s="1" t="s">
        <v>83</v>
      </c>
      <c r="M126" s="1" t="s">
        <v>84</v>
      </c>
      <c r="N126" s="1"/>
      <c r="O126" s="1" t="s">
        <v>61</v>
      </c>
      <c r="P126" s="1"/>
      <c r="Q126" s="2" t="s">
        <v>890</v>
      </c>
      <c r="R126" s="2" t="str">
        <f>A126</f>
        <v>HJA6451BC</v>
      </c>
      <c r="S126" s="1"/>
      <c r="T126" s="28">
        <v>0</v>
      </c>
      <c r="U126" s="28"/>
      <c r="V126" s="1"/>
      <c r="W126" s="1"/>
      <c r="X126" s="1"/>
      <c r="Y126" s="2"/>
      <c r="Z126" s="1"/>
      <c r="AB126" s="29" t="s">
        <v>1241</v>
      </c>
      <c r="AC126" s="28">
        <f t="shared" si="8"/>
        <v>109480</v>
      </c>
      <c r="AD126" s="1" t="s">
        <v>41</v>
      </c>
      <c r="AE126" s="1">
        <f t="shared" si="9"/>
        <v>0</v>
      </c>
      <c r="AF126" s="1"/>
      <c r="AG126" s="1"/>
      <c r="AL126" s="1"/>
      <c r="AO126" s="1"/>
    </row>
    <row r="127" spans="1:41" ht="30" x14ac:dyDescent="0.25">
      <c r="A127" s="1" t="s">
        <v>767</v>
      </c>
      <c r="B127" s="1" t="s">
        <v>1037</v>
      </c>
      <c r="C127" s="4" t="s">
        <v>765</v>
      </c>
      <c r="D127" s="28">
        <v>1</v>
      </c>
      <c r="E127" s="2" t="s">
        <v>593</v>
      </c>
      <c r="H127" s="4" t="s">
        <v>332</v>
      </c>
      <c r="I127" s="4" t="s">
        <v>590</v>
      </c>
      <c r="J127" s="3" t="s">
        <v>76</v>
      </c>
      <c r="K127" s="1" t="s">
        <v>83</v>
      </c>
      <c r="L127" s="1" t="s">
        <v>60</v>
      </c>
      <c r="M127" s="1" t="s">
        <v>167</v>
      </c>
      <c r="N127" s="1"/>
      <c r="O127" s="1" t="s">
        <v>32</v>
      </c>
      <c r="P127" s="1"/>
      <c r="Q127" s="4" t="s">
        <v>590</v>
      </c>
      <c r="R127" s="1" t="s">
        <v>767</v>
      </c>
      <c r="S127" s="1">
        <v>95</v>
      </c>
      <c r="T127" s="28">
        <v>0</v>
      </c>
      <c r="U127" s="28"/>
      <c r="V127" s="1"/>
      <c r="W127" s="1"/>
      <c r="X127" s="1" t="s">
        <v>47</v>
      </c>
      <c r="Y127" s="2"/>
      <c r="Z127" s="1"/>
      <c r="AA127" s="1" t="s">
        <v>414</v>
      </c>
      <c r="AB127" s="29" t="s">
        <v>1241</v>
      </c>
      <c r="AC127" s="28">
        <f t="shared" si="8"/>
        <v>109480</v>
      </c>
      <c r="AD127" s="1" t="s">
        <v>41</v>
      </c>
      <c r="AE127" s="1">
        <f t="shared" si="9"/>
        <v>95</v>
      </c>
      <c r="AF127" s="1"/>
      <c r="AG127" s="1"/>
      <c r="AL127" s="1"/>
      <c r="AO127" s="1"/>
    </row>
    <row r="128" spans="1:41" ht="30" x14ac:dyDescent="0.25">
      <c r="A128" s="1" t="s">
        <v>766</v>
      </c>
      <c r="B128" s="1" t="s">
        <v>1037</v>
      </c>
      <c r="C128" s="4" t="s">
        <v>765</v>
      </c>
      <c r="D128" s="28">
        <v>1</v>
      </c>
      <c r="E128" s="2" t="s">
        <v>593</v>
      </c>
      <c r="H128" s="4" t="s">
        <v>332</v>
      </c>
      <c r="I128" s="4" t="s">
        <v>590</v>
      </c>
      <c r="J128" s="3" t="s">
        <v>76</v>
      </c>
      <c r="K128" s="1" t="s">
        <v>83</v>
      </c>
      <c r="L128" s="1" t="s">
        <v>30</v>
      </c>
      <c r="M128" s="1" t="s">
        <v>167</v>
      </c>
      <c r="N128" s="1"/>
      <c r="O128" s="1" t="s">
        <v>32</v>
      </c>
      <c r="P128" s="1"/>
      <c r="Q128" s="4" t="s">
        <v>590</v>
      </c>
      <c r="R128" s="1" t="s">
        <v>766</v>
      </c>
      <c r="S128" s="1">
        <v>95</v>
      </c>
      <c r="T128" s="28">
        <v>0</v>
      </c>
      <c r="U128" s="28"/>
      <c r="V128" s="1"/>
      <c r="W128" s="1"/>
      <c r="X128" s="1" t="s">
        <v>47</v>
      </c>
      <c r="Y128" s="2"/>
      <c r="Z128" s="1"/>
      <c r="AA128" s="1" t="s">
        <v>414</v>
      </c>
      <c r="AB128" s="29" t="s">
        <v>1241</v>
      </c>
      <c r="AC128" s="28">
        <f t="shared" si="8"/>
        <v>109480</v>
      </c>
      <c r="AD128" s="1" t="s">
        <v>41</v>
      </c>
      <c r="AE128" s="1">
        <f t="shared" si="9"/>
        <v>95</v>
      </c>
      <c r="AF128" s="1"/>
      <c r="AG128" s="1"/>
      <c r="AL128" s="1"/>
      <c r="AO128" s="1"/>
    </row>
    <row r="129" spans="1:41" ht="30" x14ac:dyDescent="0.25">
      <c r="A129" s="1" t="s">
        <v>666</v>
      </c>
      <c r="B129" s="1" t="s">
        <v>1037</v>
      </c>
      <c r="C129" s="4" t="s">
        <v>658</v>
      </c>
      <c r="E129" s="2" t="s">
        <v>660</v>
      </c>
      <c r="F129" s="1">
        <v>0</v>
      </c>
      <c r="G129" s="1">
        <v>19228</v>
      </c>
      <c r="H129" s="4" t="s">
        <v>342</v>
      </c>
      <c r="I129" s="4" t="s">
        <v>344</v>
      </c>
      <c r="J129" s="4" t="s">
        <v>76</v>
      </c>
      <c r="K129" s="1" t="s">
        <v>29</v>
      </c>
      <c r="L129" s="1" t="s">
        <v>55</v>
      </c>
      <c r="M129" s="1" t="s">
        <v>167</v>
      </c>
      <c r="N129" s="1"/>
      <c r="O129" s="2" t="s">
        <v>667</v>
      </c>
      <c r="P129" s="1"/>
      <c r="S129" s="1"/>
      <c r="T129" s="1">
        <v>0</v>
      </c>
      <c r="U129" s="28"/>
      <c r="V129" s="1"/>
      <c r="W129" s="1"/>
      <c r="X129" s="1"/>
      <c r="Y129" s="2"/>
      <c r="Z129" s="1"/>
      <c r="AB129" s="1"/>
      <c r="AC129" s="28">
        <f t="shared" si="8"/>
        <v>109480</v>
      </c>
      <c r="AD129" s="1"/>
      <c r="AE129" s="1">
        <f t="shared" si="9"/>
        <v>0</v>
      </c>
      <c r="AF129" s="1"/>
      <c r="AG129" s="1"/>
      <c r="AL129" s="1"/>
      <c r="AO129" s="1"/>
    </row>
    <row r="130" spans="1:41" ht="30" x14ac:dyDescent="0.25">
      <c r="A130" s="1" t="s">
        <v>659</v>
      </c>
      <c r="B130" s="1" t="s">
        <v>1037</v>
      </c>
      <c r="C130" s="4" t="s">
        <v>658</v>
      </c>
      <c r="E130" s="2" t="s">
        <v>660</v>
      </c>
      <c r="F130" s="1">
        <v>0</v>
      </c>
      <c r="G130" s="1">
        <v>19228</v>
      </c>
      <c r="H130" s="4" t="s">
        <v>342</v>
      </c>
      <c r="I130" s="4" t="s">
        <v>344</v>
      </c>
      <c r="J130" s="4" t="s">
        <v>76</v>
      </c>
      <c r="K130" s="1" t="s">
        <v>29</v>
      </c>
      <c r="L130" s="1" t="s">
        <v>55</v>
      </c>
      <c r="M130" s="1" t="s">
        <v>167</v>
      </c>
      <c r="N130" s="1"/>
      <c r="O130" s="2" t="s">
        <v>619</v>
      </c>
      <c r="P130" s="1"/>
      <c r="S130" s="1"/>
      <c r="T130" s="1">
        <v>0</v>
      </c>
      <c r="U130" s="28"/>
      <c r="V130" s="1"/>
      <c r="W130" s="1"/>
      <c r="X130" s="1"/>
      <c r="Y130" s="2"/>
      <c r="Z130" s="1"/>
      <c r="AB130" s="1"/>
      <c r="AC130" s="28">
        <f t="shared" si="8"/>
        <v>109480</v>
      </c>
      <c r="AD130" s="1"/>
      <c r="AE130" s="1">
        <f t="shared" si="9"/>
        <v>0</v>
      </c>
      <c r="AF130" s="1"/>
      <c r="AG130" s="1"/>
      <c r="AL130" s="1"/>
      <c r="AO130" s="1"/>
    </row>
    <row r="131" spans="1:41" ht="30" x14ac:dyDescent="0.25">
      <c r="A131" s="1" t="s">
        <v>671</v>
      </c>
      <c r="B131" s="1" t="s">
        <v>1037</v>
      </c>
      <c r="C131" s="4" t="s">
        <v>658</v>
      </c>
      <c r="E131" s="2" t="s">
        <v>660</v>
      </c>
      <c r="F131" s="1">
        <v>0</v>
      </c>
      <c r="G131" s="1">
        <v>19228</v>
      </c>
      <c r="H131" s="4" t="s">
        <v>342</v>
      </c>
      <c r="I131" s="4" t="s">
        <v>344</v>
      </c>
      <c r="J131" s="4" t="s">
        <v>76</v>
      </c>
      <c r="K131" s="1" t="s">
        <v>29</v>
      </c>
      <c r="L131" s="1" t="s">
        <v>55</v>
      </c>
      <c r="M131" s="1" t="s">
        <v>167</v>
      </c>
      <c r="N131" s="1"/>
      <c r="O131" s="2" t="s">
        <v>672</v>
      </c>
      <c r="P131" s="1"/>
      <c r="S131" s="1"/>
      <c r="T131" s="1">
        <v>0</v>
      </c>
      <c r="U131" s="28"/>
      <c r="V131" s="1"/>
      <c r="W131" s="1"/>
      <c r="X131" s="1"/>
      <c r="Y131" s="2"/>
      <c r="Z131" s="1"/>
      <c r="AA131" s="1" t="s">
        <v>673</v>
      </c>
      <c r="AB131" s="1"/>
      <c r="AC131" s="28">
        <f t="shared" si="8"/>
        <v>109480</v>
      </c>
      <c r="AD131" s="1"/>
      <c r="AE131" s="1">
        <f t="shared" si="9"/>
        <v>0</v>
      </c>
      <c r="AF131" s="1"/>
      <c r="AG131" s="1"/>
      <c r="AL131" s="1"/>
      <c r="AO131" s="1"/>
    </row>
    <row r="132" spans="1:41" ht="30" x14ac:dyDescent="0.25">
      <c r="A132" s="1" t="s">
        <v>675</v>
      </c>
      <c r="B132" s="1" t="s">
        <v>1037</v>
      </c>
      <c r="C132" s="4" t="s">
        <v>658</v>
      </c>
      <c r="E132" s="2" t="s">
        <v>660</v>
      </c>
      <c r="F132" s="1">
        <v>0</v>
      </c>
      <c r="G132" s="1">
        <v>19228</v>
      </c>
      <c r="H132" s="4" t="s">
        <v>342</v>
      </c>
      <c r="I132" s="4" t="s">
        <v>344</v>
      </c>
      <c r="J132" s="4" t="s">
        <v>76</v>
      </c>
      <c r="K132" s="1" t="s">
        <v>29</v>
      </c>
      <c r="L132" s="1" t="s">
        <v>55</v>
      </c>
      <c r="M132" s="1" t="s">
        <v>167</v>
      </c>
      <c r="N132" s="1"/>
      <c r="O132" s="2" t="s">
        <v>676</v>
      </c>
      <c r="P132" s="1"/>
      <c r="S132" s="1"/>
      <c r="T132" s="1">
        <v>0</v>
      </c>
      <c r="U132" s="28"/>
      <c r="V132" s="1"/>
      <c r="W132" s="1"/>
      <c r="X132" s="1"/>
      <c r="Y132" s="2"/>
      <c r="Z132" s="1"/>
      <c r="AB132" s="1"/>
      <c r="AC132" s="28">
        <f t="shared" si="8"/>
        <v>109480</v>
      </c>
      <c r="AD132" s="1"/>
      <c r="AE132" s="1">
        <f t="shared" si="9"/>
        <v>0</v>
      </c>
      <c r="AF132" s="1"/>
      <c r="AG132" s="1"/>
      <c r="AL132" s="1"/>
      <c r="AO132" s="1"/>
    </row>
    <row r="133" spans="1:41" ht="45" x14ac:dyDescent="0.25">
      <c r="A133" s="1" t="s">
        <v>794</v>
      </c>
      <c r="B133" s="1" t="s">
        <v>1037</v>
      </c>
      <c r="C133" s="4" t="s">
        <v>793</v>
      </c>
      <c r="D133" s="28">
        <v>1</v>
      </c>
      <c r="E133" s="2" t="s">
        <v>795</v>
      </c>
      <c r="G133" s="10" t="s">
        <v>39</v>
      </c>
      <c r="H133" s="4" t="s">
        <v>332</v>
      </c>
      <c r="I133" s="4" t="s">
        <v>592</v>
      </c>
      <c r="J133" s="3" t="s">
        <v>101</v>
      </c>
      <c r="K133" s="1" t="s">
        <v>83</v>
      </c>
      <c r="L133" s="1" t="s">
        <v>83</v>
      </c>
      <c r="M133" s="1" t="s">
        <v>167</v>
      </c>
      <c r="N133" s="1"/>
      <c r="O133" s="1" t="s">
        <v>279</v>
      </c>
      <c r="P133" s="10"/>
      <c r="Q133" s="2" t="s">
        <v>796</v>
      </c>
      <c r="R133" s="1" t="s">
        <v>794</v>
      </c>
      <c r="S133" s="1">
        <v>295</v>
      </c>
      <c r="T133" s="28">
        <v>0</v>
      </c>
      <c r="U133" s="28"/>
      <c r="V133" s="1"/>
      <c r="W133" s="1"/>
      <c r="X133" s="1" t="s">
        <v>78</v>
      </c>
      <c r="Y133" s="2"/>
      <c r="Z133" s="1"/>
      <c r="AA133" s="1" t="s">
        <v>414</v>
      </c>
      <c r="AB133" s="29" t="s">
        <v>1241</v>
      </c>
      <c r="AC133" s="28">
        <f t="shared" si="8"/>
        <v>109480</v>
      </c>
      <c r="AD133" s="1" t="s">
        <v>41</v>
      </c>
      <c r="AE133" s="1">
        <f t="shared" si="9"/>
        <v>295</v>
      </c>
      <c r="AF133" s="1"/>
      <c r="AG133" s="1"/>
      <c r="AL133" s="1"/>
      <c r="AO133" s="1"/>
    </row>
    <row r="134" spans="1:41" ht="30" x14ac:dyDescent="0.25">
      <c r="A134" s="1" t="s">
        <v>886</v>
      </c>
      <c r="B134" s="1" t="s">
        <v>1037</v>
      </c>
      <c r="C134" s="4" t="s">
        <v>885</v>
      </c>
      <c r="D134" s="28">
        <v>1</v>
      </c>
      <c r="E134" s="2" t="s">
        <v>593</v>
      </c>
      <c r="H134" s="4" t="s">
        <v>332</v>
      </c>
      <c r="I134" s="4" t="s">
        <v>592</v>
      </c>
      <c r="J134" s="3" t="s">
        <v>76</v>
      </c>
      <c r="K134" s="1" t="s">
        <v>83</v>
      </c>
      <c r="L134" s="1" t="s">
        <v>60</v>
      </c>
      <c r="M134" s="1" t="s">
        <v>167</v>
      </c>
      <c r="N134" s="1"/>
      <c r="O134" s="1" t="s">
        <v>32</v>
      </c>
      <c r="P134" s="1"/>
      <c r="Q134" s="4" t="s">
        <v>885</v>
      </c>
      <c r="R134" s="1" t="s">
        <v>886</v>
      </c>
      <c r="S134" s="1">
        <v>25</v>
      </c>
      <c r="T134" s="28">
        <v>0</v>
      </c>
      <c r="U134" s="28"/>
      <c r="V134" s="1"/>
      <c r="W134" s="1"/>
      <c r="X134" s="1" t="s">
        <v>47</v>
      </c>
      <c r="Y134" s="2"/>
      <c r="Z134" s="1"/>
      <c r="AA134" s="1" t="s">
        <v>414</v>
      </c>
      <c r="AB134" s="29" t="s">
        <v>1241</v>
      </c>
      <c r="AC134" s="28">
        <f t="shared" si="8"/>
        <v>109480</v>
      </c>
      <c r="AD134" s="1" t="s">
        <v>41</v>
      </c>
      <c r="AE134" s="1">
        <f t="shared" si="9"/>
        <v>25</v>
      </c>
      <c r="AF134" s="1"/>
      <c r="AG134" s="1"/>
      <c r="AL134" s="1"/>
      <c r="AO134" s="1"/>
    </row>
    <row r="135" spans="1:41" ht="30" x14ac:dyDescent="0.25">
      <c r="A135" s="1" t="s">
        <v>887</v>
      </c>
      <c r="B135" s="1" t="s">
        <v>1037</v>
      </c>
      <c r="C135" s="4" t="s">
        <v>885</v>
      </c>
      <c r="D135" s="28">
        <v>1</v>
      </c>
      <c r="E135" s="2" t="s">
        <v>593</v>
      </c>
      <c r="H135" s="4" t="s">
        <v>332</v>
      </c>
      <c r="I135" s="4" t="s">
        <v>592</v>
      </c>
      <c r="J135" s="3" t="s">
        <v>76</v>
      </c>
      <c r="K135" s="1" t="s">
        <v>83</v>
      </c>
      <c r="L135" s="1" t="s">
        <v>60</v>
      </c>
      <c r="M135" s="1" t="s">
        <v>167</v>
      </c>
      <c r="N135" s="1"/>
      <c r="O135" s="1" t="s">
        <v>32</v>
      </c>
      <c r="P135" s="1"/>
      <c r="Q135" s="4" t="s">
        <v>885</v>
      </c>
      <c r="R135" s="1" t="s">
        <v>887</v>
      </c>
      <c r="S135" s="1">
        <v>25</v>
      </c>
      <c r="T135" s="28">
        <v>0</v>
      </c>
      <c r="U135" s="28"/>
      <c r="V135" s="1"/>
      <c r="W135" s="1"/>
      <c r="X135" s="1" t="s">
        <v>47</v>
      </c>
      <c r="Y135" s="2"/>
      <c r="Z135" s="1"/>
      <c r="AA135" s="1" t="s">
        <v>414</v>
      </c>
      <c r="AB135" s="29" t="s">
        <v>1241</v>
      </c>
      <c r="AC135" s="28">
        <f t="shared" si="8"/>
        <v>109480</v>
      </c>
      <c r="AD135" s="1" t="s">
        <v>41</v>
      </c>
      <c r="AE135" s="1">
        <f t="shared" si="9"/>
        <v>25</v>
      </c>
      <c r="AF135" s="1"/>
      <c r="AG135" s="1"/>
      <c r="AL135" s="1"/>
      <c r="AO135" s="1"/>
    </row>
    <row r="136" spans="1:41" ht="30" x14ac:dyDescent="0.25">
      <c r="A136" s="1" t="s">
        <v>889</v>
      </c>
      <c r="B136" s="1" t="s">
        <v>1037</v>
      </c>
      <c r="C136" s="4" t="s">
        <v>885</v>
      </c>
      <c r="D136" s="28">
        <v>1</v>
      </c>
      <c r="E136" s="2" t="s">
        <v>593</v>
      </c>
      <c r="H136" s="4" t="s">
        <v>332</v>
      </c>
      <c r="I136" s="4" t="s">
        <v>592</v>
      </c>
      <c r="J136" s="3" t="s">
        <v>76</v>
      </c>
      <c r="K136" s="1" t="s">
        <v>83</v>
      </c>
      <c r="L136" s="1" t="s">
        <v>30</v>
      </c>
      <c r="M136" s="1" t="s">
        <v>167</v>
      </c>
      <c r="N136" s="1"/>
      <c r="O136" s="1" t="s">
        <v>32</v>
      </c>
      <c r="P136" s="1"/>
      <c r="Q136" s="4" t="s">
        <v>885</v>
      </c>
      <c r="R136" s="1" t="s">
        <v>889</v>
      </c>
      <c r="S136" s="1">
        <v>25</v>
      </c>
      <c r="T136" s="28">
        <v>0</v>
      </c>
      <c r="U136" s="28"/>
      <c r="V136" s="1"/>
      <c r="W136" s="1"/>
      <c r="X136" s="1" t="s">
        <v>47</v>
      </c>
      <c r="Y136" s="2"/>
      <c r="Z136" s="1"/>
      <c r="AA136" s="1" t="s">
        <v>414</v>
      </c>
      <c r="AB136" s="29" t="s">
        <v>1241</v>
      </c>
      <c r="AC136" s="28">
        <f t="shared" ref="AC136:AC167" si="11">68000*1.61</f>
        <v>109480</v>
      </c>
      <c r="AD136" s="1" t="s">
        <v>41</v>
      </c>
      <c r="AE136" s="1">
        <f t="shared" ref="AE136:AE167" si="12">S136*D136</f>
        <v>25</v>
      </c>
      <c r="AF136" s="1"/>
      <c r="AG136" s="1"/>
      <c r="AL136" s="1"/>
      <c r="AO136" s="1"/>
    </row>
    <row r="137" spans="1:41" ht="30" x14ac:dyDescent="0.25">
      <c r="A137" s="1" t="s">
        <v>888</v>
      </c>
      <c r="B137" s="1" t="s">
        <v>1037</v>
      </c>
      <c r="C137" s="4" t="s">
        <v>885</v>
      </c>
      <c r="D137" s="28">
        <v>1</v>
      </c>
      <c r="E137" s="2" t="s">
        <v>593</v>
      </c>
      <c r="H137" s="4" t="s">
        <v>332</v>
      </c>
      <c r="I137" s="4" t="s">
        <v>592</v>
      </c>
      <c r="J137" s="3" t="s">
        <v>76</v>
      </c>
      <c r="K137" s="1" t="s">
        <v>83</v>
      </c>
      <c r="L137" s="1" t="s">
        <v>60</v>
      </c>
      <c r="M137" s="1" t="s">
        <v>167</v>
      </c>
      <c r="N137" s="1"/>
      <c r="O137" s="1" t="s">
        <v>32</v>
      </c>
      <c r="P137" s="1"/>
      <c r="Q137" s="4" t="s">
        <v>885</v>
      </c>
      <c r="R137" s="1" t="s">
        <v>888</v>
      </c>
      <c r="S137" s="1">
        <v>25</v>
      </c>
      <c r="T137" s="28">
        <v>0</v>
      </c>
      <c r="U137" s="28"/>
      <c r="V137" s="1"/>
      <c r="W137" s="1"/>
      <c r="X137" s="1" t="s">
        <v>47</v>
      </c>
      <c r="Y137" s="2"/>
      <c r="Z137" s="1"/>
      <c r="AA137" s="1" t="s">
        <v>414</v>
      </c>
      <c r="AB137" s="29" t="s">
        <v>1241</v>
      </c>
      <c r="AC137" s="28">
        <f t="shared" si="11"/>
        <v>109480</v>
      </c>
      <c r="AD137" s="1" t="s">
        <v>41</v>
      </c>
      <c r="AE137" s="1">
        <f t="shared" si="12"/>
        <v>25</v>
      </c>
      <c r="AF137" s="1"/>
      <c r="AG137" s="1"/>
      <c r="AL137" s="1"/>
      <c r="AO137" s="1"/>
    </row>
    <row r="138" spans="1:41" ht="45" x14ac:dyDescent="0.25">
      <c r="A138" s="1" t="s">
        <v>1260</v>
      </c>
      <c r="B138" s="1" t="s">
        <v>1037</v>
      </c>
      <c r="C138" s="4" t="s">
        <v>1264</v>
      </c>
      <c r="D138" s="28">
        <v>1</v>
      </c>
      <c r="E138" s="2" t="s">
        <v>1472</v>
      </c>
      <c r="H138" s="4" t="s">
        <v>163</v>
      </c>
      <c r="I138" s="4" t="s">
        <v>413</v>
      </c>
      <c r="J138" s="3" t="s">
        <v>76</v>
      </c>
      <c r="K138" s="1" t="s">
        <v>29</v>
      </c>
      <c r="L138" s="1" t="s">
        <v>30</v>
      </c>
      <c r="M138" s="1" t="s">
        <v>167</v>
      </c>
      <c r="N138" s="1" t="s">
        <v>29</v>
      </c>
      <c r="O138" s="1" t="s">
        <v>32</v>
      </c>
      <c r="P138" s="1"/>
      <c r="Q138" s="2" t="s">
        <v>609</v>
      </c>
      <c r="R138" s="1" t="s">
        <v>1268</v>
      </c>
      <c r="S138" s="1">
        <v>195</v>
      </c>
      <c r="T138" s="28">
        <v>0</v>
      </c>
      <c r="U138" s="28"/>
      <c r="V138" s="1"/>
      <c r="W138" s="1"/>
      <c r="X138" s="1" t="s">
        <v>47</v>
      </c>
      <c r="Y138" s="29" t="s">
        <v>610</v>
      </c>
      <c r="Z138" s="1"/>
      <c r="AA138" s="1" t="s">
        <v>414</v>
      </c>
      <c r="AB138" s="29" t="s">
        <v>1241</v>
      </c>
      <c r="AC138" s="28">
        <f t="shared" si="11"/>
        <v>109480</v>
      </c>
      <c r="AD138" s="1" t="s">
        <v>41</v>
      </c>
      <c r="AE138" s="1">
        <f t="shared" si="12"/>
        <v>195</v>
      </c>
      <c r="AF138" s="1"/>
      <c r="AG138" s="1"/>
      <c r="AL138" s="1"/>
      <c r="AO138" s="1"/>
    </row>
    <row r="139" spans="1:41" ht="45" x14ac:dyDescent="0.25">
      <c r="A139" s="1" t="s">
        <v>611</v>
      </c>
      <c r="B139" s="1" t="s">
        <v>1037</v>
      </c>
      <c r="C139" s="4" t="s">
        <v>1263</v>
      </c>
      <c r="D139" s="28">
        <v>1</v>
      </c>
      <c r="E139" s="2" t="s">
        <v>1473</v>
      </c>
      <c r="F139" s="1" t="s">
        <v>110</v>
      </c>
      <c r="G139" s="10" t="s">
        <v>72</v>
      </c>
      <c r="H139" s="4" t="s">
        <v>163</v>
      </c>
      <c r="I139" s="4" t="s">
        <v>413</v>
      </c>
      <c r="J139" s="3" t="s">
        <v>76</v>
      </c>
      <c r="K139" s="1" t="s">
        <v>83</v>
      </c>
      <c r="L139" s="1" t="s">
        <v>60</v>
      </c>
      <c r="M139" s="1" t="s">
        <v>167</v>
      </c>
      <c r="N139" s="1" t="s">
        <v>83</v>
      </c>
      <c r="O139" s="1" t="s">
        <v>32</v>
      </c>
      <c r="P139" s="10"/>
      <c r="Q139" s="2" t="s">
        <v>609</v>
      </c>
      <c r="R139" s="1" t="s">
        <v>611</v>
      </c>
      <c r="S139" s="1">
        <v>75</v>
      </c>
      <c r="T139" s="28">
        <v>0</v>
      </c>
      <c r="U139" s="28"/>
      <c r="V139" s="1"/>
      <c r="W139" s="1"/>
      <c r="X139" s="1" t="s">
        <v>47</v>
      </c>
      <c r="Y139" s="29" t="s">
        <v>610</v>
      </c>
      <c r="Z139" s="1"/>
      <c r="AA139" s="1" t="s">
        <v>414</v>
      </c>
      <c r="AB139" s="1"/>
      <c r="AC139" s="28">
        <f t="shared" si="11"/>
        <v>109480</v>
      </c>
      <c r="AD139" s="1" t="s">
        <v>41</v>
      </c>
      <c r="AE139" s="1">
        <f t="shared" si="12"/>
        <v>75</v>
      </c>
      <c r="AF139" s="1"/>
      <c r="AG139" s="1"/>
      <c r="AL139" s="1"/>
      <c r="AO139" s="1"/>
    </row>
    <row r="140" spans="1:41" ht="45" x14ac:dyDescent="0.25">
      <c r="A140" s="1" t="s">
        <v>1245</v>
      </c>
      <c r="B140" s="1" t="s">
        <v>1037</v>
      </c>
      <c r="C140" s="4" t="s">
        <v>1265</v>
      </c>
      <c r="D140" s="28">
        <v>0</v>
      </c>
      <c r="E140" s="2" t="s">
        <v>1472</v>
      </c>
      <c r="H140" s="4" t="s">
        <v>163</v>
      </c>
      <c r="I140" s="4" t="s">
        <v>413</v>
      </c>
      <c r="J140" s="3" t="s">
        <v>76</v>
      </c>
      <c r="K140" s="1" t="s">
        <v>83</v>
      </c>
      <c r="L140" s="1" t="s">
        <v>30</v>
      </c>
      <c r="M140" s="1" t="s">
        <v>167</v>
      </c>
      <c r="N140" s="1"/>
      <c r="O140" s="1" t="s">
        <v>32</v>
      </c>
      <c r="P140" s="1"/>
      <c r="Q140" s="2" t="s">
        <v>609</v>
      </c>
      <c r="R140" s="1" t="s">
        <v>1269</v>
      </c>
      <c r="S140" s="1">
        <v>75</v>
      </c>
      <c r="T140" s="1">
        <v>0</v>
      </c>
      <c r="U140" s="28"/>
      <c r="V140" s="1"/>
      <c r="W140" s="1"/>
      <c r="X140" s="1" t="s">
        <v>47</v>
      </c>
      <c r="Y140" s="29" t="s">
        <v>610</v>
      </c>
      <c r="Z140" s="1"/>
      <c r="AA140" s="1" t="s">
        <v>414</v>
      </c>
      <c r="AB140" s="1"/>
      <c r="AC140" s="28">
        <f t="shared" si="11"/>
        <v>109480</v>
      </c>
      <c r="AD140" s="1" t="s">
        <v>41</v>
      </c>
      <c r="AE140" s="1">
        <f t="shared" si="12"/>
        <v>0</v>
      </c>
      <c r="AF140" s="1"/>
      <c r="AG140" s="1"/>
      <c r="AL140" s="1"/>
      <c r="AO140" s="1"/>
    </row>
    <row r="141" spans="1:41" ht="45" x14ac:dyDescent="0.25">
      <c r="A141" s="1" t="s">
        <v>728</v>
      </c>
      <c r="B141" s="1" t="s">
        <v>1037</v>
      </c>
      <c r="C141" s="4" t="s">
        <v>1262</v>
      </c>
      <c r="D141" s="28">
        <v>1</v>
      </c>
      <c r="E141" s="2" t="s">
        <v>1473</v>
      </c>
      <c r="H141" s="4" t="s">
        <v>163</v>
      </c>
      <c r="I141" s="4" t="s">
        <v>413</v>
      </c>
      <c r="J141" s="3" t="s">
        <v>76</v>
      </c>
      <c r="K141" s="1" t="s">
        <v>59</v>
      </c>
      <c r="L141" s="1" t="s">
        <v>60</v>
      </c>
      <c r="M141" s="1" t="s">
        <v>167</v>
      </c>
      <c r="N141" s="1" t="s">
        <v>59</v>
      </c>
      <c r="O141" s="1" t="s">
        <v>32</v>
      </c>
      <c r="P141" s="1"/>
      <c r="Q141" s="2" t="s">
        <v>609</v>
      </c>
      <c r="R141" s="1" t="s">
        <v>1267</v>
      </c>
      <c r="S141" s="1">
        <v>75</v>
      </c>
      <c r="T141" s="28">
        <v>0</v>
      </c>
      <c r="U141" s="28"/>
      <c r="V141" s="1"/>
      <c r="W141" s="1"/>
      <c r="X141" s="1" t="s">
        <v>47</v>
      </c>
      <c r="Y141" s="29" t="s">
        <v>610</v>
      </c>
      <c r="Z141" s="1"/>
      <c r="AA141" s="1" t="s">
        <v>414</v>
      </c>
      <c r="AB141" s="29" t="s">
        <v>1241</v>
      </c>
      <c r="AC141" s="28">
        <f t="shared" si="11"/>
        <v>109480</v>
      </c>
      <c r="AD141" s="1" t="s">
        <v>41</v>
      </c>
      <c r="AE141" s="1">
        <f t="shared" si="12"/>
        <v>75</v>
      </c>
      <c r="AF141" s="1"/>
      <c r="AG141" s="1"/>
      <c r="AL141" s="1"/>
      <c r="AO141" s="1"/>
    </row>
    <row r="142" spans="1:41" ht="45" x14ac:dyDescent="0.25">
      <c r="A142" s="1" t="s">
        <v>1261</v>
      </c>
      <c r="B142" s="1" t="s">
        <v>1037</v>
      </c>
      <c r="C142" s="4" t="s">
        <v>1266</v>
      </c>
      <c r="D142" s="28">
        <v>1</v>
      </c>
      <c r="E142" s="2" t="s">
        <v>1473</v>
      </c>
      <c r="H142" s="4" t="s">
        <v>163</v>
      </c>
      <c r="I142" s="4" t="s">
        <v>413</v>
      </c>
      <c r="J142" s="3" t="s">
        <v>76</v>
      </c>
      <c r="K142" s="1" t="s">
        <v>59</v>
      </c>
      <c r="L142" s="1" t="s">
        <v>30</v>
      </c>
      <c r="M142" s="1" t="s">
        <v>167</v>
      </c>
      <c r="N142" s="1" t="s">
        <v>59</v>
      </c>
      <c r="O142" s="1" t="s">
        <v>32</v>
      </c>
      <c r="P142" s="1"/>
      <c r="Q142" s="2" t="s">
        <v>609</v>
      </c>
      <c r="R142" s="1" t="s">
        <v>1261</v>
      </c>
      <c r="S142" s="1">
        <v>75</v>
      </c>
      <c r="T142" s="28">
        <v>0</v>
      </c>
      <c r="U142" s="28"/>
      <c r="V142" s="1"/>
      <c r="W142" s="1"/>
      <c r="X142" s="1" t="s">
        <v>47</v>
      </c>
      <c r="Y142" s="29" t="s">
        <v>610</v>
      </c>
      <c r="Z142" s="1"/>
      <c r="AA142" s="1" t="s">
        <v>414</v>
      </c>
      <c r="AB142" s="29" t="s">
        <v>1241</v>
      </c>
      <c r="AC142" s="28">
        <f t="shared" si="11"/>
        <v>109480</v>
      </c>
      <c r="AD142" s="1" t="s">
        <v>41</v>
      </c>
      <c r="AE142" s="1">
        <f t="shared" si="12"/>
        <v>75</v>
      </c>
      <c r="AF142" s="1"/>
      <c r="AG142" s="1"/>
      <c r="AL142" s="1"/>
      <c r="AO142" s="1"/>
    </row>
    <row r="143" spans="1:41" ht="45" x14ac:dyDescent="0.25">
      <c r="A143" s="1" t="s">
        <v>764</v>
      </c>
      <c r="B143" s="1" t="s">
        <v>1037</v>
      </c>
      <c r="C143" s="4" t="s">
        <v>759</v>
      </c>
      <c r="D143" s="28">
        <v>1</v>
      </c>
      <c r="E143" s="2" t="s">
        <v>762</v>
      </c>
      <c r="H143" s="4" t="s">
        <v>332</v>
      </c>
      <c r="I143" s="4" t="s">
        <v>592</v>
      </c>
      <c r="J143" s="3" t="s">
        <v>76</v>
      </c>
      <c r="K143" s="1" t="s">
        <v>83</v>
      </c>
      <c r="L143" s="1" t="s">
        <v>83</v>
      </c>
      <c r="M143" s="1" t="s">
        <v>167</v>
      </c>
      <c r="N143" s="1" t="s">
        <v>29</v>
      </c>
      <c r="O143" s="1" t="s">
        <v>761</v>
      </c>
      <c r="P143" s="1"/>
      <c r="Q143" s="2" t="s">
        <v>763</v>
      </c>
      <c r="R143" s="2" t="s">
        <v>764</v>
      </c>
      <c r="S143" s="1">
        <v>125</v>
      </c>
      <c r="T143" s="28">
        <v>0</v>
      </c>
      <c r="U143" s="28"/>
      <c r="V143" s="1"/>
      <c r="W143" s="1"/>
      <c r="X143" s="1" t="s">
        <v>47</v>
      </c>
      <c r="Y143" s="2"/>
      <c r="Z143" s="1"/>
      <c r="AB143" s="29" t="s">
        <v>1241</v>
      </c>
      <c r="AC143" s="28">
        <f t="shared" si="11"/>
        <v>109480</v>
      </c>
      <c r="AD143" s="1" t="s">
        <v>41</v>
      </c>
      <c r="AE143" s="1">
        <f t="shared" si="12"/>
        <v>125</v>
      </c>
      <c r="AF143" s="1"/>
      <c r="AG143" s="1"/>
      <c r="AL143" s="1"/>
      <c r="AO143" s="1"/>
    </row>
    <row r="144" spans="1:41" ht="45" x14ac:dyDescent="0.25">
      <c r="A144" s="1" t="s">
        <v>760</v>
      </c>
      <c r="B144" s="1" t="s">
        <v>1037</v>
      </c>
      <c r="C144" s="4" t="s">
        <v>759</v>
      </c>
      <c r="D144" s="28">
        <v>1</v>
      </c>
      <c r="E144" s="2" t="s">
        <v>762</v>
      </c>
      <c r="H144" s="4" t="s">
        <v>332</v>
      </c>
      <c r="I144" s="4" t="s">
        <v>592</v>
      </c>
      <c r="J144" s="3" t="s">
        <v>76</v>
      </c>
      <c r="K144" s="1" t="s">
        <v>83</v>
      </c>
      <c r="L144" s="1" t="s">
        <v>83</v>
      </c>
      <c r="M144" s="1" t="s">
        <v>167</v>
      </c>
      <c r="N144" s="1" t="s">
        <v>59</v>
      </c>
      <c r="O144" s="1" t="s">
        <v>761</v>
      </c>
      <c r="P144" s="1"/>
      <c r="Q144" s="2" t="s">
        <v>763</v>
      </c>
      <c r="R144" s="2" t="s">
        <v>760</v>
      </c>
      <c r="S144" s="1">
        <v>295</v>
      </c>
      <c r="T144" s="28">
        <v>0</v>
      </c>
      <c r="U144" s="28"/>
      <c r="V144" s="1"/>
      <c r="W144" s="1"/>
      <c r="X144" s="1" t="s">
        <v>47</v>
      </c>
      <c r="Y144" s="2"/>
      <c r="Z144" s="1"/>
      <c r="AB144" s="29" t="s">
        <v>1241</v>
      </c>
      <c r="AC144" s="28">
        <f t="shared" si="11"/>
        <v>109480</v>
      </c>
      <c r="AD144" s="1" t="s">
        <v>41</v>
      </c>
      <c r="AE144" s="1">
        <f t="shared" si="12"/>
        <v>295</v>
      </c>
      <c r="AF144" s="1"/>
      <c r="AG144" s="1"/>
      <c r="AL144" s="1"/>
      <c r="AO144" s="1"/>
    </row>
    <row r="145" spans="1:41" ht="45" x14ac:dyDescent="0.25">
      <c r="A145" s="1" t="s">
        <v>1483</v>
      </c>
      <c r="B145" s="1" t="s">
        <v>1037</v>
      </c>
      <c r="C145" s="4" t="s">
        <v>1484</v>
      </c>
      <c r="D145" s="28">
        <v>1</v>
      </c>
      <c r="E145" s="2" t="s">
        <v>1485</v>
      </c>
      <c r="F145" s="1">
        <v>1996</v>
      </c>
      <c r="G145" s="1">
        <v>2006</v>
      </c>
      <c r="H145" s="4" t="s">
        <v>332</v>
      </c>
      <c r="I145" s="4" t="s">
        <v>592</v>
      </c>
      <c r="J145" s="3" t="s">
        <v>76</v>
      </c>
      <c r="K145" s="1" t="s">
        <v>29</v>
      </c>
      <c r="L145" s="1" t="s">
        <v>83</v>
      </c>
      <c r="M145" s="1" t="s">
        <v>167</v>
      </c>
      <c r="N145" s="1"/>
      <c r="P145" s="1" t="s">
        <v>1486</v>
      </c>
      <c r="Q145" s="2" t="s">
        <v>1484</v>
      </c>
      <c r="R145" s="1" t="s">
        <v>1483</v>
      </c>
      <c r="S145" s="1">
        <v>150</v>
      </c>
      <c r="T145" s="1">
        <v>0</v>
      </c>
      <c r="U145" s="28">
        <f>Parts[[#This Row],[Price EU euro]]</f>
        <v>150</v>
      </c>
      <c r="V145" s="1">
        <v>195</v>
      </c>
      <c r="W145" s="1" t="s">
        <v>1487</v>
      </c>
      <c r="X145" s="1" t="s">
        <v>78</v>
      </c>
      <c r="Y145" s="2"/>
      <c r="Z145" s="12" t="s">
        <v>1488</v>
      </c>
      <c r="AB145" s="29" t="s">
        <v>1241</v>
      </c>
      <c r="AC145" s="28">
        <f t="shared" si="11"/>
        <v>109480</v>
      </c>
      <c r="AD145" s="1" t="s">
        <v>175</v>
      </c>
      <c r="AE145" s="1">
        <f t="shared" si="12"/>
        <v>150</v>
      </c>
      <c r="AF145" s="1"/>
      <c r="AG145" s="1"/>
      <c r="AL145" s="1"/>
      <c r="AO145" s="1"/>
    </row>
    <row r="146" spans="1:41" ht="30" x14ac:dyDescent="0.25">
      <c r="A146" s="1" t="s">
        <v>608</v>
      </c>
      <c r="B146" s="1" t="s">
        <v>1037</v>
      </c>
      <c r="C146" s="4" t="s">
        <v>590</v>
      </c>
      <c r="D146" s="28">
        <v>1</v>
      </c>
      <c r="E146" s="2" t="s">
        <v>593</v>
      </c>
      <c r="H146" s="4" t="s">
        <v>332</v>
      </c>
      <c r="I146" s="4" t="s">
        <v>592</v>
      </c>
      <c r="J146" s="3" t="s">
        <v>76</v>
      </c>
      <c r="K146" s="1" t="s">
        <v>83</v>
      </c>
      <c r="L146" s="1" t="s">
        <v>60</v>
      </c>
      <c r="M146" s="1" t="s">
        <v>167</v>
      </c>
      <c r="N146" s="1"/>
      <c r="O146" s="1" t="s">
        <v>32</v>
      </c>
      <c r="P146" s="1"/>
      <c r="Q146" s="4" t="s">
        <v>590</v>
      </c>
      <c r="R146" s="2" t="s">
        <v>608</v>
      </c>
      <c r="S146" s="1">
        <v>95</v>
      </c>
      <c r="T146" s="28">
        <v>0</v>
      </c>
      <c r="U146" s="28"/>
      <c r="V146" s="1"/>
      <c r="W146" s="1"/>
      <c r="X146" s="1" t="s">
        <v>47</v>
      </c>
      <c r="Y146" s="2"/>
      <c r="Z146" s="1"/>
      <c r="AA146" s="1" t="s">
        <v>414</v>
      </c>
      <c r="AB146" s="29" t="s">
        <v>1241</v>
      </c>
      <c r="AC146" s="28">
        <f t="shared" si="11"/>
        <v>109480</v>
      </c>
      <c r="AD146" s="1" t="s">
        <v>41</v>
      </c>
      <c r="AE146" s="1">
        <f t="shared" si="12"/>
        <v>95</v>
      </c>
      <c r="AF146" s="1"/>
      <c r="AG146" s="1"/>
      <c r="AL146" s="1"/>
      <c r="AO146" s="1"/>
    </row>
    <row r="147" spans="1:41" ht="30" x14ac:dyDescent="0.25">
      <c r="A147" s="1" t="s">
        <v>607</v>
      </c>
      <c r="B147" s="1" t="s">
        <v>1037</v>
      </c>
      <c r="C147" s="4" t="s">
        <v>590</v>
      </c>
      <c r="D147" s="28">
        <v>1</v>
      </c>
      <c r="E147" s="2" t="s">
        <v>593</v>
      </c>
      <c r="H147" s="4" t="s">
        <v>332</v>
      </c>
      <c r="I147" s="4" t="s">
        <v>592</v>
      </c>
      <c r="J147" s="3" t="s">
        <v>76</v>
      </c>
      <c r="K147" s="1" t="s">
        <v>83</v>
      </c>
      <c r="L147" s="1" t="s">
        <v>60</v>
      </c>
      <c r="M147" s="1" t="s">
        <v>167</v>
      </c>
      <c r="N147" s="1"/>
      <c r="O147" s="1" t="s">
        <v>32</v>
      </c>
      <c r="P147" s="1"/>
      <c r="Q147" s="4" t="s">
        <v>590</v>
      </c>
      <c r="R147" s="1" t="s">
        <v>607</v>
      </c>
      <c r="S147" s="1">
        <v>95</v>
      </c>
      <c r="T147" s="28">
        <v>0</v>
      </c>
      <c r="U147" s="28"/>
      <c r="V147" s="1"/>
      <c r="W147" s="1"/>
      <c r="X147" s="1" t="s">
        <v>47</v>
      </c>
      <c r="Y147" s="2"/>
      <c r="Z147" s="1"/>
      <c r="AA147" s="1" t="s">
        <v>414</v>
      </c>
      <c r="AB147" s="29" t="s">
        <v>1241</v>
      </c>
      <c r="AC147" s="28">
        <f t="shared" si="11"/>
        <v>109480</v>
      </c>
      <c r="AD147" s="1" t="s">
        <v>41</v>
      </c>
      <c r="AE147" s="1">
        <f t="shared" si="12"/>
        <v>95</v>
      </c>
      <c r="AF147" s="1"/>
      <c r="AG147" s="1"/>
      <c r="AL147" s="1"/>
      <c r="AO147" s="1"/>
    </row>
    <row r="148" spans="1:41" ht="30" x14ac:dyDescent="0.25">
      <c r="A148" s="1" t="s">
        <v>591</v>
      </c>
      <c r="B148" s="1" t="s">
        <v>1037</v>
      </c>
      <c r="C148" s="4" t="s">
        <v>590</v>
      </c>
      <c r="D148" s="28">
        <v>1</v>
      </c>
      <c r="E148" s="2" t="s">
        <v>593</v>
      </c>
      <c r="H148" s="4" t="s">
        <v>332</v>
      </c>
      <c r="I148" s="4" t="s">
        <v>592</v>
      </c>
      <c r="J148" s="3" t="s">
        <v>76</v>
      </c>
      <c r="K148" s="1" t="s">
        <v>83</v>
      </c>
      <c r="L148" s="1" t="s">
        <v>30</v>
      </c>
      <c r="M148" s="1" t="s">
        <v>167</v>
      </c>
      <c r="N148" s="1"/>
      <c r="O148" s="1" t="s">
        <v>32</v>
      </c>
      <c r="P148" s="1"/>
      <c r="Q148" s="4" t="s">
        <v>590</v>
      </c>
      <c r="R148" s="1" t="s">
        <v>591</v>
      </c>
      <c r="S148" s="1">
        <v>95</v>
      </c>
      <c r="T148" s="28">
        <v>0</v>
      </c>
      <c r="U148" s="28"/>
      <c r="V148" s="1"/>
      <c r="W148" s="1"/>
      <c r="X148" s="1" t="s">
        <v>47</v>
      </c>
      <c r="Y148" s="2"/>
      <c r="Z148" s="1"/>
      <c r="AA148" s="1" t="s">
        <v>414</v>
      </c>
      <c r="AB148" s="29" t="s">
        <v>1241</v>
      </c>
      <c r="AC148" s="28">
        <f t="shared" si="11"/>
        <v>109480</v>
      </c>
      <c r="AD148" s="1" t="s">
        <v>41</v>
      </c>
      <c r="AE148" s="1">
        <f t="shared" si="12"/>
        <v>95</v>
      </c>
      <c r="AF148" s="1"/>
      <c r="AG148" s="1"/>
      <c r="AL148" s="1"/>
      <c r="AO148" s="1"/>
    </row>
    <row r="149" spans="1:41" ht="30" x14ac:dyDescent="0.25">
      <c r="A149" s="1" t="s">
        <v>894</v>
      </c>
      <c r="B149" s="1" t="s">
        <v>1037</v>
      </c>
      <c r="C149" s="4" t="s">
        <v>893</v>
      </c>
      <c r="D149" s="28">
        <v>1</v>
      </c>
      <c r="E149" s="2" t="s">
        <v>896</v>
      </c>
      <c r="G149" s="10" t="s">
        <v>897</v>
      </c>
      <c r="H149" s="4" t="s">
        <v>893</v>
      </c>
      <c r="I149" s="4" t="s">
        <v>895</v>
      </c>
      <c r="J149" s="3" t="s">
        <v>82</v>
      </c>
      <c r="K149" s="1" t="s">
        <v>29</v>
      </c>
      <c r="L149" s="1" t="s">
        <v>30</v>
      </c>
      <c r="M149" s="1"/>
      <c r="N149" s="1"/>
      <c r="P149" s="10"/>
      <c r="Q149" s="2" t="s">
        <v>893</v>
      </c>
      <c r="R149" s="1" t="s">
        <v>894</v>
      </c>
      <c r="S149" s="1"/>
      <c r="T149" s="28">
        <v>0</v>
      </c>
      <c r="U149" s="28"/>
      <c r="V149" s="1"/>
      <c r="W149" s="1"/>
      <c r="X149" s="1"/>
      <c r="Y149" s="2"/>
      <c r="Z149" s="1"/>
      <c r="AA149" s="1" t="s">
        <v>898</v>
      </c>
      <c r="AB149" s="29" t="s">
        <v>1241</v>
      </c>
      <c r="AC149" s="28">
        <f t="shared" si="11"/>
        <v>109480</v>
      </c>
      <c r="AD149" s="1" t="s">
        <v>41</v>
      </c>
      <c r="AE149" s="1">
        <f t="shared" si="12"/>
        <v>0</v>
      </c>
      <c r="AF149" s="1"/>
      <c r="AG149" s="1"/>
      <c r="AL149" s="1"/>
      <c r="AO149" s="1"/>
    </row>
    <row r="150" spans="1:41" ht="45" x14ac:dyDescent="0.25">
      <c r="A150" s="1" t="s">
        <v>901</v>
      </c>
      <c r="B150" s="1" t="s">
        <v>1037</v>
      </c>
      <c r="C150" s="4" t="s">
        <v>899</v>
      </c>
      <c r="D150" s="28">
        <v>1</v>
      </c>
      <c r="E150" s="2" t="s">
        <v>902</v>
      </c>
      <c r="H150" s="4" t="s">
        <v>900</v>
      </c>
      <c r="I150" s="4" t="s">
        <v>151</v>
      </c>
      <c r="J150" s="3" t="s">
        <v>82</v>
      </c>
      <c r="K150" s="1" t="s">
        <v>29</v>
      </c>
      <c r="L150" s="1" t="s">
        <v>30</v>
      </c>
      <c r="M150" s="1"/>
      <c r="N150" s="1"/>
      <c r="O150" s="1" t="s">
        <v>428</v>
      </c>
      <c r="P150" s="1"/>
      <c r="Q150" s="2" t="s">
        <v>899</v>
      </c>
      <c r="R150" s="1" t="s">
        <v>901</v>
      </c>
      <c r="S150" s="1"/>
      <c r="T150" s="28">
        <v>0</v>
      </c>
      <c r="U150" s="28"/>
      <c r="V150" s="1"/>
      <c r="W150" s="1"/>
      <c r="X150" s="1"/>
      <c r="Y150" s="2"/>
      <c r="Z150" s="1"/>
      <c r="AB150" s="29" t="s">
        <v>1241</v>
      </c>
      <c r="AC150" s="28">
        <f t="shared" si="11"/>
        <v>109480</v>
      </c>
      <c r="AD150" s="1" t="s">
        <v>41</v>
      </c>
      <c r="AE150" s="1">
        <f t="shared" si="12"/>
        <v>0</v>
      </c>
      <c r="AF150" s="1"/>
      <c r="AG150" s="1"/>
      <c r="AL150" s="1"/>
      <c r="AO150" s="1"/>
    </row>
    <row r="151" spans="1:41" x14ac:dyDescent="0.25">
      <c r="A151" s="1" t="s">
        <v>122</v>
      </c>
      <c r="B151" s="1" t="s">
        <v>1037</v>
      </c>
      <c r="C151" s="4" t="s">
        <v>118</v>
      </c>
      <c r="E151" s="1" t="s">
        <v>120</v>
      </c>
      <c r="F151" s="1">
        <v>24687</v>
      </c>
      <c r="G151" s="1" t="s">
        <v>123</v>
      </c>
      <c r="H151" s="4" t="s">
        <v>114</v>
      </c>
      <c r="I151" s="4"/>
      <c r="J151" s="3"/>
      <c r="K151" s="1" t="s">
        <v>59</v>
      </c>
      <c r="L151" s="1" t="s">
        <v>60</v>
      </c>
      <c r="M151" s="1"/>
      <c r="N151" s="1"/>
      <c r="P151" s="1"/>
      <c r="Q151" s="19"/>
      <c r="S151" s="1"/>
      <c r="T151" s="1">
        <v>0</v>
      </c>
      <c r="U151" s="28"/>
      <c r="V151" s="1"/>
      <c r="W151" s="1"/>
      <c r="X151" s="1"/>
      <c r="Y151" s="2"/>
      <c r="Z151" s="1"/>
      <c r="AB151" s="1"/>
      <c r="AC151" s="28">
        <f t="shared" si="11"/>
        <v>109480</v>
      </c>
      <c r="AD151" s="1"/>
      <c r="AE151" s="1">
        <f t="shared" si="12"/>
        <v>0</v>
      </c>
      <c r="AF151" s="1"/>
      <c r="AG151" s="1"/>
      <c r="AL151" s="1"/>
      <c r="AO151" s="1"/>
    </row>
    <row r="152" spans="1:41" x14ac:dyDescent="0.25">
      <c r="A152" s="1" t="s">
        <v>115</v>
      </c>
      <c r="B152" s="1" t="s">
        <v>1037</v>
      </c>
      <c r="C152" s="4" t="s">
        <v>113</v>
      </c>
      <c r="E152" s="1" t="s">
        <v>116</v>
      </c>
      <c r="F152" s="1">
        <v>24687</v>
      </c>
      <c r="G152" s="1" t="s">
        <v>117</v>
      </c>
      <c r="H152" s="4" t="s">
        <v>114</v>
      </c>
      <c r="I152" s="4"/>
      <c r="J152" s="3"/>
      <c r="K152" s="1" t="s">
        <v>59</v>
      </c>
      <c r="L152" s="1" t="s">
        <v>30</v>
      </c>
      <c r="M152" s="1"/>
      <c r="N152" s="1"/>
      <c r="P152" s="1"/>
      <c r="Q152" s="19"/>
      <c r="S152" s="1"/>
      <c r="T152" s="1">
        <v>0</v>
      </c>
      <c r="U152" s="28"/>
      <c r="V152" s="1"/>
      <c r="W152" s="1"/>
      <c r="X152" s="1"/>
      <c r="Y152" s="2"/>
      <c r="Z152" s="1"/>
      <c r="AB152" s="1"/>
      <c r="AC152" s="28">
        <f t="shared" si="11"/>
        <v>109480</v>
      </c>
      <c r="AD152" s="1"/>
      <c r="AE152" s="1">
        <f t="shared" si="12"/>
        <v>0</v>
      </c>
      <c r="AF152" s="1"/>
      <c r="AG152" s="1"/>
      <c r="AL152" s="1"/>
      <c r="AO152" s="1"/>
    </row>
    <row r="153" spans="1:41" x14ac:dyDescent="0.25">
      <c r="A153" s="1" t="s">
        <v>125</v>
      </c>
      <c r="B153" s="1" t="s">
        <v>1037</v>
      </c>
      <c r="C153" s="4" t="s">
        <v>124</v>
      </c>
      <c r="E153" s="1" t="s">
        <v>126</v>
      </c>
      <c r="H153" s="4" t="s">
        <v>114</v>
      </c>
      <c r="I153" s="4"/>
      <c r="J153" s="3"/>
      <c r="K153" s="1" t="s">
        <v>29</v>
      </c>
      <c r="L153" s="1" t="s">
        <v>83</v>
      </c>
      <c r="M153" s="1"/>
      <c r="N153" s="1"/>
      <c r="P153" s="1"/>
      <c r="Q153" s="2" t="s">
        <v>127</v>
      </c>
      <c r="R153" s="1" t="str">
        <f>A153</f>
        <v>HJE5900AA</v>
      </c>
      <c r="S153" s="1"/>
      <c r="T153" s="1">
        <v>0</v>
      </c>
      <c r="U153" s="28"/>
      <c r="V153" s="1"/>
      <c r="W153" s="1"/>
      <c r="X153" s="1"/>
      <c r="Y153" s="2"/>
      <c r="Z153" s="1"/>
      <c r="AB153" s="1" t="s">
        <v>67</v>
      </c>
      <c r="AC153" s="28">
        <f t="shared" si="11"/>
        <v>109480</v>
      </c>
      <c r="AD153" s="1"/>
      <c r="AE153" s="1">
        <f t="shared" si="12"/>
        <v>0</v>
      </c>
      <c r="AF153" s="1"/>
      <c r="AG153" s="1"/>
      <c r="AL153" s="1"/>
      <c r="AO153" s="1"/>
    </row>
    <row r="154" spans="1:41" x14ac:dyDescent="0.25">
      <c r="A154" s="1" t="s">
        <v>125</v>
      </c>
      <c r="B154" s="1" t="s">
        <v>1037</v>
      </c>
      <c r="C154" s="4" t="s">
        <v>134</v>
      </c>
      <c r="E154" s="1" t="s">
        <v>126</v>
      </c>
      <c r="H154" s="4" t="s">
        <v>114</v>
      </c>
      <c r="I154" s="4"/>
      <c r="J154" s="3"/>
      <c r="K154" s="1" t="s">
        <v>29</v>
      </c>
      <c r="L154" s="1" t="s">
        <v>83</v>
      </c>
      <c r="M154" s="1"/>
      <c r="N154" s="1"/>
      <c r="P154" s="1"/>
      <c r="Q154" s="2" t="s">
        <v>127</v>
      </c>
      <c r="R154" s="1" t="s">
        <v>135</v>
      </c>
      <c r="S154" s="1"/>
      <c r="T154" s="1">
        <v>0</v>
      </c>
      <c r="U154" s="28"/>
      <c r="V154" s="1"/>
      <c r="W154" s="1"/>
      <c r="X154" s="1"/>
      <c r="Y154" s="2"/>
      <c r="Z154" s="1"/>
      <c r="AB154" s="1"/>
      <c r="AC154" s="28">
        <f t="shared" si="11"/>
        <v>109480</v>
      </c>
      <c r="AD154" s="1"/>
      <c r="AE154" s="1">
        <f t="shared" si="12"/>
        <v>0</v>
      </c>
      <c r="AF154" s="1"/>
      <c r="AG154" s="1"/>
      <c r="AL154" s="1"/>
      <c r="AO154" s="1"/>
    </row>
    <row r="155" spans="1:41" ht="30" x14ac:dyDescent="0.25">
      <c r="A155" s="1" t="s">
        <v>465</v>
      </c>
      <c r="B155" s="1" t="s">
        <v>1037</v>
      </c>
      <c r="C155" s="4" t="s">
        <v>460</v>
      </c>
      <c r="D155" s="28">
        <v>1</v>
      </c>
      <c r="E155" s="2" t="s">
        <v>464</v>
      </c>
      <c r="H155" s="4" t="s">
        <v>461</v>
      </c>
      <c r="I155" s="4" t="s">
        <v>463</v>
      </c>
      <c r="J155" s="3" t="s">
        <v>101</v>
      </c>
      <c r="K155" s="1" t="s">
        <v>29</v>
      </c>
      <c r="L155" s="1" t="s">
        <v>60</v>
      </c>
      <c r="M155" s="1" t="s">
        <v>84</v>
      </c>
      <c r="N155" s="1"/>
      <c r="P155" s="1"/>
      <c r="Q155" s="2" t="s">
        <v>460</v>
      </c>
      <c r="R155" s="1" t="s">
        <v>465</v>
      </c>
      <c r="S155" s="1"/>
      <c r="T155" s="28">
        <v>0</v>
      </c>
      <c r="U155" s="28"/>
      <c r="V155" s="1"/>
      <c r="W155" s="1"/>
      <c r="X155" s="1"/>
      <c r="Y155" s="2"/>
      <c r="Z155" s="1"/>
      <c r="AB155" s="29" t="s">
        <v>1241</v>
      </c>
      <c r="AC155" s="28">
        <f t="shared" si="11"/>
        <v>109480</v>
      </c>
      <c r="AD155" s="1" t="s">
        <v>41</v>
      </c>
      <c r="AE155" s="1">
        <f t="shared" si="12"/>
        <v>0</v>
      </c>
      <c r="AF155" s="1"/>
      <c r="AG155" s="1"/>
      <c r="AL155" s="1"/>
      <c r="AO155" s="1"/>
    </row>
    <row r="156" spans="1:41" ht="30" x14ac:dyDescent="0.25">
      <c r="A156" s="1" t="s">
        <v>462</v>
      </c>
      <c r="B156" s="1" t="s">
        <v>1037</v>
      </c>
      <c r="C156" s="4" t="s">
        <v>460</v>
      </c>
      <c r="D156" s="28">
        <v>1</v>
      </c>
      <c r="E156" s="2" t="s">
        <v>464</v>
      </c>
      <c r="H156" s="4" t="s">
        <v>461</v>
      </c>
      <c r="I156" s="4" t="s">
        <v>463</v>
      </c>
      <c r="J156" s="3" t="s">
        <v>101</v>
      </c>
      <c r="K156" s="1" t="s">
        <v>29</v>
      </c>
      <c r="L156" s="1" t="s">
        <v>30</v>
      </c>
      <c r="M156" s="1" t="s">
        <v>84</v>
      </c>
      <c r="N156" s="1"/>
      <c r="P156" s="1"/>
      <c r="Q156" s="2" t="s">
        <v>460</v>
      </c>
      <c r="R156" s="2" t="str">
        <f>A156</f>
        <v>HJE6505</v>
      </c>
      <c r="S156" s="1"/>
      <c r="T156" s="28">
        <v>0</v>
      </c>
      <c r="U156" s="28"/>
      <c r="V156" s="1"/>
      <c r="W156" s="1"/>
      <c r="X156" s="1"/>
      <c r="Y156" s="2"/>
      <c r="Z156" s="1"/>
      <c r="AB156" s="29" t="s">
        <v>1241</v>
      </c>
      <c r="AC156" s="28">
        <f t="shared" si="11"/>
        <v>109480</v>
      </c>
      <c r="AD156" s="1" t="s">
        <v>41</v>
      </c>
      <c r="AE156" s="1">
        <f t="shared" si="12"/>
        <v>0</v>
      </c>
      <c r="AF156" s="1"/>
      <c r="AG156" s="1"/>
      <c r="AL156" s="1"/>
      <c r="AO156" s="1"/>
    </row>
    <row r="157" spans="1:41" ht="45" x14ac:dyDescent="0.25">
      <c r="A157" s="1" t="s">
        <v>1222</v>
      </c>
      <c r="B157" s="1" t="s">
        <v>1220</v>
      </c>
      <c r="C157" s="4" t="s">
        <v>1223</v>
      </c>
      <c r="D157" s="28">
        <v>0</v>
      </c>
      <c r="E157" s="2" t="s">
        <v>1221</v>
      </c>
      <c r="F157" s="1">
        <v>812317</v>
      </c>
      <c r="G157" s="1" t="s">
        <v>383</v>
      </c>
      <c r="H157" s="4" t="s">
        <v>141</v>
      </c>
      <c r="I157" s="4" t="s">
        <v>141</v>
      </c>
      <c r="J157" s="3" t="s">
        <v>101</v>
      </c>
      <c r="K157" s="1" t="s">
        <v>29</v>
      </c>
      <c r="L157" s="1" t="s">
        <v>60</v>
      </c>
      <c r="M157" s="1" t="s">
        <v>692</v>
      </c>
      <c r="N157" s="1" t="s">
        <v>692</v>
      </c>
      <c r="O157" s="1" t="s">
        <v>32</v>
      </c>
      <c r="P157" s="1"/>
      <c r="Q157" s="2" t="s">
        <v>1223</v>
      </c>
      <c r="R157" s="2" t="str">
        <f>A157</f>
        <v>HNA4772AD + BCC2478</v>
      </c>
      <c r="S157" s="1">
        <v>65</v>
      </c>
      <c r="T157" s="28">
        <v>0</v>
      </c>
      <c r="U157" s="28">
        <v>65</v>
      </c>
      <c r="V157" s="1"/>
      <c r="W157" s="1"/>
      <c r="X157" s="1" t="s">
        <v>47</v>
      </c>
      <c r="Y157" s="2"/>
      <c r="Z157" s="1"/>
      <c r="AA157" s="1" t="s">
        <v>1224</v>
      </c>
      <c r="AB157" s="1" t="s">
        <v>1210</v>
      </c>
      <c r="AC157" s="28">
        <f t="shared" si="11"/>
        <v>109480</v>
      </c>
      <c r="AD157" s="1" t="s">
        <v>48</v>
      </c>
      <c r="AE157" s="1">
        <f t="shared" si="12"/>
        <v>0</v>
      </c>
      <c r="AF157" s="1"/>
      <c r="AG157" s="1"/>
      <c r="AL157" s="1"/>
      <c r="AO157" s="1"/>
    </row>
    <row r="158" spans="1:41" x14ac:dyDescent="0.25">
      <c r="A158" s="1" t="s">
        <v>92</v>
      </c>
      <c r="B158" s="1" t="s">
        <v>1037</v>
      </c>
      <c r="C158" s="4" t="s">
        <v>91</v>
      </c>
      <c r="I158" s="4"/>
      <c r="J158" s="3"/>
      <c r="K158" s="1"/>
      <c r="L158" s="1" t="s">
        <v>60</v>
      </c>
      <c r="M158" s="1"/>
      <c r="N158" s="1"/>
      <c r="P158" s="1"/>
      <c r="S158" s="1"/>
      <c r="T158" s="1">
        <v>0</v>
      </c>
      <c r="U158" s="28" t="s">
        <v>93</v>
      </c>
      <c r="V158" s="1"/>
      <c r="W158" s="1"/>
      <c r="X158" s="1"/>
      <c r="Y158" s="2"/>
      <c r="Z158" s="1"/>
      <c r="AB158" s="1" t="s">
        <v>94</v>
      </c>
      <c r="AC158" s="28">
        <f t="shared" si="11"/>
        <v>109480</v>
      </c>
      <c r="AD158" s="1"/>
      <c r="AE158" s="1">
        <f t="shared" si="12"/>
        <v>0</v>
      </c>
      <c r="AF158" s="1"/>
      <c r="AG158" s="1"/>
      <c r="AL158" s="1"/>
      <c r="AO158" s="1"/>
    </row>
    <row r="159" spans="1:41" ht="30" x14ac:dyDescent="0.25">
      <c r="A159" s="1" t="s">
        <v>668</v>
      </c>
      <c r="B159" s="1" t="s">
        <v>1037</v>
      </c>
      <c r="C159" s="4" t="s">
        <v>658</v>
      </c>
      <c r="E159" s="2" t="s">
        <v>660</v>
      </c>
      <c r="F159" s="1">
        <v>19229</v>
      </c>
      <c r="H159" s="4" t="s">
        <v>342</v>
      </c>
      <c r="I159" s="4" t="s">
        <v>344</v>
      </c>
      <c r="J159" s="4" t="s">
        <v>76</v>
      </c>
      <c r="K159" s="1" t="s">
        <v>29</v>
      </c>
      <c r="L159" s="1" t="s">
        <v>55</v>
      </c>
      <c r="M159" s="1" t="s">
        <v>167</v>
      </c>
      <c r="N159" s="1"/>
      <c r="O159" s="2" t="s">
        <v>667</v>
      </c>
      <c r="P159" s="1"/>
      <c r="Q159" s="2" t="s">
        <v>669</v>
      </c>
      <c r="R159" s="1" t="str">
        <f>A159</f>
        <v xml:space="preserve">HND7150AAAEK </v>
      </c>
      <c r="S159" s="1"/>
      <c r="T159" s="1">
        <v>0</v>
      </c>
      <c r="U159" s="28" t="s">
        <v>670</v>
      </c>
      <c r="V159" s="1"/>
      <c r="W159" s="1"/>
      <c r="X159" s="1"/>
      <c r="Y159" s="2"/>
      <c r="Z159" s="1"/>
      <c r="AB159" s="1" t="s">
        <v>555</v>
      </c>
      <c r="AC159" s="28">
        <f t="shared" si="11"/>
        <v>109480</v>
      </c>
      <c r="AD159" s="1"/>
      <c r="AE159" s="1">
        <f t="shared" si="12"/>
        <v>0</v>
      </c>
      <c r="AF159" s="1"/>
      <c r="AG159" s="1"/>
      <c r="AL159" s="1"/>
      <c r="AO159" s="1"/>
    </row>
    <row r="160" spans="1:41" ht="30" x14ac:dyDescent="0.25">
      <c r="A160" s="1" t="s">
        <v>661</v>
      </c>
      <c r="B160" s="1" t="s">
        <v>1037</v>
      </c>
      <c r="C160" s="4" t="s">
        <v>658</v>
      </c>
      <c r="E160" s="2" t="s">
        <v>660</v>
      </c>
      <c r="F160" s="1">
        <v>19229</v>
      </c>
      <c r="H160" s="4" t="s">
        <v>342</v>
      </c>
      <c r="I160" s="4" t="s">
        <v>344</v>
      </c>
      <c r="J160" s="4" t="s">
        <v>76</v>
      </c>
      <c r="K160" s="1" t="s">
        <v>29</v>
      </c>
      <c r="L160" s="1" t="s">
        <v>55</v>
      </c>
      <c r="M160" s="1" t="s">
        <v>167</v>
      </c>
      <c r="N160" s="1"/>
      <c r="O160" s="2" t="s">
        <v>619</v>
      </c>
      <c r="P160" s="1"/>
      <c r="Q160" s="2" t="s">
        <v>662</v>
      </c>
      <c r="R160" s="1" t="s">
        <v>663</v>
      </c>
      <c r="S160" s="1"/>
      <c r="T160" s="1">
        <v>0</v>
      </c>
      <c r="U160" s="28" t="s">
        <v>664</v>
      </c>
      <c r="V160" s="1"/>
      <c r="W160" s="1"/>
      <c r="X160" s="1"/>
      <c r="Y160" s="2"/>
      <c r="Z160" s="1"/>
      <c r="AB160" s="1" t="s">
        <v>665</v>
      </c>
      <c r="AC160" s="28">
        <f t="shared" si="11"/>
        <v>109480</v>
      </c>
      <c r="AD160" s="1"/>
      <c r="AE160" s="1">
        <f t="shared" si="12"/>
        <v>0</v>
      </c>
      <c r="AF160" s="1"/>
      <c r="AG160" s="1"/>
      <c r="AL160" s="1"/>
      <c r="AO160" s="1"/>
    </row>
    <row r="161" spans="1:41" ht="30" x14ac:dyDescent="0.25">
      <c r="A161" s="1" t="s">
        <v>674</v>
      </c>
      <c r="B161" s="1" t="s">
        <v>1037</v>
      </c>
      <c r="C161" s="4" t="s">
        <v>658</v>
      </c>
      <c r="E161" s="2" t="s">
        <v>660</v>
      </c>
      <c r="F161" s="1">
        <v>19229</v>
      </c>
      <c r="H161" s="4" t="s">
        <v>342</v>
      </c>
      <c r="I161" s="4" t="s">
        <v>344</v>
      </c>
      <c r="J161" s="4" t="s">
        <v>76</v>
      </c>
      <c r="K161" s="1" t="s">
        <v>29</v>
      </c>
      <c r="L161" s="1" t="s">
        <v>55</v>
      </c>
      <c r="M161" s="1" t="s">
        <v>167</v>
      </c>
      <c r="N161" s="1"/>
      <c r="O161" s="2" t="s">
        <v>672</v>
      </c>
      <c r="P161" s="1"/>
      <c r="S161" s="1"/>
      <c r="T161" s="1">
        <v>0</v>
      </c>
      <c r="U161" s="28"/>
      <c r="V161" s="1"/>
      <c r="W161" s="1"/>
      <c r="X161" s="1"/>
      <c r="Y161" s="2"/>
      <c r="Z161" s="1"/>
      <c r="AA161" s="1" t="s">
        <v>673</v>
      </c>
      <c r="AB161" s="1"/>
      <c r="AC161" s="28">
        <f t="shared" si="11"/>
        <v>109480</v>
      </c>
      <c r="AD161" s="1"/>
      <c r="AE161" s="1">
        <f t="shared" si="12"/>
        <v>0</v>
      </c>
      <c r="AF161" s="1"/>
      <c r="AG161" s="1"/>
      <c r="AL161" s="1"/>
      <c r="AO161" s="1"/>
    </row>
    <row r="162" spans="1:41" ht="30" x14ac:dyDescent="0.25">
      <c r="A162" s="1" t="s">
        <v>677</v>
      </c>
      <c r="B162" s="1" t="s">
        <v>1037</v>
      </c>
      <c r="C162" s="4" t="s">
        <v>658</v>
      </c>
      <c r="E162" s="2" t="s">
        <v>660</v>
      </c>
      <c r="F162" s="1">
        <v>19229</v>
      </c>
      <c r="H162" s="4" t="s">
        <v>342</v>
      </c>
      <c r="I162" s="4" t="s">
        <v>344</v>
      </c>
      <c r="J162" s="4" t="s">
        <v>76</v>
      </c>
      <c r="K162" s="1" t="s">
        <v>29</v>
      </c>
      <c r="L162" s="1" t="s">
        <v>55</v>
      </c>
      <c r="M162" s="1" t="s">
        <v>167</v>
      </c>
      <c r="N162" s="1"/>
      <c r="O162" s="2" t="s">
        <v>676</v>
      </c>
      <c r="P162" s="1"/>
      <c r="S162" s="1"/>
      <c r="T162" s="1">
        <v>0</v>
      </c>
      <c r="U162" s="28"/>
      <c r="V162" s="1"/>
      <c r="W162" s="1"/>
      <c r="X162" s="1"/>
      <c r="Y162" s="2"/>
      <c r="Z162" s="1"/>
      <c r="AB162" s="1"/>
      <c r="AC162" s="28">
        <f t="shared" si="11"/>
        <v>109480</v>
      </c>
      <c r="AD162" s="1"/>
      <c r="AE162" s="1">
        <f t="shared" si="12"/>
        <v>0</v>
      </c>
      <c r="AF162" s="1"/>
      <c r="AG162" s="1"/>
      <c r="AL162" s="1"/>
      <c r="AO162" s="1"/>
    </row>
    <row r="163" spans="1:41" x14ac:dyDescent="0.25">
      <c r="A163" s="1" t="s">
        <v>565</v>
      </c>
      <c r="B163" s="1" t="s">
        <v>1037</v>
      </c>
      <c r="C163" s="4" t="s">
        <v>560</v>
      </c>
      <c r="D163" s="28">
        <v>1</v>
      </c>
      <c r="E163" s="2"/>
      <c r="H163" s="4" t="s">
        <v>561</v>
      </c>
      <c r="I163" s="4" t="s">
        <v>563</v>
      </c>
      <c r="J163" s="3" t="s">
        <v>76</v>
      </c>
      <c r="K163" s="1" t="s">
        <v>83</v>
      </c>
      <c r="L163" s="1" t="s">
        <v>30</v>
      </c>
      <c r="M163" s="1"/>
      <c r="N163" s="1" t="s">
        <v>275</v>
      </c>
      <c r="P163" s="1"/>
      <c r="Q163" s="4" t="s">
        <v>560</v>
      </c>
      <c r="R163" s="1" t="s">
        <v>565</v>
      </c>
      <c r="S163" s="1"/>
      <c r="T163" s="28">
        <v>0</v>
      </c>
      <c r="U163" s="28"/>
      <c r="V163" s="1"/>
      <c r="W163" s="1"/>
      <c r="X163" s="1"/>
      <c r="Y163" s="2"/>
      <c r="Z163" s="1"/>
      <c r="AB163" s="29" t="s">
        <v>1241</v>
      </c>
      <c r="AC163" s="28">
        <f t="shared" si="11"/>
        <v>109480</v>
      </c>
      <c r="AD163" s="1"/>
      <c r="AE163" s="1">
        <f t="shared" si="12"/>
        <v>0</v>
      </c>
      <c r="AF163" s="1"/>
      <c r="AG163" s="1"/>
      <c r="AL163" s="1"/>
      <c r="AO163" s="1"/>
    </row>
    <row r="164" spans="1:41" x14ac:dyDescent="0.25">
      <c r="A164" s="1" t="s">
        <v>562</v>
      </c>
      <c r="B164" s="1" t="s">
        <v>1037</v>
      </c>
      <c r="C164" s="4" t="s">
        <v>560</v>
      </c>
      <c r="D164" s="28">
        <v>1</v>
      </c>
      <c r="E164" s="2"/>
      <c r="H164" s="4" t="s">
        <v>561</v>
      </c>
      <c r="I164" s="4" t="s">
        <v>563</v>
      </c>
      <c r="J164" s="3" t="s">
        <v>76</v>
      </c>
      <c r="K164" s="1" t="s">
        <v>83</v>
      </c>
      <c r="L164" s="1" t="s">
        <v>60</v>
      </c>
      <c r="M164" s="1"/>
      <c r="N164" s="1" t="s">
        <v>275</v>
      </c>
      <c r="P164" s="1"/>
      <c r="Q164" s="4" t="s">
        <v>560</v>
      </c>
      <c r="R164" s="1" t="s">
        <v>564</v>
      </c>
      <c r="S164" s="1">
        <v>185</v>
      </c>
      <c r="T164" s="28">
        <v>0</v>
      </c>
      <c r="U164" s="28"/>
      <c r="V164" s="1"/>
      <c r="W164" s="1"/>
      <c r="X164" s="1" t="s">
        <v>47</v>
      </c>
      <c r="Y164" s="2"/>
      <c r="Z164" s="1"/>
      <c r="AB164" s="29" t="s">
        <v>1241</v>
      </c>
      <c r="AC164" s="28">
        <f t="shared" si="11"/>
        <v>109480</v>
      </c>
      <c r="AD164" s="1" t="s">
        <v>41</v>
      </c>
      <c r="AE164" s="1">
        <f t="shared" si="12"/>
        <v>185</v>
      </c>
      <c r="AF164" s="1"/>
      <c r="AG164" s="1"/>
      <c r="AL164" s="1"/>
      <c r="AO164" s="1"/>
    </row>
    <row r="165" spans="1:41" ht="30" x14ac:dyDescent="0.25">
      <c r="A165" s="1" t="s">
        <v>785</v>
      </c>
      <c r="B165" s="1" t="s">
        <v>1037</v>
      </c>
      <c r="C165" s="4" t="s">
        <v>1555</v>
      </c>
      <c r="D165" s="28">
        <v>3</v>
      </c>
      <c r="E165" s="1" t="s">
        <v>1556</v>
      </c>
      <c r="F165" s="1" t="s">
        <v>1547</v>
      </c>
      <c r="G165" s="1" t="s">
        <v>1557</v>
      </c>
      <c r="H165" s="4" t="s">
        <v>781</v>
      </c>
      <c r="I165" s="4" t="s">
        <v>783</v>
      </c>
      <c r="J165" s="3"/>
      <c r="K165" s="1" t="s">
        <v>29</v>
      </c>
      <c r="L165" s="1" t="s">
        <v>55</v>
      </c>
      <c r="M165" s="1"/>
      <c r="N165" s="1"/>
      <c r="P165" s="1"/>
      <c r="Q165" s="2" t="str">
        <f>Parts[[#This Row],[Part]]</f>
        <v>Circlip - Front Suspension (76.0mm dia bearing)</v>
      </c>
      <c r="R165" s="1" t="str">
        <f>A165</f>
        <v>JCR110765</v>
      </c>
      <c r="S165" s="1"/>
      <c r="T165" s="1">
        <v>0</v>
      </c>
      <c r="U165" s="28"/>
      <c r="V165" s="1"/>
      <c r="W165" s="1"/>
      <c r="X165" s="1"/>
      <c r="Y165" s="2"/>
      <c r="Z165" s="1"/>
      <c r="AA165" s="1" t="s">
        <v>786</v>
      </c>
      <c r="AB165" s="1" t="s">
        <v>67</v>
      </c>
      <c r="AC165" s="28">
        <f t="shared" si="11"/>
        <v>109480</v>
      </c>
      <c r="AD165" s="1"/>
      <c r="AE165" s="1">
        <f t="shared" si="12"/>
        <v>0</v>
      </c>
      <c r="AF165" s="1"/>
      <c r="AG165" s="1"/>
      <c r="AL165" s="1"/>
      <c r="AO165" s="1"/>
    </row>
    <row r="166" spans="1:41" x14ac:dyDescent="0.25">
      <c r="A166" s="1" t="s">
        <v>1356</v>
      </c>
      <c r="B166" s="1" t="s">
        <v>1291</v>
      </c>
      <c r="C166" s="4" t="s">
        <v>1355</v>
      </c>
      <c r="E166" s="2"/>
      <c r="H166" s="4" t="s">
        <v>227</v>
      </c>
      <c r="I166" s="4"/>
      <c r="J166" s="3"/>
      <c r="K166" s="1"/>
      <c r="L166" s="1"/>
      <c r="M166" s="1"/>
      <c r="N166" s="1"/>
      <c r="P166" s="1"/>
      <c r="R166" s="2"/>
      <c r="S166" s="1">
        <v>10</v>
      </c>
      <c r="T166" s="1">
        <v>0</v>
      </c>
      <c r="U166" s="28"/>
      <c r="V166" s="1"/>
      <c r="W166" s="1"/>
      <c r="X166" s="1"/>
      <c r="Y166" s="2"/>
      <c r="Z166" s="1"/>
      <c r="AB166" s="1"/>
      <c r="AC166" s="28">
        <f t="shared" si="11"/>
        <v>109480</v>
      </c>
      <c r="AD166" s="1"/>
      <c r="AE166" s="1">
        <f t="shared" si="12"/>
        <v>0</v>
      </c>
      <c r="AF166" s="1"/>
      <c r="AG166" s="1"/>
      <c r="AL166" s="1"/>
      <c r="AO166" s="1"/>
    </row>
    <row r="167" spans="1:41" ht="30" x14ac:dyDescent="0.25">
      <c r="A167" s="1" t="s">
        <v>745</v>
      </c>
      <c r="B167" s="1" t="s">
        <v>1291</v>
      </c>
      <c r="C167" s="4" t="s">
        <v>1331</v>
      </c>
      <c r="D167" s="28">
        <v>0</v>
      </c>
      <c r="F167" s="1" t="s">
        <v>1541</v>
      </c>
      <c r="G167" s="1" t="s">
        <v>1542</v>
      </c>
      <c r="H167" s="4" t="s">
        <v>223</v>
      </c>
      <c r="I167" s="4" t="s">
        <v>680</v>
      </c>
      <c r="J167" s="4"/>
      <c r="K167" s="1"/>
      <c r="L167" s="1"/>
      <c r="M167" s="1" t="s">
        <v>167</v>
      </c>
      <c r="N167" s="1"/>
      <c r="P167" s="1"/>
      <c r="Q167" s="2" t="s">
        <v>1327</v>
      </c>
      <c r="R167" s="1" t="s">
        <v>745</v>
      </c>
      <c r="S167" s="1"/>
      <c r="T167" s="1">
        <v>0</v>
      </c>
      <c r="U167" s="28"/>
      <c r="V167" s="1"/>
      <c r="W167" s="1"/>
      <c r="X167" s="1"/>
      <c r="Y167" s="2"/>
      <c r="Z167" s="1"/>
      <c r="AB167" s="1" t="s">
        <v>67</v>
      </c>
      <c r="AC167" s="28">
        <f t="shared" si="11"/>
        <v>109480</v>
      </c>
      <c r="AD167" s="1"/>
      <c r="AE167" s="1">
        <f t="shared" si="12"/>
        <v>0</v>
      </c>
      <c r="AF167" s="1"/>
      <c r="AG167" s="1"/>
      <c r="AL167" s="1"/>
      <c r="AO167" s="1"/>
    </row>
    <row r="168" spans="1:41" x14ac:dyDescent="0.25">
      <c r="A168" s="1" t="s">
        <v>294</v>
      </c>
      <c r="B168" s="1" t="s">
        <v>1037</v>
      </c>
      <c r="C168" s="4" t="s">
        <v>292</v>
      </c>
      <c r="E168" s="1" t="s">
        <v>298</v>
      </c>
      <c r="H168" s="4" t="s">
        <v>293</v>
      </c>
      <c r="I168" s="4" t="s">
        <v>295</v>
      </c>
      <c r="J168" s="3"/>
      <c r="K168" s="1" t="s">
        <v>54</v>
      </c>
      <c r="L168" s="1" t="s">
        <v>296</v>
      </c>
      <c r="M168" s="1" t="s">
        <v>297</v>
      </c>
      <c r="N168" s="1"/>
      <c r="P168" s="1"/>
      <c r="Q168" s="2" t="s">
        <v>299</v>
      </c>
      <c r="R168" s="1" t="str">
        <f>A168</f>
        <v>JHM1189</v>
      </c>
      <c r="S168" s="1"/>
      <c r="T168" s="1">
        <v>0</v>
      </c>
      <c r="U168" s="28"/>
      <c r="V168" s="1"/>
      <c r="W168" s="1"/>
      <c r="X168" s="1"/>
      <c r="Y168" s="2"/>
      <c r="Z168" s="1"/>
      <c r="AB168" s="1" t="s">
        <v>67</v>
      </c>
      <c r="AC168" s="28">
        <f t="shared" ref="AC168:AC199" si="13">68000*1.61</f>
        <v>109480</v>
      </c>
      <c r="AD168" s="1"/>
      <c r="AE168" s="1">
        <f t="shared" ref="AE168:AE184" si="14">S168*D168</f>
        <v>0</v>
      </c>
      <c r="AF168" s="1"/>
      <c r="AG168" s="1"/>
      <c r="AL168" s="1"/>
      <c r="AO168" s="1"/>
    </row>
    <row r="169" spans="1:41" x14ac:dyDescent="0.25">
      <c r="A169" s="1" t="s">
        <v>533</v>
      </c>
      <c r="B169" s="1" t="s">
        <v>1037</v>
      </c>
      <c r="C169" s="4" t="str">
        <f>Q169</f>
        <v>OWNERS HANDBOOK</v>
      </c>
      <c r="H169" s="4" t="s">
        <v>532</v>
      </c>
      <c r="I169" s="4" t="s">
        <v>295</v>
      </c>
      <c r="J169" s="3"/>
      <c r="K169" s="1"/>
      <c r="L169" s="1"/>
      <c r="M169" s="1"/>
      <c r="N169" s="1"/>
      <c r="P169" s="1"/>
      <c r="Q169" s="2" t="s">
        <v>534</v>
      </c>
      <c r="R169" s="1" t="str">
        <f>A169</f>
        <v>JJM21021440</v>
      </c>
      <c r="S169" s="1"/>
      <c r="T169" s="1">
        <v>0</v>
      </c>
      <c r="U169" s="28"/>
      <c r="V169" s="1"/>
      <c r="W169" s="1"/>
      <c r="X169" s="1"/>
      <c r="Y169" s="2"/>
      <c r="Z169" s="1"/>
      <c r="AB169" s="1" t="s">
        <v>67</v>
      </c>
      <c r="AC169" s="28">
        <f t="shared" si="13"/>
        <v>109480</v>
      </c>
      <c r="AD169" s="1"/>
      <c r="AE169" s="1">
        <f t="shared" si="14"/>
        <v>0</v>
      </c>
      <c r="AF169" s="1"/>
      <c r="AG169" s="1"/>
      <c r="AL169" s="1"/>
      <c r="AO169" s="1"/>
    </row>
    <row r="170" spans="1:41" x14ac:dyDescent="0.25">
      <c r="A170" s="1" t="s">
        <v>537</v>
      </c>
      <c r="B170" s="1" t="s">
        <v>1037</v>
      </c>
      <c r="C170" s="4" t="s">
        <v>535</v>
      </c>
      <c r="E170" s="2" t="s">
        <v>535</v>
      </c>
      <c r="H170" s="4" t="s">
        <v>536</v>
      </c>
      <c r="I170" s="4" t="s">
        <v>536</v>
      </c>
      <c r="J170" s="3" t="s">
        <v>101</v>
      </c>
      <c r="K170" s="1"/>
      <c r="L170" s="1"/>
      <c r="M170" s="1"/>
      <c r="N170" s="1"/>
      <c r="O170" s="2" t="s">
        <v>538</v>
      </c>
      <c r="P170" s="1"/>
      <c r="S170" s="1"/>
      <c r="T170" s="1">
        <v>0</v>
      </c>
      <c r="U170" s="28"/>
      <c r="V170" s="1"/>
      <c r="W170" s="1"/>
      <c r="X170" s="1"/>
      <c r="Y170" s="2"/>
      <c r="Z170" s="1"/>
      <c r="AB170" s="1"/>
      <c r="AC170" s="28">
        <f t="shared" si="13"/>
        <v>109480</v>
      </c>
      <c r="AD170" s="1"/>
      <c r="AE170" s="1">
        <f t="shared" si="14"/>
        <v>0</v>
      </c>
      <c r="AF170" s="1"/>
      <c r="AG170" s="1"/>
      <c r="AL170" s="1"/>
      <c r="AO170" s="1"/>
    </row>
    <row r="171" spans="1:41" ht="45" x14ac:dyDescent="0.25">
      <c r="A171" s="1" t="s">
        <v>1535</v>
      </c>
      <c r="B171" s="1" t="s">
        <v>1543</v>
      </c>
      <c r="C171" s="4" t="s">
        <v>285</v>
      </c>
      <c r="D171" s="28">
        <v>1</v>
      </c>
      <c r="E171" s="2" t="s">
        <v>1537</v>
      </c>
      <c r="F171" s="1" t="s">
        <v>1539</v>
      </c>
      <c r="G171" s="1" t="s">
        <v>1540</v>
      </c>
      <c r="H171" s="4" t="s">
        <v>286</v>
      </c>
      <c r="I171" s="4" t="s">
        <v>287</v>
      </c>
      <c r="J171" s="3" t="s">
        <v>101</v>
      </c>
      <c r="K171" s="1" t="s">
        <v>29</v>
      </c>
      <c r="L171" s="1" t="s">
        <v>60</v>
      </c>
      <c r="M171" s="1"/>
      <c r="N171" s="1"/>
      <c r="O171" s="1" t="s">
        <v>1536</v>
      </c>
      <c r="P171" s="1"/>
      <c r="Q171" s="2" t="s">
        <v>285</v>
      </c>
      <c r="R171" s="1" t="str">
        <f>Parts[[#This Row],[Jaguar PN (S)]]</f>
        <v>JLM12032JHH</v>
      </c>
      <c r="S171" s="1">
        <v>95</v>
      </c>
      <c r="T171" s="28">
        <v>0</v>
      </c>
      <c r="U171" s="28">
        <f>S171</f>
        <v>95</v>
      </c>
      <c r="V171" s="1"/>
      <c r="W171" s="1" t="s">
        <v>1513</v>
      </c>
      <c r="X171" s="1" t="s">
        <v>47</v>
      </c>
      <c r="Y171" s="12" t="s">
        <v>1538</v>
      </c>
      <c r="Z171" s="1"/>
      <c r="AB171" s="29" t="s">
        <v>1241</v>
      </c>
      <c r="AC171" s="28">
        <f t="shared" si="13"/>
        <v>109480</v>
      </c>
      <c r="AD171" s="1" t="s">
        <v>41</v>
      </c>
      <c r="AE171" s="1">
        <f t="shared" si="14"/>
        <v>95</v>
      </c>
      <c r="AF171" s="1"/>
      <c r="AG171" s="1"/>
      <c r="AL171" s="1"/>
      <c r="AO171" s="1"/>
    </row>
    <row r="172" spans="1:41" x14ac:dyDescent="0.25">
      <c r="A172" s="1" t="s">
        <v>194</v>
      </c>
      <c r="B172" s="1" t="s">
        <v>1037</v>
      </c>
      <c r="C172" s="4" t="s">
        <v>192</v>
      </c>
      <c r="H172" s="4" t="s">
        <v>193</v>
      </c>
      <c r="I172" s="4" t="s">
        <v>27</v>
      </c>
      <c r="J172" s="3"/>
      <c r="K172" s="1" t="s">
        <v>29</v>
      </c>
      <c r="L172" s="1" t="s">
        <v>55</v>
      </c>
      <c r="M172" s="1"/>
      <c r="N172" s="1"/>
      <c r="P172" s="1"/>
      <c r="Q172" s="2" t="s">
        <v>195</v>
      </c>
      <c r="R172" s="1" t="str">
        <f>A172</f>
        <v>JLM12123</v>
      </c>
      <c r="S172" s="1"/>
      <c r="T172" s="1">
        <v>0</v>
      </c>
      <c r="U172" s="28"/>
      <c r="V172" s="1"/>
      <c r="W172" s="1"/>
      <c r="X172" s="1"/>
      <c r="Y172" s="2"/>
      <c r="Z172" s="1"/>
      <c r="AB172" s="1" t="s">
        <v>67</v>
      </c>
      <c r="AC172" s="28">
        <f t="shared" si="13"/>
        <v>109480</v>
      </c>
      <c r="AD172" s="1"/>
      <c r="AE172" s="1">
        <f t="shared" si="14"/>
        <v>0</v>
      </c>
      <c r="AF172" s="1"/>
      <c r="AG172" s="1"/>
      <c r="AL172" s="1"/>
      <c r="AO172" s="1"/>
    </row>
    <row r="173" spans="1:41" x14ac:dyDescent="0.25">
      <c r="A173" s="1" t="s">
        <v>1358</v>
      </c>
      <c r="B173" s="1" t="s">
        <v>1291</v>
      </c>
      <c r="C173" s="4" t="s">
        <v>1357</v>
      </c>
      <c r="E173" s="2"/>
      <c r="H173" s="4" t="s">
        <v>1359</v>
      </c>
      <c r="I173" s="4" t="s">
        <v>1359</v>
      </c>
      <c r="J173" s="3"/>
      <c r="K173" s="1"/>
      <c r="L173" s="1"/>
      <c r="M173" s="1"/>
      <c r="N173" s="1"/>
      <c r="P173" s="1"/>
      <c r="R173" s="2"/>
      <c r="S173" s="1">
        <v>40</v>
      </c>
      <c r="T173" s="1">
        <v>0</v>
      </c>
      <c r="U173" s="28"/>
      <c r="V173" s="1"/>
      <c r="W173" s="1"/>
      <c r="X173" s="1"/>
      <c r="Y173" s="2"/>
      <c r="Z173" s="1"/>
      <c r="AB173" s="1"/>
      <c r="AC173" s="28">
        <f t="shared" si="13"/>
        <v>109480</v>
      </c>
      <c r="AD173" s="1"/>
      <c r="AE173" s="1">
        <f t="shared" si="14"/>
        <v>0</v>
      </c>
      <c r="AF173" s="1"/>
      <c r="AG173" s="1"/>
      <c r="AL173" s="1"/>
      <c r="AO173" s="1"/>
    </row>
    <row r="174" spans="1:41" ht="30" x14ac:dyDescent="0.25">
      <c r="A174" s="1" t="s">
        <v>1027</v>
      </c>
      <c r="B174" s="1" t="s">
        <v>1037</v>
      </c>
      <c r="C174" s="4" t="s">
        <v>1026</v>
      </c>
      <c r="D174" s="28">
        <v>2</v>
      </c>
      <c r="E174" s="2" t="s">
        <v>1028</v>
      </c>
      <c r="H174" s="4" t="s">
        <v>193</v>
      </c>
      <c r="I174" s="4" t="s">
        <v>781</v>
      </c>
      <c r="J174" s="3"/>
      <c r="K174" s="1" t="s">
        <v>59</v>
      </c>
      <c r="L174" s="1" t="s">
        <v>55</v>
      </c>
      <c r="M174" s="1"/>
      <c r="N174" s="1"/>
      <c r="P174" s="1"/>
      <c r="Q174" s="2" t="s">
        <v>1029</v>
      </c>
      <c r="R174" s="2" t="str">
        <f>A174</f>
        <v>JLM1708</v>
      </c>
      <c r="S174" s="1">
        <v>35</v>
      </c>
      <c r="T174" s="1">
        <v>0</v>
      </c>
      <c r="U174" s="28"/>
      <c r="V174" s="1"/>
      <c r="W174" s="1"/>
      <c r="X174" s="1"/>
      <c r="Y174" s="2"/>
      <c r="Z174" s="1"/>
      <c r="AB174" s="1"/>
      <c r="AC174" s="28">
        <f t="shared" si="13"/>
        <v>109480</v>
      </c>
      <c r="AD174" s="1"/>
      <c r="AE174" s="1">
        <f t="shared" si="14"/>
        <v>70</v>
      </c>
      <c r="AF174" s="1"/>
      <c r="AG174" s="1"/>
      <c r="AL174" s="1"/>
      <c r="AO174" s="1"/>
    </row>
    <row r="175" spans="1:41" x14ac:dyDescent="0.25">
      <c r="A175" s="1" t="s">
        <v>188</v>
      </c>
      <c r="B175" s="1" t="s">
        <v>1037</v>
      </c>
      <c r="C175" s="4" t="str">
        <f>Q175</f>
        <v>Brake Pads</v>
      </c>
      <c r="D175" s="28">
        <v>0</v>
      </c>
      <c r="I175" s="4" t="s">
        <v>27</v>
      </c>
      <c r="J175" s="3"/>
      <c r="K175" s="1" t="s">
        <v>29</v>
      </c>
      <c r="L175" s="1"/>
      <c r="M175" s="1"/>
      <c r="N175" s="1"/>
      <c r="P175" s="1"/>
      <c r="Q175" s="2" t="s">
        <v>189</v>
      </c>
      <c r="S175" s="1"/>
      <c r="T175" s="1">
        <v>0</v>
      </c>
      <c r="U175" s="28"/>
      <c r="V175" s="1"/>
      <c r="W175" s="1"/>
      <c r="X175" s="1"/>
      <c r="Y175" s="2"/>
      <c r="Z175" s="1"/>
      <c r="AA175" s="1" t="s">
        <v>190</v>
      </c>
      <c r="AB175" s="1" t="s">
        <v>67</v>
      </c>
      <c r="AC175" s="28">
        <f t="shared" si="13"/>
        <v>109480</v>
      </c>
      <c r="AD175" s="1"/>
      <c r="AE175" s="1">
        <f t="shared" si="14"/>
        <v>0</v>
      </c>
      <c r="AF175" s="1"/>
      <c r="AG175" s="1"/>
      <c r="AL175" s="1"/>
      <c r="AO175" s="1"/>
    </row>
    <row r="176" spans="1:41" ht="45" x14ac:dyDescent="0.25">
      <c r="A176" s="1" t="s">
        <v>140</v>
      </c>
      <c r="B176" s="1" t="s">
        <v>1037</v>
      </c>
      <c r="C176" s="4" t="s">
        <v>139</v>
      </c>
      <c r="E176" s="1" t="s">
        <v>142</v>
      </c>
      <c r="F176" s="2" t="s">
        <v>143</v>
      </c>
      <c r="G176" s="2" t="s">
        <v>144</v>
      </c>
      <c r="H176" s="4" t="s">
        <v>114</v>
      </c>
      <c r="I176" s="4" t="s">
        <v>141</v>
      </c>
      <c r="J176" s="3" t="s">
        <v>101</v>
      </c>
      <c r="K176" s="1"/>
      <c r="L176" s="1"/>
      <c r="M176" s="1"/>
      <c r="N176" s="1"/>
      <c r="P176" s="2"/>
      <c r="Q176" s="2" t="s">
        <v>145</v>
      </c>
      <c r="R176" s="1" t="str">
        <f>A176</f>
        <v>JLM20002</v>
      </c>
      <c r="S176" s="1"/>
      <c r="T176" s="1">
        <v>0</v>
      </c>
      <c r="U176" s="28"/>
      <c r="V176" s="1"/>
      <c r="W176" s="1"/>
      <c r="X176" s="1"/>
      <c r="Y176" s="2"/>
      <c r="Z176" s="1"/>
      <c r="AB176" s="1" t="s">
        <v>67</v>
      </c>
      <c r="AC176" s="28">
        <f t="shared" si="13"/>
        <v>109480</v>
      </c>
      <c r="AD176" s="1"/>
      <c r="AE176" s="1">
        <f t="shared" si="14"/>
        <v>0</v>
      </c>
      <c r="AF176" s="1"/>
      <c r="AG176" s="1"/>
      <c r="AL176" s="1"/>
      <c r="AO176" s="1"/>
    </row>
    <row r="177" spans="1:41" ht="30" x14ac:dyDescent="0.25">
      <c r="A177" s="1" t="s">
        <v>37</v>
      </c>
      <c r="B177" s="1" t="s">
        <v>1037</v>
      </c>
      <c r="C177" s="4" t="s">
        <v>36</v>
      </c>
      <c r="D177" s="28">
        <v>1</v>
      </c>
      <c r="E177" s="2" t="s">
        <v>38</v>
      </c>
      <c r="F177" s="1" t="s">
        <v>110</v>
      </c>
      <c r="G177" s="10" t="s">
        <v>39</v>
      </c>
      <c r="H177" s="4" t="s">
        <v>1340</v>
      </c>
      <c r="I177" s="4" t="s">
        <v>27</v>
      </c>
      <c r="J177" s="3" t="s">
        <v>28</v>
      </c>
      <c r="K177" s="1" t="s">
        <v>29</v>
      </c>
      <c r="L177" s="1" t="s">
        <v>30</v>
      </c>
      <c r="M177" s="1"/>
      <c r="N177" s="1"/>
      <c r="P177" s="10"/>
      <c r="Q177" s="19" t="s">
        <v>36</v>
      </c>
      <c r="R177" s="1" t="s">
        <v>37</v>
      </c>
      <c r="S177" s="1">
        <v>175</v>
      </c>
      <c r="T177" s="28">
        <v>0</v>
      </c>
      <c r="U177" s="28"/>
      <c r="V177" s="1"/>
      <c r="W177" s="1"/>
      <c r="X177" s="1"/>
      <c r="Y177" s="2"/>
      <c r="Z177" s="1"/>
      <c r="AA177" s="1" t="s">
        <v>40</v>
      </c>
      <c r="AB177" s="29" t="s">
        <v>1241</v>
      </c>
      <c r="AC177" s="28">
        <f t="shared" si="13"/>
        <v>109480</v>
      </c>
      <c r="AD177" s="1" t="s">
        <v>41</v>
      </c>
      <c r="AE177" s="1">
        <f t="shared" si="14"/>
        <v>175</v>
      </c>
      <c r="AF177" s="1"/>
      <c r="AG177" s="1"/>
      <c r="AL177" s="1"/>
      <c r="AO177" s="1"/>
    </row>
    <row r="178" spans="1:41" x14ac:dyDescent="0.25">
      <c r="A178" s="1" t="s">
        <v>472</v>
      </c>
      <c r="B178" s="1" t="s">
        <v>1037</v>
      </c>
      <c r="C178" s="4" t="s">
        <v>471</v>
      </c>
      <c r="D178" s="28">
        <v>0</v>
      </c>
      <c r="F178" s="1" t="s">
        <v>130</v>
      </c>
      <c r="H178" s="4" t="s">
        <v>227</v>
      </c>
      <c r="I178" s="4" t="s">
        <v>372</v>
      </c>
      <c r="J178" s="3"/>
      <c r="K178" s="1" t="s">
        <v>31</v>
      </c>
      <c r="L178" s="1" t="s">
        <v>83</v>
      </c>
      <c r="M178" s="1" t="s">
        <v>84</v>
      </c>
      <c r="N178" s="1" t="s">
        <v>31</v>
      </c>
      <c r="O178" s="1" t="s">
        <v>31</v>
      </c>
      <c r="P178" s="1"/>
      <c r="Q178" s="2" t="s">
        <v>473</v>
      </c>
      <c r="R178" s="2" t="str">
        <f>A178</f>
        <v>JLM20204</v>
      </c>
      <c r="S178" s="1">
        <v>35</v>
      </c>
      <c r="T178" s="1">
        <v>0</v>
      </c>
      <c r="U178" s="28"/>
      <c r="V178" s="1"/>
      <c r="W178" s="1"/>
      <c r="X178" s="1"/>
      <c r="Y178" s="2"/>
      <c r="Z178" s="1"/>
      <c r="AB178" s="1" t="s">
        <v>1185</v>
      </c>
      <c r="AC178" s="28">
        <f t="shared" si="13"/>
        <v>109480</v>
      </c>
      <c r="AD178" s="1" t="s">
        <v>133</v>
      </c>
      <c r="AE178" s="1">
        <f t="shared" si="14"/>
        <v>0</v>
      </c>
      <c r="AF178" s="1"/>
      <c r="AG178" s="1"/>
      <c r="AL178" s="1"/>
      <c r="AO178" s="1"/>
    </row>
    <row r="179" spans="1:41" x14ac:dyDescent="0.25">
      <c r="A179" s="1" t="s">
        <v>524</v>
      </c>
      <c r="B179" s="1" t="s">
        <v>1037</v>
      </c>
      <c r="C179" s="4" t="str">
        <f>Q179</f>
        <v>OIL SEAL / O-RING</v>
      </c>
      <c r="H179" s="4" t="s">
        <v>227</v>
      </c>
      <c r="I179" s="4" t="s">
        <v>229</v>
      </c>
      <c r="J179" s="3"/>
      <c r="K179" s="1"/>
      <c r="L179" s="1"/>
      <c r="M179" s="1"/>
      <c r="N179" s="1"/>
      <c r="P179" s="1"/>
      <c r="Q179" s="2" t="s">
        <v>525</v>
      </c>
      <c r="R179" s="1" t="str">
        <f>A179</f>
        <v>JLM20210</v>
      </c>
      <c r="S179" s="1"/>
      <c r="T179" s="1">
        <v>0</v>
      </c>
      <c r="U179" s="28"/>
      <c r="V179" s="1"/>
      <c r="W179" s="1"/>
      <c r="X179" s="1"/>
      <c r="Y179" s="2"/>
      <c r="Z179" s="1"/>
      <c r="AB179" s="1" t="s">
        <v>67</v>
      </c>
      <c r="AC179" s="28">
        <f t="shared" si="13"/>
        <v>109480</v>
      </c>
      <c r="AD179" s="1"/>
      <c r="AE179" s="1">
        <f t="shared" si="14"/>
        <v>0</v>
      </c>
      <c r="AF179" s="1"/>
      <c r="AG179" s="1"/>
      <c r="AL179" s="1"/>
      <c r="AO179" s="1"/>
    </row>
    <row r="180" spans="1:41" x14ac:dyDescent="0.25">
      <c r="A180" s="1" t="s">
        <v>523</v>
      </c>
      <c r="B180" s="1" t="s">
        <v>1037</v>
      </c>
      <c r="C180" s="4" t="str">
        <f>Q180</f>
        <v>OIL SEAL</v>
      </c>
      <c r="H180" s="4" t="s">
        <v>227</v>
      </c>
      <c r="I180" s="4" t="s">
        <v>229</v>
      </c>
      <c r="J180" s="3"/>
      <c r="K180" s="1"/>
      <c r="L180" s="1"/>
      <c r="M180" s="1"/>
      <c r="N180" s="1"/>
      <c r="P180" s="1"/>
      <c r="Q180" s="2" t="s">
        <v>522</v>
      </c>
      <c r="R180" s="1" t="str">
        <f>A180</f>
        <v>JLM20211</v>
      </c>
      <c r="S180" s="1"/>
      <c r="T180" s="1">
        <v>0</v>
      </c>
      <c r="U180" s="28"/>
      <c r="V180" s="1"/>
      <c r="W180" s="1"/>
      <c r="X180" s="1"/>
      <c r="Y180" s="2"/>
      <c r="Z180" s="1"/>
      <c r="AB180" s="1" t="s">
        <v>67</v>
      </c>
      <c r="AC180" s="28">
        <f t="shared" si="13"/>
        <v>109480</v>
      </c>
      <c r="AD180" s="1"/>
      <c r="AE180" s="1">
        <f t="shared" si="14"/>
        <v>0</v>
      </c>
      <c r="AF180" s="1"/>
      <c r="AG180" s="1"/>
      <c r="AL180" s="1"/>
      <c r="AO180" s="1"/>
    </row>
    <row r="181" spans="1:41" x14ac:dyDescent="0.25">
      <c r="A181" s="1" t="s">
        <v>401</v>
      </c>
      <c r="B181" s="1" t="s">
        <v>1037</v>
      </c>
      <c r="C181" s="4" t="s">
        <v>400</v>
      </c>
      <c r="H181" s="4" t="s">
        <v>319</v>
      </c>
      <c r="I181" s="4" t="s">
        <v>372</v>
      </c>
      <c r="J181" s="3"/>
      <c r="K181" s="1"/>
      <c r="L181" s="1"/>
      <c r="M181" s="1"/>
      <c r="N181" s="1"/>
      <c r="P181" s="1"/>
      <c r="Q181" s="2" t="s">
        <v>402</v>
      </c>
      <c r="R181" s="1" t="str">
        <f>A181</f>
        <v>JLM20216</v>
      </c>
      <c r="S181" s="1"/>
      <c r="T181" s="1">
        <v>0</v>
      </c>
      <c r="U181" s="28"/>
      <c r="V181" s="1"/>
      <c r="W181" s="1"/>
      <c r="X181" s="1"/>
      <c r="Y181" s="2"/>
      <c r="Z181" s="1"/>
      <c r="AB181" s="1" t="s">
        <v>67</v>
      </c>
      <c r="AC181" s="28">
        <f t="shared" si="13"/>
        <v>109480</v>
      </c>
      <c r="AD181" s="1"/>
      <c r="AE181" s="1">
        <f t="shared" si="14"/>
        <v>0</v>
      </c>
      <c r="AF181" s="1"/>
      <c r="AG181" s="1"/>
      <c r="AL181" s="1"/>
      <c r="AO181" s="1"/>
    </row>
    <row r="182" spans="1:41" x14ac:dyDescent="0.25">
      <c r="A182" s="1" t="s">
        <v>404</v>
      </c>
      <c r="B182" s="1" t="s">
        <v>1037</v>
      </c>
      <c r="C182" s="4" t="s">
        <v>403</v>
      </c>
      <c r="H182" s="4" t="s">
        <v>227</v>
      </c>
      <c r="I182" s="4" t="s">
        <v>372</v>
      </c>
      <c r="J182" s="3"/>
      <c r="K182" s="1"/>
      <c r="L182" s="1"/>
      <c r="M182" s="1"/>
      <c r="N182" s="1"/>
      <c r="P182" s="1"/>
      <c r="Q182" s="2" t="s">
        <v>405</v>
      </c>
      <c r="R182" s="1" t="str">
        <f>A182</f>
        <v>JLM20217</v>
      </c>
      <c r="S182" s="1"/>
      <c r="T182" s="1">
        <v>0</v>
      </c>
      <c r="U182" s="28"/>
      <c r="V182" s="1"/>
      <c r="W182" s="1"/>
      <c r="X182" s="1"/>
      <c r="Y182" s="2"/>
      <c r="Z182" s="1"/>
      <c r="AB182" s="1" t="s">
        <v>67</v>
      </c>
      <c r="AC182" s="28">
        <f t="shared" si="13"/>
        <v>109480</v>
      </c>
      <c r="AD182" s="1"/>
      <c r="AE182" s="1">
        <f t="shared" si="14"/>
        <v>0</v>
      </c>
      <c r="AF182" s="1"/>
      <c r="AG182" s="1"/>
      <c r="AL182" s="1"/>
      <c r="AO182" s="1"/>
    </row>
    <row r="183" spans="1:41" ht="30" x14ac:dyDescent="0.25">
      <c r="A183" s="1" t="s">
        <v>801</v>
      </c>
      <c r="B183" s="1" t="s">
        <v>1037</v>
      </c>
      <c r="C183" s="4" t="s">
        <v>800</v>
      </c>
      <c r="D183" s="28">
        <v>1</v>
      </c>
      <c r="E183" s="2" t="s">
        <v>802</v>
      </c>
      <c r="H183" s="4" t="s">
        <v>461</v>
      </c>
      <c r="I183" s="4" t="s">
        <v>141</v>
      </c>
      <c r="J183" s="3" t="s">
        <v>586</v>
      </c>
      <c r="K183" s="1" t="s">
        <v>59</v>
      </c>
      <c r="L183" s="1" t="s">
        <v>83</v>
      </c>
      <c r="M183" s="1"/>
      <c r="N183" s="1"/>
      <c r="O183" s="1" t="s">
        <v>279</v>
      </c>
      <c r="P183" s="1"/>
      <c r="Q183" s="19" t="s">
        <v>800</v>
      </c>
      <c r="R183" s="1" t="s">
        <v>801</v>
      </c>
      <c r="S183" s="1">
        <v>65</v>
      </c>
      <c r="T183" s="28">
        <v>0</v>
      </c>
      <c r="U183" s="28"/>
      <c r="V183" s="1"/>
      <c r="W183" s="1"/>
      <c r="X183" s="1" t="s">
        <v>47</v>
      </c>
      <c r="Y183" s="2"/>
      <c r="Z183" s="1"/>
      <c r="AA183" s="1" t="s">
        <v>1649</v>
      </c>
      <c r="AB183" s="29" t="s">
        <v>1241</v>
      </c>
      <c r="AC183" s="28">
        <f t="shared" si="13"/>
        <v>109480</v>
      </c>
      <c r="AD183" s="1" t="s">
        <v>41</v>
      </c>
      <c r="AE183" s="1">
        <f t="shared" si="14"/>
        <v>65</v>
      </c>
      <c r="AF183" s="1"/>
      <c r="AG183" s="1"/>
      <c r="AL183" s="1"/>
      <c r="AO183" s="1"/>
    </row>
    <row r="184" spans="1:41" ht="30" x14ac:dyDescent="0.25">
      <c r="A184" s="1" t="s">
        <v>834</v>
      </c>
      <c r="B184" s="1" t="s">
        <v>1037</v>
      </c>
      <c r="C184" s="4" t="s">
        <v>833</v>
      </c>
      <c r="D184" s="28">
        <v>1</v>
      </c>
      <c r="E184" s="2" t="s">
        <v>835</v>
      </c>
      <c r="H184" s="4" t="s">
        <v>75</v>
      </c>
      <c r="I184" s="4" t="s">
        <v>75</v>
      </c>
      <c r="J184" s="3" t="s">
        <v>586</v>
      </c>
      <c r="K184" s="1" t="s">
        <v>59</v>
      </c>
      <c r="L184" s="1" t="s">
        <v>83</v>
      </c>
      <c r="M184" s="1"/>
      <c r="N184" s="1"/>
      <c r="O184" s="1" t="s">
        <v>31</v>
      </c>
      <c r="P184" s="1"/>
      <c r="Q184" s="19" t="s">
        <v>833</v>
      </c>
      <c r="R184" s="1" t="s">
        <v>834</v>
      </c>
      <c r="S184" s="1">
        <v>55</v>
      </c>
      <c r="T184" s="28">
        <v>0</v>
      </c>
      <c r="U184" s="28"/>
      <c r="V184" s="1"/>
      <c r="W184" s="1"/>
      <c r="X184" s="1" t="s">
        <v>47</v>
      </c>
      <c r="Y184" s="2"/>
      <c r="Z184" s="1"/>
      <c r="AA184" s="1" t="s">
        <v>1649</v>
      </c>
      <c r="AB184" s="29" t="s">
        <v>1241</v>
      </c>
      <c r="AC184" s="28">
        <f t="shared" si="13"/>
        <v>109480</v>
      </c>
      <c r="AD184" s="1" t="s">
        <v>41</v>
      </c>
      <c r="AE184" s="1">
        <f t="shared" si="14"/>
        <v>55</v>
      </c>
      <c r="AF184" s="1"/>
      <c r="AG184" s="1"/>
      <c r="AL184" s="1"/>
      <c r="AO184" s="1"/>
    </row>
    <row r="185" spans="1:41" ht="30" x14ac:dyDescent="0.25">
      <c r="A185" s="1" t="s">
        <v>1622</v>
      </c>
      <c r="B185" s="1" t="s">
        <v>1037</v>
      </c>
      <c r="C185" s="4" t="s">
        <v>1623</v>
      </c>
      <c r="D185" s="31">
        <v>1</v>
      </c>
      <c r="E185" s="2" t="s">
        <v>1624</v>
      </c>
      <c r="F185" s="1" t="s">
        <v>110</v>
      </c>
      <c r="G185" s="10" t="s">
        <v>87</v>
      </c>
      <c r="H185" s="4" t="s">
        <v>488</v>
      </c>
      <c r="I185" s="4" t="s">
        <v>372</v>
      </c>
      <c r="J185" s="3" t="s">
        <v>76</v>
      </c>
      <c r="K185" s="1" t="s">
        <v>29</v>
      </c>
      <c r="L185" s="1" t="s">
        <v>83</v>
      </c>
      <c r="M185" s="1" t="s">
        <v>646</v>
      </c>
      <c r="N185" s="1" t="s">
        <v>1625</v>
      </c>
      <c r="O185" s="1" t="s">
        <v>32</v>
      </c>
      <c r="P185" s="1" t="s">
        <v>1626</v>
      </c>
      <c r="Q185" s="25"/>
      <c r="R185" s="2"/>
      <c r="S185" s="13">
        <v>25</v>
      </c>
      <c r="T185" s="28">
        <v>0</v>
      </c>
      <c r="U185" s="36">
        <v>25</v>
      </c>
      <c r="V185" s="13">
        <v>20</v>
      </c>
      <c r="W185" s="13" t="s">
        <v>1513</v>
      </c>
      <c r="X185" s="13" t="s">
        <v>78</v>
      </c>
      <c r="Y185" s="12"/>
      <c r="Z185" s="1"/>
      <c r="AB185" s="1" t="s">
        <v>1241</v>
      </c>
      <c r="AC185" s="28">
        <f t="shared" si="13"/>
        <v>109480</v>
      </c>
      <c r="AD185" s="1" t="s">
        <v>41</v>
      </c>
      <c r="AE185" s="1">
        <v>10</v>
      </c>
      <c r="AF185" s="1"/>
      <c r="AG185" s="1"/>
      <c r="AL185" s="1"/>
      <c r="AO185" s="1"/>
    </row>
    <row r="186" spans="1:41" ht="30" x14ac:dyDescent="0.25">
      <c r="A186" s="2" t="s">
        <v>252</v>
      </c>
      <c r="B186" s="1" t="s">
        <v>1037</v>
      </c>
      <c r="C186" s="4" t="s">
        <v>251</v>
      </c>
      <c r="D186" s="28">
        <v>2</v>
      </c>
      <c r="E186" s="2" t="s">
        <v>253</v>
      </c>
      <c r="F186" s="10" t="s">
        <v>203</v>
      </c>
      <c r="G186" s="10" t="s">
        <v>72</v>
      </c>
      <c r="I186" s="4" t="s">
        <v>27</v>
      </c>
      <c r="J186" s="3"/>
      <c r="K186" s="1" t="s">
        <v>29</v>
      </c>
      <c r="L186" s="1" t="s">
        <v>55</v>
      </c>
      <c r="M186" s="1"/>
      <c r="N186" s="1"/>
      <c r="P186" s="10"/>
      <c r="Q186" s="2" t="s">
        <v>251</v>
      </c>
      <c r="R186" s="2" t="str">
        <f>A186</f>
        <v>JLM20617 / 
C2C41250</v>
      </c>
      <c r="S186" s="1">
        <v>75</v>
      </c>
      <c r="T186" s="28">
        <v>0</v>
      </c>
      <c r="U186" s="28">
        <v>35</v>
      </c>
      <c r="V186" s="1" t="s">
        <v>204</v>
      </c>
      <c r="W186" s="1"/>
      <c r="X186" s="1" t="s">
        <v>47</v>
      </c>
      <c r="Y186" s="12" t="s">
        <v>254</v>
      </c>
      <c r="Z186" s="1"/>
      <c r="AA186" s="1" t="s">
        <v>255</v>
      </c>
      <c r="AB186" s="1" t="s">
        <v>1184</v>
      </c>
      <c r="AC186" s="28">
        <f t="shared" si="13"/>
        <v>109480</v>
      </c>
      <c r="AD186" s="1" t="s">
        <v>175</v>
      </c>
      <c r="AE186" s="1">
        <f t="shared" ref="AE186:AE249" si="15">S186*D186</f>
        <v>150</v>
      </c>
      <c r="AF186" s="1"/>
      <c r="AG186" s="1"/>
      <c r="AL186" s="1"/>
      <c r="AO186" s="1"/>
    </row>
    <row r="187" spans="1:41" ht="30" x14ac:dyDescent="0.25">
      <c r="A187" s="1" t="s">
        <v>748</v>
      </c>
      <c r="B187" s="1" t="s">
        <v>1037</v>
      </c>
      <c r="C187" s="4" t="s">
        <v>968</v>
      </c>
      <c r="D187" s="28">
        <v>0</v>
      </c>
      <c r="E187" s="2" t="s">
        <v>970</v>
      </c>
      <c r="F187" s="10" t="s">
        <v>750</v>
      </c>
      <c r="G187" s="10" t="s">
        <v>72</v>
      </c>
      <c r="H187" s="4" t="s">
        <v>969</v>
      </c>
      <c r="I187" s="4" t="s">
        <v>463</v>
      </c>
      <c r="J187" s="3" t="s">
        <v>101</v>
      </c>
      <c r="K187" s="1" t="s">
        <v>29</v>
      </c>
      <c r="L187" s="1" t="s">
        <v>55</v>
      </c>
      <c r="M187" s="1" t="s">
        <v>84</v>
      </c>
      <c r="N187" s="1"/>
      <c r="O187" s="1" t="s">
        <v>32</v>
      </c>
      <c r="P187" s="10"/>
      <c r="Q187" s="2" t="s">
        <v>971</v>
      </c>
      <c r="R187" s="1" t="s">
        <v>748</v>
      </c>
      <c r="S187" s="1">
        <v>15</v>
      </c>
      <c r="T187" s="1">
        <v>0</v>
      </c>
      <c r="U187" s="28"/>
      <c r="V187" s="1"/>
      <c r="W187" s="1"/>
      <c r="X187" s="1"/>
      <c r="Y187" s="2"/>
      <c r="Z187" s="1"/>
      <c r="AB187" s="1"/>
      <c r="AC187" s="28">
        <f t="shared" si="13"/>
        <v>109480</v>
      </c>
      <c r="AD187" s="1" t="s">
        <v>972</v>
      </c>
      <c r="AE187" s="1">
        <f t="shared" si="15"/>
        <v>0</v>
      </c>
      <c r="AF187" s="1"/>
      <c r="AG187" s="1"/>
      <c r="AL187" s="1"/>
      <c r="AO187" s="1"/>
    </row>
    <row r="188" spans="1:41" ht="30" x14ac:dyDescent="0.25">
      <c r="A188" s="1" t="s">
        <v>748</v>
      </c>
      <c r="B188" s="1" t="s">
        <v>1037</v>
      </c>
      <c r="C188" s="4" t="s">
        <v>747</v>
      </c>
      <c r="D188" s="28">
        <v>0</v>
      </c>
      <c r="E188" s="2" t="s">
        <v>749</v>
      </c>
      <c r="F188" s="10" t="s">
        <v>750</v>
      </c>
      <c r="G188" s="10" t="s">
        <v>72</v>
      </c>
      <c r="H188" s="4" t="s">
        <v>193</v>
      </c>
      <c r="I188" s="4" t="s">
        <v>463</v>
      </c>
      <c r="J188" s="3" t="s">
        <v>101</v>
      </c>
      <c r="K188" s="1" t="s">
        <v>29</v>
      </c>
      <c r="L188" s="1" t="s">
        <v>55</v>
      </c>
      <c r="M188" s="1" t="s">
        <v>84</v>
      </c>
      <c r="N188" s="1"/>
      <c r="O188" s="1" t="s">
        <v>32</v>
      </c>
      <c r="P188" s="10"/>
      <c r="Q188" s="2" t="s">
        <v>751</v>
      </c>
      <c r="R188" s="1" t="s">
        <v>748</v>
      </c>
      <c r="S188" s="1">
        <v>35</v>
      </c>
      <c r="T188" s="1">
        <v>0</v>
      </c>
      <c r="U188" s="28"/>
      <c r="V188" s="1"/>
      <c r="W188" s="1"/>
      <c r="X188" s="1"/>
      <c r="Y188" s="2"/>
      <c r="Z188" s="1"/>
      <c r="AB188" s="1"/>
      <c r="AC188" s="28">
        <f t="shared" si="13"/>
        <v>109480</v>
      </c>
      <c r="AD188" s="1"/>
      <c r="AE188" s="1">
        <f t="shared" si="15"/>
        <v>0</v>
      </c>
      <c r="AF188" s="1"/>
      <c r="AG188" s="1"/>
      <c r="AL188" s="1"/>
      <c r="AO188" s="1"/>
    </row>
    <row r="189" spans="1:41" ht="30" x14ac:dyDescent="0.25">
      <c r="A189" s="1" t="s">
        <v>978</v>
      </c>
      <c r="B189" s="1" t="s">
        <v>1037</v>
      </c>
      <c r="C189" s="4" t="s">
        <v>977</v>
      </c>
      <c r="D189" s="28">
        <v>0</v>
      </c>
      <c r="E189" s="2" t="s">
        <v>979</v>
      </c>
      <c r="F189" s="10" t="s">
        <v>750</v>
      </c>
      <c r="G189" s="10" t="s">
        <v>72</v>
      </c>
      <c r="H189" s="4" t="s">
        <v>598</v>
      </c>
      <c r="I189" s="4" t="s">
        <v>151</v>
      </c>
      <c r="J189" s="3" t="s">
        <v>101</v>
      </c>
      <c r="K189" s="1" t="s">
        <v>29</v>
      </c>
      <c r="L189" s="1" t="s">
        <v>55</v>
      </c>
      <c r="M189" s="1" t="s">
        <v>84</v>
      </c>
      <c r="N189" s="1" t="s">
        <v>422</v>
      </c>
      <c r="P189" s="10"/>
      <c r="Q189" s="2" t="s">
        <v>976</v>
      </c>
      <c r="R189" s="2" t="str">
        <f>A189</f>
        <v>JLM20684</v>
      </c>
      <c r="S189" s="1">
        <v>5</v>
      </c>
      <c r="T189" s="1">
        <v>0</v>
      </c>
      <c r="U189" s="28"/>
      <c r="V189" s="1"/>
      <c r="W189" s="1"/>
      <c r="X189" s="1"/>
      <c r="Y189" s="2"/>
      <c r="Z189" s="1"/>
      <c r="AB189" s="1"/>
      <c r="AC189" s="28">
        <f t="shared" si="13"/>
        <v>109480</v>
      </c>
      <c r="AD189" s="1" t="s">
        <v>972</v>
      </c>
      <c r="AE189" s="1">
        <f t="shared" si="15"/>
        <v>0</v>
      </c>
      <c r="AF189" s="1"/>
      <c r="AG189" s="1"/>
      <c r="AL189" s="1"/>
      <c r="AO189" s="1"/>
    </row>
    <row r="190" spans="1:41" ht="45" x14ac:dyDescent="0.25">
      <c r="A190" s="1" t="s">
        <v>974</v>
      </c>
      <c r="B190" s="1" t="s">
        <v>1037</v>
      </c>
      <c r="C190" s="4" t="s">
        <v>973</v>
      </c>
      <c r="D190" s="28">
        <v>0</v>
      </c>
      <c r="E190" s="2" t="s">
        <v>975</v>
      </c>
      <c r="F190" s="10" t="s">
        <v>750</v>
      </c>
      <c r="G190" s="10" t="s">
        <v>72</v>
      </c>
      <c r="H190" s="4" t="s">
        <v>598</v>
      </c>
      <c r="I190" s="4" t="s">
        <v>151</v>
      </c>
      <c r="J190" s="3" t="s">
        <v>101</v>
      </c>
      <c r="K190" s="1" t="s">
        <v>29</v>
      </c>
      <c r="L190" s="1" t="s">
        <v>55</v>
      </c>
      <c r="M190" s="1" t="s">
        <v>84</v>
      </c>
      <c r="N190" s="1" t="s">
        <v>418</v>
      </c>
      <c r="P190" s="10"/>
      <c r="Q190" s="2" t="s">
        <v>976</v>
      </c>
      <c r="R190" s="2" t="str">
        <f>A190</f>
        <v>JLM20685</v>
      </c>
      <c r="S190" s="1">
        <v>5</v>
      </c>
      <c r="T190" s="1">
        <v>0</v>
      </c>
      <c r="U190" s="28"/>
      <c r="V190" s="1"/>
      <c r="W190" s="1"/>
      <c r="X190" s="1"/>
      <c r="Y190" s="2"/>
      <c r="Z190" s="1"/>
      <c r="AB190" s="1"/>
      <c r="AC190" s="28">
        <f t="shared" si="13"/>
        <v>109480</v>
      </c>
      <c r="AD190" s="1" t="s">
        <v>972</v>
      </c>
      <c r="AE190" s="1">
        <f t="shared" si="15"/>
        <v>0</v>
      </c>
      <c r="AF190" s="1"/>
      <c r="AG190" s="1"/>
      <c r="AL190" s="1"/>
      <c r="AO190" s="1"/>
    </row>
    <row r="191" spans="1:41" x14ac:dyDescent="0.25">
      <c r="A191" s="1" t="s">
        <v>707</v>
      </c>
      <c r="B191" s="1" t="s">
        <v>1037</v>
      </c>
      <c r="C191" s="4" t="s">
        <v>705</v>
      </c>
      <c r="E191" s="1" t="s">
        <v>708</v>
      </c>
      <c r="F191" s="10" t="s">
        <v>203</v>
      </c>
      <c r="G191" s="10" t="s">
        <v>72</v>
      </c>
      <c r="H191" s="4" t="s">
        <v>706</v>
      </c>
      <c r="I191" s="4" t="s">
        <v>603</v>
      </c>
      <c r="J191" s="3" t="s">
        <v>101</v>
      </c>
      <c r="K191" s="1" t="s">
        <v>29</v>
      </c>
      <c r="L191" s="1" t="s">
        <v>55</v>
      </c>
      <c r="M191" s="1"/>
      <c r="N191" s="1"/>
      <c r="P191" s="10"/>
      <c r="Q191" s="2" t="s">
        <v>709</v>
      </c>
      <c r="R191" s="1" t="s">
        <v>707</v>
      </c>
      <c r="S191" s="1"/>
      <c r="T191" s="1">
        <v>0</v>
      </c>
      <c r="U191" s="28"/>
      <c r="V191" s="1"/>
      <c r="W191" s="1"/>
      <c r="X191" s="1"/>
      <c r="Y191" s="2"/>
      <c r="Z191" s="1"/>
      <c r="AA191" s="1" t="s">
        <v>282</v>
      </c>
      <c r="AB191" s="1" t="s">
        <v>710</v>
      </c>
      <c r="AC191" s="28">
        <f t="shared" si="13"/>
        <v>109480</v>
      </c>
      <c r="AD191" s="1"/>
      <c r="AE191" s="1">
        <f t="shared" si="15"/>
        <v>0</v>
      </c>
      <c r="AF191" s="1"/>
      <c r="AG191" s="1"/>
      <c r="AL191" s="1"/>
      <c r="AO191" s="1"/>
    </row>
    <row r="192" spans="1:41" ht="30" x14ac:dyDescent="0.25">
      <c r="A192" s="1" t="s">
        <v>985</v>
      </c>
      <c r="B192" s="1" t="s">
        <v>1037</v>
      </c>
      <c r="C192" s="4" t="s">
        <v>982</v>
      </c>
      <c r="D192" s="28">
        <v>0</v>
      </c>
      <c r="E192" s="2" t="s">
        <v>984</v>
      </c>
      <c r="F192" s="10" t="s">
        <v>203</v>
      </c>
      <c r="G192" s="10" t="s">
        <v>72</v>
      </c>
      <c r="H192" s="4" t="s">
        <v>781</v>
      </c>
      <c r="I192" s="4" t="s">
        <v>781</v>
      </c>
      <c r="J192" s="3"/>
      <c r="K192" s="1" t="s">
        <v>59</v>
      </c>
      <c r="L192" s="1" t="s">
        <v>55</v>
      </c>
      <c r="M192" s="1"/>
      <c r="N192" s="1"/>
      <c r="P192" s="10"/>
      <c r="R192" s="2" t="str">
        <f>A192</f>
        <v>JLM21053</v>
      </c>
      <c r="S192" s="1"/>
      <c r="T192" s="1">
        <v>0</v>
      </c>
      <c r="U192" s="28"/>
      <c r="V192" s="1"/>
      <c r="W192" s="1"/>
      <c r="X192" s="1"/>
      <c r="Y192" s="2"/>
      <c r="Z192" s="1"/>
      <c r="AB192" s="1"/>
      <c r="AC192" s="28">
        <f t="shared" si="13"/>
        <v>109480</v>
      </c>
      <c r="AD192" s="1"/>
      <c r="AE192" s="1">
        <f t="shared" si="15"/>
        <v>0</v>
      </c>
      <c r="AF192" s="1"/>
      <c r="AG192" s="1"/>
      <c r="AL192" s="1"/>
      <c r="AO192" s="1"/>
    </row>
    <row r="193" spans="1:41" x14ac:dyDescent="0.25">
      <c r="A193" s="1" t="s">
        <v>331</v>
      </c>
      <c r="B193" s="1" t="s">
        <v>1037</v>
      </c>
      <c r="C193" s="4" t="s">
        <v>330</v>
      </c>
      <c r="H193" s="4" t="s">
        <v>322</v>
      </c>
      <c r="I193" s="4" t="s">
        <v>332</v>
      </c>
      <c r="J193" s="4"/>
      <c r="K193" s="1"/>
      <c r="L193" s="1"/>
      <c r="M193" s="1"/>
      <c r="N193" s="1"/>
      <c r="O193" s="2"/>
      <c r="P193" s="1"/>
      <c r="Q193" s="2" t="s">
        <v>333</v>
      </c>
      <c r="R193" s="1" t="s">
        <v>331</v>
      </c>
      <c r="S193" s="1"/>
      <c r="T193" s="1">
        <v>0</v>
      </c>
      <c r="U193" s="28"/>
      <c r="V193" s="1"/>
      <c r="W193" s="1"/>
      <c r="X193" s="1"/>
      <c r="Y193" s="2"/>
      <c r="Z193" s="1"/>
      <c r="AB193" s="1" t="s">
        <v>67</v>
      </c>
      <c r="AC193" s="28">
        <f t="shared" si="13"/>
        <v>109480</v>
      </c>
      <c r="AD193" s="1"/>
      <c r="AE193" s="1">
        <f t="shared" si="15"/>
        <v>0</v>
      </c>
      <c r="AF193" s="1"/>
      <c r="AG193" s="1"/>
      <c r="AL193" s="1"/>
      <c r="AO193" s="1"/>
    </row>
    <row r="194" spans="1:41" x14ac:dyDescent="0.25">
      <c r="A194" s="1" t="s">
        <v>191</v>
      </c>
      <c r="B194" s="1" t="s">
        <v>1037</v>
      </c>
      <c r="C194" s="4" t="str">
        <f>Q194</f>
        <v>Brake Pads</v>
      </c>
      <c r="D194" s="28">
        <v>0</v>
      </c>
      <c r="H194" s="4" t="s">
        <v>189</v>
      </c>
      <c r="I194" s="4" t="s">
        <v>27</v>
      </c>
      <c r="J194" s="3"/>
      <c r="K194" s="1" t="s">
        <v>59</v>
      </c>
      <c r="L194" s="1"/>
      <c r="M194" s="1"/>
      <c r="N194" s="1"/>
      <c r="P194" s="1"/>
      <c r="Q194" s="19" t="s">
        <v>189</v>
      </c>
      <c r="S194" s="1"/>
      <c r="T194" s="1">
        <v>0</v>
      </c>
      <c r="U194" s="28"/>
      <c r="V194" s="1"/>
      <c r="W194" s="1"/>
      <c r="X194" s="1"/>
      <c r="Y194" s="2"/>
      <c r="Z194" s="1"/>
      <c r="AB194" s="1" t="s">
        <v>67</v>
      </c>
      <c r="AC194" s="28">
        <f t="shared" si="13"/>
        <v>109480</v>
      </c>
      <c r="AD194" s="1"/>
      <c r="AE194" s="1">
        <f t="shared" si="15"/>
        <v>0</v>
      </c>
      <c r="AF194" s="1"/>
      <c r="AG194" s="1"/>
      <c r="AL194" s="1"/>
      <c r="AO194" s="1"/>
    </row>
    <row r="195" spans="1:41" x14ac:dyDescent="0.25">
      <c r="A195" s="1" t="s">
        <v>1387</v>
      </c>
      <c r="B195" s="1" t="s">
        <v>1291</v>
      </c>
      <c r="C195" s="4" t="s">
        <v>1388</v>
      </c>
      <c r="E195" s="2"/>
      <c r="H195" s="4" t="s">
        <v>189</v>
      </c>
      <c r="I195" s="4" t="s">
        <v>27</v>
      </c>
      <c r="J195" s="3"/>
      <c r="K195" s="1" t="s">
        <v>59</v>
      </c>
      <c r="L195" s="1" t="s">
        <v>55</v>
      </c>
      <c r="M195" s="1"/>
      <c r="N195" s="1"/>
      <c r="P195" s="1"/>
      <c r="R195" s="2"/>
      <c r="S195" s="1"/>
      <c r="T195" s="1">
        <v>0</v>
      </c>
      <c r="U195" s="28"/>
      <c r="V195" s="1"/>
      <c r="W195" s="1"/>
      <c r="X195" s="1"/>
      <c r="Y195" s="2"/>
      <c r="Z195" s="1"/>
      <c r="AB195" s="1"/>
      <c r="AC195" s="28">
        <f t="shared" si="13"/>
        <v>109480</v>
      </c>
      <c r="AD195" s="1"/>
      <c r="AE195" s="1">
        <f t="shared" si="15"/>
        <v>0</v>
      </c>
      <c r="AF195" s="1"/>
      <c r="AG195" s="1"/>
      <c r="AL195" s="1"/>
      <c r="AO195" s="1"/>
    </row>
    <row r="196" spans="1:41" x14ac:dyDescent="0.25">
      <c r="A196" s="1" t="s">
        <v>773</v>
      </c>
      <c r="B196" s="1" t="s">
        <v>1037</v>
      </c>
      <c r="C196" s="4" t="s">
        <v>772</v>
      </c>
      <c r="H196" s="4" t="s">
        <v>25</v>
      </c>
      <c r="I196" s="4" t="s">
        <v>335</v>
      </c>
      <c r="J196" s="3"/>
      <c r="K196" s="1"/>
      <c r="L196" s="1"/>
      <c r="M196" s="1"/>
      <c r="N196" s="1"/>
      <c r="P196" s="1"/>
      <c r="Q196" s="2" t="s">
        <v>774</v>
      </c>
      <c r="R196" s="1" t="str">
        <f>A196</f>
        <v>JLM21594</v>
      </c>
      <c r="S196" s="1"/>
      <c r="T196" s="1">
        <v>0</v>
      </c>
      <c r="U196" s="28"/>
      <c r="V196" s="1"/>
      <c r="W196" s="1"/>
      <c r="X196" s="1"/>
      <c r="Y196" s="2"/>
      <c r="Z196" s="1"/>
      <c r="AB196" s="1" t="s">
        <v>67</v>
      </c>
      <c r="AC196" s="28">
        <f t="shared" si="13"/>
        <v>109480</v>
      </c>
      <c r="AD196" s="1"/>
      <c r="AE196" s="1">
        <f t="shared" si="15"/>
        <v>0</v>
      </c>
      <c r="AF196" s="1"/>
      <c r="AG196" s="1"/>
      <c r="AL196" s="1"/>
      <c r="AO196" s="1"/>
    </row>
    <row r="197" spans="1:41" ht="45" x14ac:dyDescent="0.25">
      <c r="A197" s="1" t="s">
        <v>224</v>
      </c>
      <c r="B197" s="1" t="s">
        <v>1037</v>
      </c>
      <c r="C197" s="4" t="s">
        <v>222</v>
      </c>
      <c r="D197" s="28">
        <v>4</v>
      </c>
      <c r="E197" s="2" t="s">
        <v>226</v>
      </c>
      <c r="H197" s="4" t="s">
        <v>223</v>
      </c>
      <c r="I197" s="4" t="s">
        <v>225</v>
      </c>
      <c r="J197" s="3"/>
      <c r="K197" s="1" t="s">
        <v>29</v>
      </c>
      <c r="L197" s="1" t="s">
        <v>55</v>
      </c>
      <c r="M197" s="1"/>
      <c r="N197" s="1"/>
      <c r="P197" s="1"/>
      <c r="Q197" s="2" t="str">
        <f>C197</f>
        <v>Brake Caliper to vertical link Bold</v>
      </c>
      <c r="R197" s="2" t="str">
        <f>A197</f>
        <v>JZB100010</v>
      </c>
      <c r="S197" s="1">
        <v>2</v>
      </c>
      <c r="T197" s="28">
        <v>0</v>
      </c>
      <c r="U197" s="28">
        <v>4</v>
      </c>
      <c r="V197" s="1"/>
      <c r="W197" s="1"/>
      <c r="X197" s="1" t="s">
        <v>78</v>
      </c>
      <c r="Y197" s="2" t="s">
        <v>31</v>
      </c>
      <c r="Z197" s="1"/>
      <c r="AB197" s="1" t="s">
        <v>1184</v>
      </c>
      <c r="AC197" s="28">
        <f t="shared" si="13"/>
        <v>109480</v>
      </c>
      <c r="AD197" s="1" t="s">
        <v>175</v>
      </c>
      <c r="AE197" s="1">
        <f t="shared" si="15"/>
        <v>8</v>
      </c>
      <c r="AF197" s="1"/>
      <c r="AG197" s="1"/>
      <c r="AL197" s="1"/>
      <c r="AO197" s="1"/>
    </row>
    <row r="198" spans="1:41" ht="30" x14ac:dyDescent="0.25">
      <c r="A198" s="1" t="s">
        <v>989</v>
      </c>
      <c r="B198" s="1" t="s">
        <v>1037</v>
      </c>
      <c r="C198" s="4" t="s">
        <v>987</v>
      </c>
      <c r="E198" s="2" t="s">
        <v>990</v>
      </c>
      <c r="H198" s="4" t="s">
        <v>988</v>
      </c>
      <c r="I198" s="4" t="s">
        <v>781</v>
      </c>
      <c r="J198" s="3"/>
      <c r="K198" s="1" t="s">
        <v>59</v>
      </c>
      <c r="L198" s="1" t="s">
        <v>55</v>
      </c>
      <c r="M198" s="1"/>
      <c r="N198" s="1"/>
      <c r="P198" s="1"/>
      <c r="R198" s="2" t="str">
        <f>A198</f>
        <v xml:space="preserve">JZN100035  </v>
      </c>
      <c r="S198" s="1"/>
      <c r="T198" s="1">
        <v>0</v>
      </c>
      <c r="U198" s="28"/>
      <c r="V198" s="1"/>
      <c r="W198" s="1"/>
      <c r="X198" s="1"/>
      <c r="Y198" s="2"/>
      <c r="Z198" s="1"/>
      <c r="AB198" s="1"/>
      <c r="AC198" s="28">
        <f t="shared" si="13"/>
        <v>109480</v>
      </c>
      <c r="AD198" s="1"/>
      <c r="AE198" s="1">
        <f t="shared" si="15"/>
        <v>0</v>
      </c>
      <c r="AF198" s="1"/>
      <c r="AG198" s="1"/>
      <c r="AL198" s="1"/>
      <c r="AO198" s="1"/>
    </row>
    <row r="199" spans="1:41" x14ac:dyDescent="0.25">
      <c r="A199" s="1" t="s">
        <v>810</v>
      </c>
      <c r="B199" s="1" t="s">
        <v>1037</v>
      </c>
      <c r="C199" s="4" t="s">
        <v>809</v>
      </c>
      <c r="E199" s="2"/>
      <c r="H199" s="4" t="s">
        <v>223</v>
      </c>
      <c r="I199" s="4" t="s">
        <v>225</v>
      </c>
      <c r="J199" s="3" t="s">
        <v>101</v>
      </c>
      <c r="K199" s="1" t="s">
        <v>29</v>
      </c>
      <c r="L199" s="1" t="s">
        <v>55</v>
      </c>
      <c r="M199" s="1"/>
      <c r="N199" s="1"/>
      <c r="P199" s="1"/>
      <c r="S199" s="1"/>
      <c r="T199" s="1">
        <v>0</v>
      </c>
      <c r="U199" s="28"/>
      <c r="V199" s="1"/>
      <c r="W199" s="1"/>
      <c r="X199" s="1"/>
      <c r="Y199" s="2"/>
      <c r="Z199" s="1"/>
      <c r="AB199" s="1"/>
      <c r="AC199" s="28">
        <f t="shared" si="13"/>
        <v>109480</v>
      </c>
      <c r="AD199" s="1"/>
      <c r="AE199" s="1">
        <f t="shared" si="15"/>
        <v>0</v>
      </c>
      <c r="AF199" s="1"/>
      <c r="AG199" s="1"/>
      <c r="AL199" s="1"/>
      <c r="AO199" s="1"/>
    </row>
    <row r="200" spans="1:41" x14ac:dyDescent="0.25">
      <c r="A200" s="1" t="s">
        <v>599</v>
      </c>
      <c r="B200" s="1" t="s">
        <v>1037</v>
      </c>
      <c r="C200" s="4" t="s">
        <v>597</v>
      </c>
      <c r="H200" s="4" t="s">
        <v>598</v>
      </c>
      <c r="I200" s="4"/>
      <c r="J200" s="4" t="s">
        <v>101</v>
      </c>
      <c r="K200" s="1"/>
      <c r="L200" s="1"/>
      <c r="M200" s="1"/>
      <c r="N200" s="1"/>
      <c r="P200" s="1"/>
      <c r="R200" s="1" t="s">
        <v>599</v>
      </c>
      <c r="S200" s="1"/>
      <c r="T200" s="1">
        <v>0</v>
      </c>
      <c r="U200" s="28" t="s">
        <v>600</v>
      </c>
      <c r="V200" s="1"/>
      <c r="W200" s="1"/>
      <c r="X200" s="1"/>
      <c r="Y200" s="2"/>
      <c r="Z200" s="1"/>
      <c r="AB200" s="1" t="s">
        <v>67</v>
      </c>
      <c r="AC200" s="28">
        <f t="shared" ref="AC200:AC226" si="16">68000*1.61</f>
        <v>109480</v>
      </c>
      <c r="AD200" s="1"/>
      <c r="AE200" s="1">
        <f t="shared" si="15"/>
        <v>0</v>
      </c>
      <c r="AF200" s="1"/>
      <c r="AG200" s="1"/>
      <c r="AL200" s="1"/>
      <c r="AO200" s="1"/>
    </row>
    <row r="201" spans="1:41" x14ac:dyDescent="0.25">
      <c r="A201" s="1" t="s">
        <v>552</v>
      </c>
      <c r="B201" s="1" t="s">
        <v>1037</v>
      </c>
      <c r="C201" s="4" t="s">
        <v>551</v>
      </c>
      <c r="H201" s="4" t="s">
        <v>223</v>
      </c>
      <c r="I201" s="4"/>
      <c r="J201" s="4"/>
      <c r="K201" s="1"/>
      <c r="L201" s="1"/>
      <c r="M201" s="1"/>
      <c r="N201" s="1"/>
      <c r="O201" s="2"/>
      <c r="P201" s="1"/>
      <c r="Q201" s="2" t="s">
        <v>553</v>
      </c>
      <c r="R201" s="1" t="str">
        <f>A201</f>
        <v>KRS116140</v>
      </c>
      <c r="S201" s="1"/>
      <c r="T201" s="1">
        <v>0</v>
      </c>
      <c r="U201" s="28" t="s">
        <v>554</v>
      </c>
      <c r="V201" s="1"/>
      <c r="W201" s="1"/>
      <c r="X201" s="1"/>
      <c r="Y201" s="2"/>
      <c r="Z201" s="1"/>
      <c r="AB201" s="1" t="s">
        <v>555</v>
      </c>
      <c r="AC201" s="28">
        <f t="shared" si="16"/>
        <v>109480</v>
      </c>
      <c r="AD201" s="1"/>
      <c r="AE201" s="1">
        <f t="shared" si="15"/>
        <v>0</v>
      </c>
      <c r="AF201" s="1"/>
      <c r="AG201" s="1"/>
      <c r="AL201" s="1"/>
      <c r="AO201" s="1"/>
    </row>
    <row r="202" spans="1:41" x14ac:dyDescent="0.25">
      <c r="A202" s="1" t="s">
        <v>530</v>
      </c>
      <c r="B202" s="1" t="s">
        <v>1037</v>
      </c>
      <c r="C202" s="4" t="str">
        <f>Q202</f>
        <v>O-RING TIMING COVER</v>
      </c>
      <c r="H202" s="4" t="s">
        <v>227</v>
      </c>
      <c r="I202" s="4" t="s">
        <v>229</v>
      </c>
      <c r="J202" s="3"/>
      <c r="K202" s="1"/>
      <c r="L202" s="1"/>
      <c r="M202" s="1"/>
      <c r="N202" s="1"/>
      <c r="P202" s="1"/>
      <c r="Q202" s="2" t="s">
        <v>531</v>
      </c>
      <c r="R202" s="1" t="str">
        <f>A202</f>
        <v>KSC145624</v>
      </c>
      <c r="S202" s="1"/>
      <c r="T202" s="1">
        <v>0</v>
      </c>
      <c r="U202" s="28"/>
      <c r="V202" s="1"/>
      <c r="W202" s="1"/>
      <c r="X202" s="1"/>
      <c r="Y202" s="2"/>
      <c r="Z202" s="1"/>
      <c r="AB202" s="1" t="s">
        <v>67</v>
      </c>
      <c r="AC202" s="28">
        <f t="shared" si="16"/>
        <v>109480</v>
      </c>
      <c r="AD202" s="1"/>
      <c r="AE202" s="1">
        <f t="shared" si="15"/>
        <v>0</v>
      </c>
      <c r="AF202" s="1"/>
      <c r="AG202" s="1"/>
      <c r="AL202" s="1"/>
      <c r="AO202" s="1"/>
    </row>
    <row r="203" spans="1:41" ht="30" x14ac:dyDescent="0.25">
      <c r="A203" s="1" t="s">
        <v>828</v>
      </c>
      <c r="B203" s="1" t="s">
        <v>1037</v>
      </c>
      <c r="C203" s="4" t="s">
        <v>827</v>
      </c>
      <c r="E203" s="2" t="s">
        <v>829</v>
      </c>
      <c r="H203" s="4" t="s">
        <v>598</v>
      </c>
      <c r="I203" s="4" t="s">
        <v>344</v>
      </c>
      <c r="J203" s="4" t="s">
        <v>101</v>
      </c>
      <c r="K203" s="1" t="s">
        <v>29</v>
      </c>
      <c r="L203" s="1" t="s">
        <v>55</v>
      </c>
      <c r="M203" s="1"/>
      <c r="N203" s="1"/>
      <c r="O203" s="2"/>
      <c r="P203" s="1"/>
      <c r="Q203" s="2" t="s">
        <v>830</v>
      </c>
      <c r="R203" s="1" t="s">
        <v>831</v>
      </c>
      <c r="S203" s="1"/>
      <c r="T203" s="1">
        <v>0</v>
      </c>
      <c r="U203" s="28" t="s">
        <v>832</v>
      </c>
      <c r="V203" s="1"/>
      <c r="W203" s="1"/>
      <c r="X203" s="1"/>
      <c r="Y203" s="2"/>
      <c r="Z203" s="1"/>
      <c r="AB203" s="1" t="s">
        <v>307</v>
      </c>
      <c r="AC203" s="28">
        <f t="shared" si="16"/>
        <v>109480</v>
      </c>
      <c r="AD203" s="1"/>
      <c r="AE203" s="1">
        <f t="shared" si="15"/>
        <v>0</v>
      </c>
      <c r="AF203" s="1"/>
      <c r="AG203" s="1"/>
      <c r="AL203" s="1"/>
      <c r="AO203" s="1"/>
    </row>
    <row r="204" spans="1:41" ht="75" x14ac:dyDescent="0.25">
      <c r="A204" s="1" t="s">
        <v>655</v>
      </c>
      <c r="B204" s="1" t="s">
        <v>1037</v>
      </c>
      <c r="C204" s="4" t="s">
        <v>654</v>
      </c>
      <c r="E204" s="2"/>
      <c r="H204" s="4" t="s">
        <v>488</v>
      </c>
      <c r="I204" s="4" t="s">
        <v>656</v>
      </c>
      <c r="J204" s="3"/>
      <c r="K204" s="1" t="s">
        <v>29</v>
      </c>
      <c r="L204" s="1" t="s">
        <v>60</v>
      </c>
      <c r="M204" s="1"/>
      <c r="N204" s="1"/>
      <c r="P204" s="1"/>
      <c r="R204" s="1" t="s">
        <v>655</v>
      </c>
      <c r="S204" s="1"/>
      <c r="T204" s="1">
        <v>0</v>
      </c>
      <c r="U204" s="28" t="s">
        <v>657</v>
      </c>
      <c r="V204" s="1"/>
      <c r="W204" s="1"/>
      <c r="X204" s="1"/>
      <c r="Y204" s="12" t="s">
        <v>1038</v>
      </c>
      <c r="Z204" s="1"/>
      <c r="AB204" s="1" t="s">
        <v>94</v>
      </c>
      <c r="AC204" s="28">
        <f t="shared" si="16"/>
        <v>109480</v>
      </c>
      <c r="AD204" s="1"/>
      <c r="AE204" s="1">
        <f t="shared" si="15"/>
        <v>0</v>
      </c>
      <c r="AF204" s="1"/>
      <c r="AG204" s="1"/>
      <c r="AL204" s="1"/>
      <c r="AO204" s="1"/>
    </row>
    <row r="205" spans="1:41" ht="30" x14ac:dyDescent="0.25">
      <c r="A205" s="1" t="s">
        <v>270</v>
      </c>
      <c r="B205" s="1" t="s">
        <v>1037</v>
      </c>
      <c r="C205" s="4" t="s">
        <v>268</v>
      </c>
      <c r="D205" s="28">
        <v>0</v>
      </c>
      <c r="E205" s="2" t="s">
        <v>272</v>
      </c>
      <c r="H205" s="4" t="s">
        <v>269</v>
      </c>
      <c r="I205" s="4" t="s">
        <v>271</v>
      </c>
      <c r="J205" s="3" t="s">
        <v>28</v>
      </c>
      <c r="K205" s="1" t="s">
        <v>29</v>
      </c>
      <c r="L205" s="1" t="s">
        <v>60</v>
      </c>
      <c r="M205" s="1"/>
      <c r="N205" s="1"/>
      <c r="O205" s="1" t="s">
        <v>32</v>
      </c>
      <c r="P205" s="1"/>
      <c r="Q205" s="19" t="s">
        <v>268</v>
      </c>
      <c r="R205" s="2" t="str">
        <f>A205</f>
        <v>LJA1530BB</v>
      </c>
      <c r="S205" s="1"/>
      <c r="T205" s="28">
        <v>0</v>
      </c>
      <c r="U205" s="28"/>
      <c r="V205" s="1"/>
      <c r="W205" s="1"/>
      <c r="X205" s="1"/>
      <c r="Y205" s="2"/>
      <c r="Z205" s="1"/>
      <c r="AB205" s="29" t="s">
        <v>1241</v>
      </c>
      <c r="AC205" s="28">
        <f t="shared" si="16"/>
        <v>109480</v>
      </c>
      <c r="AD205" s="1" t="s">
        <v>41</v>
      </c>
      <c r="AE205" s="1">
        <f t="shared" si="15"/>
        <v>0</v>
      </c>
      <c r="AF205" s="1"/>
      <c r="AG205" s="1"/>
      <c r="AL205" s="1"/>
      <c r="AO205" s="1"/>
    </row>
    <row r="206" spans="1:41" ht="90" x14ac:dyDescent="0.25">
      <c r="A206" s="1" t="s">
        <v>496</v>
      </c>
      <c r="B206" s="1" t="s">
        <v>1037</v>
      </c>
      <c r="C206" s="4" t="s">
        <v>503</v>
      </c>
      <c r="D206" s="28">
        <v>0</v>
      </c>
      <c r="H206" s="4" t="s">
        <v>52</v>
      </c>
      <c r="I206" s="4" t="s">
        <v>354</v>
      </c>
      <c r="J206" s="4"/>
      <c r="K206" s="1"/>
      <c r="L206" s="1"/>
      <c r="M206" s="1" t="s">
        <v>167</v>
      </c>
      <c r="N206" s="1"/>
      <c r="O206" s="2"/>
      <c r="P206" s="1"/>
      <c r="S206" s="1"/>
      <c r="T206" s="1">
        <v>0</v>
      </c>
      <c r="U206" s="28" t="s">
        <v>504</v>
      </c>
      <c r="V206" s="1"/>
      <c r="W206" s="1"/>
      <c r="X206" s="1"/>
      <c r="Y206" s="12" t="s">
        <v>502</v>
      </c>
      <c r="Z206" s="1"/>
      <c r="AB206" s="1"/>
      <c r="AC206" s="28">
        <f t="shared" si="16"/>
        <v>109480</v>
      </c>
      <c r="AD206" s="1"/>
      <c r="AE206" s="1">
        <f t="shared" si="15"/>
        <v>0</v>
      </c>
      <c r="AF206" s="1"/>
      <c r="AG206" s="1"/>
      <c r="AL206" s="1"/>
      <c r="AO206" s="1"/>
    </row>
    <row r="207" spans="1:41" ht="45" x14ac:dyDescent="0.25">
      <c r="A207" s="1" t="s">
        <v>496</v>
      </c>
      <c r="B207" s="1" t="s">
        <v>1037</v>
      </c>
      <c r="C207" s="4" t="s">
        <v>495</v>
      </c>
      <c r="H207" s="4" t="s">
        <v>52</v>
      </c>
      <c r="I207" s="4" t="s">
        <v>354</v>
      </c>
      <c r="J207" s="4"/>
      <c r="K207" s="1"/>
      <c r="L207" s="1"/>
      <c r="M207" s="1" t="s">
        <v>167</v>
      </c>
      <c r="N207" s="1"/>
      <c r="O207" s="2"/>
      <c r="P207" s="1"/>
      <c r="Q207" s="2" t="s">
        <v>497</v>
      </c>
      <c r="R207" s="2" t="s">
        <v>498</v>
      </c>
      <c r="S207" s="13"/>
      <c r="T207" s="1">
        <v>0</v>
      </c>
      <c r="U207" s="36">
        <v>50</v>
      </c>
      <c r="V207" s="13"/>
      <c r="W207" s="13"/>
      <c r="X207" s="13"/>
      <c r="Y207" s="12" t="s">
        <v>499</v>
      </c>
      <c r="Z207" s="1"/>
      <c r="AB207" s="1"/>
      <c r="AC207" s="28">
        <f t="shared" si="16"/>
        <v>109480</v>
      </c>
      <c r="AD207" s="1"/>
      <c r="AE207" s="1">
        <f t="shared" si="15"/>
        <v>0</v>
      </c>
      <c r="AF207" s="1"/>
      <c r="AG207" s="1"/>
      <c r="AL207" s="1"/>
      <c r="AO207" s="1"/>
    </row>
    <row r="208" spans="1:41" ht="90" x14ac:dyDescent="0.25">
      <c r="A208" s="1" t="s">
        <v>496</v>
      </c>
      <c r="B208" s="1" t="s">
        <v>1037</v>
      </c>
      <c r="C208" s="4" t="s">
        <v>500</v>
      </c>
      <c r="H208" s="4" t="s">
        <v>52</v>
      </c>
      <c r="I208" s="4" t="s">
        <v>354</v>
      </c>
      <c r="J208" s="4"/>
      <c r="K208" s="1"/>
      <c r="L208" s="1"/>
      <c r="M208" s="1" t="s">
        <v>167</v>
      </c>
      <c r="N208" s="1"/>
      <c r="O208" s="2"/>
      <c r="P208" s="1"/>
      <c r="S208" s="1"/>
      <c r="T208" s="1">
        <v>0</v>
      </c>
      <c r="U208" s="28" t="s">
        <v>501</v>
      </c>
      <c r="V208" s="1"/>
      <c r="W208" s="1"/>
      <c r="X208" s="1"/>
      <c r="Y208" s="12" t="s">
        <v>502</v>
      </c>
      <c r="Z208" s="1"/>
      <c r="AB208" s="1"/>
      <c r="AC208" s="28">
        <f t="shared" si="16"/>
        <v>109480</v>
      </c>
      <c r="AD208" s="1"/>
      <c r="AE208" s="1">
        <f t="shared" si="15"/>
        <v>0</v>
      </c>
      <c r="AF208" s="1"/>
      <c r="AG208" s="1"/>
      <c r="AL208" s="1"/>
      <c r="AO208" s="1"/>
    </row>
    <row r="209" spans="1:41" ht="45" x14ac:dyDescent="0.25">
      <c r="A209" s="2" t="s">
        <v>99</v>
      </c>
      <c r="B209" s="1" t="s">
        <v>1037</v>
      </c>
      <c r="C209" s="16" t="s">
        <v>97</v>
      </c>
      <c r="E209" s="1" t="s">
        <v>102</v>
      </c>
      <c r="F209" s="1" t="s">
        <v>103</v>
      </c>
      <c r="G209" s="1" t="s">
        <v>104</v>
      </c>
      <c r="H209" s="4" t="s">
        <v>98</v>
      </c>
      <c r="I209" s="16" t="s">
        <v>100</v>
      </c>
      <c r="J209" s="14" t="s">
        <v>101</v>
      </c>
      <c r="K209" s="1"/>
      <c r="L209" s="1"/>
      <c r="M209" s="1"/>
      <c r="N209" s="1"/>
      <c r="O209" s="15"/>
      <c r="P209" s="1"/>
      <c r="S209" s="1"/>
      <c r="T209" s="1">
        <v>0</v>
      </c>
      <c r="U209" s="28" t="s">
        <v>105</v>
      </c>
      <c r="V209" s="1"/>
      <c r="W209" s="1"/>
      <c r="X209" s="1"/>
      <c r="Y209" s="12" t="s">
        <v>106</v>
      </c>
      <c r="Z209" s="1"/>
      <c r="AB209" s="1"/>
      <c r="AC209" s="28">
        <f t="shared" si="16"/>
        <v>109480</v>
      </c>
      <c r="AD209" s="1"/>
      <c r="AE209" s="1">
        <f t="shared" si="15"/>
        <v>0</v>
      </c>
      <c r="AF209" s="1"/>
      <c r="AG209" s="1"/>
      <c r="AL209" s="1"/>
      <c r="AO209" s="1"/>
    </row>
    <row r="210" spans="1:41" ht="45" x14ac:dyDescent="0.25">
      <c r="A210" s="1" t="s">
        <v>1506</v>
      </c>
      <c r="B210" s="1" t="s">
        <v>1037</v>
      </c>
      <c r="C210" s="4" t="s">
        <v>1507</v>
      </c>
      <c r="D210" s="28">
        <v>0</v>
      </c>
      <c r="E210" s="2" t="s">
        <v>1509</v>
      </c>
      <c r="F210" s="1">
        <v>1996</v>
      </c>
      <c r="G210" s="1" t="s">
        <v>1510</v>
      </c>
      <c r="H210" s="4" t="s">
        <v>43</v>
      </c>
      <c r="I210" s="4" t="s">
        <v>43</v>
      </c>
      <c r="J210" s="3" t="s">
        <v>76</v>
      </c>
      <c r="K210" s="1" t="s">
        <v>29</v>
      </c>
      <c r="L210" s="1" t="s">
        <v>1508</v>
      </c>
      <c r="M210" s="1"/>
      <c r="N210" s="1"/>
      <c r="P210" s="1" t="s">
        <v>1511</v>
      </c>
      <c r="Q210" s="2" t="s">
        <v>1507</v>
      </c>
      <c r="R210" s="2" t="s">
        <v>1512</v>
      </c>
      <c r="S210" s="1">
        <v>35</v>
      </c>
      <c r="T210" s="1"/>
      <c r="U210" s="28">
        <v>35</v>
      </c>
      <c r="V210" s="30">
        <f>Parts[[#This Row],[Price Euro]]/1.08</f>
        <v>32.407407407407405</v>
      </c>
      <c r="W210" s="1" t="s">
        <v>1513</v>
      </c>
      <c r="X210" s="1" t="s">
        <v>78</v>
      </c>
      <c r="Y210" s="2" t="s">
        <v>1514</v>
      </c>
      <c r="Z210" s="1"/>
      <c r="AA210" s="1" t="s">
        <v>1515</v>
      </c>
      <c r="AB210" s="1" t="s">
        <v>1241</v>
      </c>
      <c r="AC210" s="28">
        <f t="shared" si="16"/>
        <v>109480</v>
      </c>
      <c r="AD210" s="1" t="s">
        <v>41</v>
      </c>
      <c r="AE210" s="1">
        <f t="shared" si="15"/>
        <v>0</v>
      </c>
      <c r="AF210" s="1"/>
      <c r="AG210" s="1"/>
      <c r="AL210" s="1"/>
      <c r="AO210" s="1"/>
    </row>
    <row r="211" spans="1:41" x14ac:dyDescent="0.25">
      <c r="A211" s="1" t="s">
        <v>53</v>
      </c>
      <c r="B211" s="1" t="s">
        <v>1037</v>
      </c>
      <c r="C211" s="4" t="s">
        <v>51</v>
      </c>
      <c r="D211" s="28">
        <v>4</v>
      </c>
      <c r="E211" s="2" t="s">
        <v>1650</v>
      </c>
      <c r="H211" s="4" t="s">
        <v>52</v>
      </c>
      <c r="I211" s="4" t="s">
        <v>27</v>
      </c>
      <c r="J211" s="3"/>
      <c r="K211" s="1" t="s">
        <v>54</v>
      </c>
      <c r="L211" s="1" t="s">
        <v>55</v>
      </c>
      <c r="M211" s="1" t="s">
        <v>31</v>
      </c>
      <c r="N211" s="1" t="s">
        <v>31</v>
      </c>
      <c r="O211" s="1" t="s">
        <v>32</v>
      </c>
      <c r="P211" s="1" t="s">
        <v>1651</v>
      </c>
      <c r="Q211" s="2" t="s">
        <v>51</v>
      </c>
      <c r="R211" s="2" t="str">
        <f>A211</f>
        <v>LJA2226AA</v>
      </c>
      <c r="S211" s="1">
        <v>75</v>
      </c>
      <c r="T211" s="28">
        <v>0</v>
      </c>
      <c r="U211" s="28">
        <v>75</v>
      </c>
      <c r="V211" s="1"/>
      <c r="W211" s="1"/>
      <c r="X211" s="1" t="s">
        <v>47</v>
      </c>
      <c r="Y211" s="12" t="s">
        <v>56</v>
      </c>
      <c r="Z211" s="11" t="s">
        <v>57</v>
      </c>
      <c r="AB211" s="1" t="s">
        <v>1184</v>
      </c>
      <c r="AC211" s="28">
        <f t="shared" si="16"/>
        <v>109480</v>
      </c>
      <c r="AD211" s="1" t="s">
        <v>175</v>
      </c>
      <c r="AE211" s="1">
        <f t="shared" si="15"/>
        <v>300</v>
      </c>
      <c r="AF211" s="1"/>
      <c r="AG211" s="1"/>
      <c r="AL211" s="1"/>
      <c r="AO211" s="1"/>
    </row>
    <row r="212" spans="1:41" x14ac:dyDescent="0.25">
      <c r="A212" s="1" t="s">
        <v>491</v>
      </c>
      <c r="B212" s="1" t="s">
        <v>1037</v>
      </c>
      <c r="C212" s="4" t="s">
        <v>489</v>
      </c>
      <c r="H212" s="4" t="s">
        <v>490</v>
      </c>
      <c r="I212" s="4" t="s">
        <v>492</v>
      </c>
      <c r="J212" s="4"/>
      <c r="K212" s="1"/>
      <c r="L212" s="1"/>
      <c r="M212" s="1"/>
      <c r="N212" s="1"/>
      <c r="O212" s="2"/>
      <c r="P212" s="1"/>
      <c r="S212" s="1"/>
      <c r="T212" s="1">
        <v>0</v>
      </c>
      <c r="U212" s="28"/>
      <c r="V212" s="1"/>
      <c r="W212" s="1"/>
      <c r="X212" s="1"/>
      <c r="Y212" s="12"/>
      <c r="Z212" s="1"/>
      <c r="AB212" s="1"/>
      <c r="AC212" s="28">
        <f t="shared" si="16"/>
        <v>109480</v>
      </c>
      <c r="AD212" s="1"/>
      <c r="AE212" s="1">
        <f t="shared" si="15"/>
        <v>0</v>
      </c>
      <c r="AF212" s="1"/>
      <c r="AG212" s="1"/>
      <c r="AL212" s="1"/>
      <c r="AO212" s="1"/>
    </row>
    <row r="213" spans="1:41" x14ac:dyDescent="0.25">
      <c r="A213" s="1" t="s">
        <v>240</v>
      </c>
      <c r="B213" s="1" t="s">
        <v>1037</v>
      </c>
      <c r="C213" s="4" t="s">
        <v>239</v>
      </c>
      <c r="E213" s="1" t="s">
        <v>239</v>
      </c>
      <c r="I213" s="4" t="s">
        <v>241</v>
      </c>
      <c r="J213" s="3"/>
      <c r="K213" s="1" t="s">
        <v>29</v>
      </c>
      <c r="L213" s="1"/>
      <c r="M213" s="1"/>
      <c r="N213" s="1"/>
      <c r="P213" s="1"/>
      <c r="S213" s="1"/>
      <c r="T213" s="1">
        <v>0</v>
      </c>
      <c r="U213" s="28"/>
      <c r="V213" s="1"/>
      <c r="W213" s="1"/>
      <c r="X213" s="1"/>
      <c r="Y213" s="2"/>
      <c r="Z213" s="1"/>
      <c r="AB213" s="1"/>
      <c r="AC213" s="28">
        <f t="shared" si="16"/>
        <v>109480</v>
      </c>
      <c r="AD213" s="1"/>
      <c r="AE213" s="1">
        <f t="shared" si="15"/>
        <v>0</v>
      </c>
      <c r="AF213" s="1"/>
      <c r="AG213" s="1"/>
      <c r="AL213" s="1"/>
      <c r="AO213" s="1"/>
    </row>
    <row r="214" spans="1:41" ht="30" x14ac:dyDescent="0.25">
      <c r="A214" s="1" t="s">
        <v>468</v>
      </c>
      <c r="B214" s="1" t="s">
        <v>1037</v>
      </c>
      <c r="C214" s="4" t="s">
        <v>466</v>
      </c>
      <c r="D214" s="28">
        <v>1</v>
      </c>
      <c r="E214" s="2" t="s">
        <v>470</v>
      </c>
      <c r="F214" s="1" t="s">
        <v>110</v>
      </c>
      <c r="G214" s="10" t="s">
        <v>39</v>
      </c>
      <c r="H214" s="4" t="s">
        <v>467</v>
      </c>
      <c r="I214" s="4" t="s">
        <v>469</v>
      </c>
      <c r="J214" s="3" t="s">
        <v>82</v>
      </c>
      <c r="K214" s="1" t="s">
        <v>29</v>
      </c>
      <c r="L214" s="1" t="s">
        <v>60</v>
      </c>
      <c r="M214" s="1"/>
      <c r="N214" s="1"/>
      <c r="O214" s="1" t="s">
        <v>32</v>
      </c>
      <c r="P214" s="10"/>
      <c r="Q214" s="19" t="s">
        <v>466</v>
      </c>
      <c r="R214" s="1" t="s">
        <v>468</v>
      </c>
      <c r="S214" s="1"/>
      <c r="T214" s="28">
        <v>0</v>
      </c>
      <c r="U214" s="28"/>
      <c r="V214" s="1"/>
      <c r="W214" s="1"/>
      <c r="X214" s="1"/>
      <c r="Y214" s="2"/>
      <c r="Z214" s="1"/>
      <c r="AB214" s="29" t="s">
        <v>1241</v>
      </c>
      <c r="AC214" s="28">
        <f t="shared" si="16"/>
        <v>109480</v>
      </c>
      <c r="AD214" s="1" t="s">
        <v>41</v>
      </c>
      <c r="AE214" s="1">
        <f t="shared" si="15"/>
        <v>0</v>
      </c>
      <c r="AF214" s="1"/>
      <c r="AG214" s="1"/>
      <c r="AL214" s="1"/>
      <c r="AO214" s="1"/>
    </row>
    <row r="215" spans="1:41" x14ac:dyDescent="0.25">
      <c r="A215" s="1" t="s">
        <v>347</v>
      </c>
      <c r="B215" s="1" t="s">
        <v>1037</v>
      </c>
      <c r="C215" s="4" t="s">
        <v>346</v>
      </c>
      <c r="E215" s="2"/>
      <c r="H215" s="4" t="s">
        <v>1659</v>
      </c>
      <c r="I215" s="4" t="s">
        <v>295</v>
      </c>
      <c r="J215" s="3" t="s">
        <v>345</v>
      </c>
      <c r="K215" s="1" t="s">
        <v>59</v>
      </c>
      <c r="L215" s="1" t="s">
        <v>60</v>
      </c>
      <c r="M215" s="1"/>
      <c r="N215" s="1"/>
      <c r="P215" s="1"/>
      <c r="Q215" s="19"/>
      <c r="R215" s="1" t="str">
        <f>A215</f>
        <v>LJA2870AC</v>
      </c>
      <c r="S215" s="1"/>
      <c r="T215" s="1">
        <v>0</v>
      </c>
      <c r="U215" s="28"/>
      <c r="V215" s="1"/>
      <c r="W215" s="1"/>
      <c r="X215" s="1"/>
      <c r="Y215" s="2"/>
      <c r="Z215" s="1"/>
      <c r="AB215" s="1"/>
      <c r="AC215" s="28">
        <f t="shared" si="16"/>
        <v>109480</v>
      </c>
      <c r="AD215" s="1"/>
      <c r="AE215" s="1">
        <f t="shared" si="15"/>
        <v>0</v>
      </c>
      <c r="AF215" s="1"/>
      <c r="AG215" s="1"/>
      <c r="AL215" s="1"/>
      <c r="AO215" s="1"/>
    </row>
    <row r="216" spans="1:41" ht="45" x14ac:dyDescent="0.25">
      <c r="A216" s="1" t="s">
        <v>1226</v>
      </c>
      <c r="B216" s="1" t="s">
        <v>1037</v>
      </c>
      <c r="C216" s="4" t="s">
        <v>1225</v>
      </c>
      <c r="D216" s="28">
        <v>1</v>
      </c>
      <c r="E216" s="2" t="s">
        <v>1230</v>
      </c>
      <c r="F216" s="1" t="s">
        <v>110</v>
      </c>
      <c r="G216" s="10" t="s">
        <v>390</v>
      </c>
      <c r="H216" s="4" t="s">
        <v>561</v>
      </c>
      <c r="I216" s="4" t="s">
        <v>1227</v>
      </c>
      <c r="J216" s="3" t="s">
        <v>586</v>
      </c>
      <c r="K216" s="1" t="s">
        <v>1228</v>
      </c>
      <c r="L216" s="1" t="s">
        <v>1229</v>
      </c>
      <c r="M216" s="1" t="s">
        <v>692</v>
      </c>
      <c r="N216" s="1" t="s">
        <v>692</v>
      </c>
      <c r="O216" s="1" t="s">
        <v>32</v>
      </c>
      <c r="P216" s="10" t="s">
        <v>1504</v>
      </c>
      <c r="Q216" s="2" t="str">
        <f>C216</f>
        <v>Positive battery extension cable</v>
      </c>
      <c r="R216" s="2" t="s">
        <v>1240</v>
      </c>
      <c r="S216" s="1">
        <v>35</v>
      </c>
      <c r="T216" s="28">
        <v>0</v>
      </c>
      <c r="U216" s="28">
        <f>S216</f>
        <v>35</v>
      </c>
      <c r="V216" s="1"/>
      <c r="W216" s="1" t="s">
        <v>1399</v>
      </c>
      <c r="X216" s="1" t="s">
        <v>47</v>
      </c>
      <c r="Y216" s="12" t="s">
        <v>1505</v>
      </c>
      <c r="Z216" s="1"/>
      <c r="AA216" s="1" t="s">
        <v>1242</v>
      </c>
      <c r="AB216" s="29" t="s">
        <v>1241</v>
      </c>
      <c r="AC216" s="28">
        <f t="shared" si="16"/>
        <v>109480</v>
      </c>
      <c r="AD216" s="1" t="s">
        <v>41</v>
      </c>
      <c r="AE216" s="1">
        <f t="shared" si="15"/>
        <v>35</v>
      </c>
      <c r="AF216" s="1"/>
      <c r="AG216" s="1"/>
      <c r="AL216" s="1"/>
      <c r="AO216" s="1"/>
    </row>
    <row r="217" spans="1:41" ht="75" x14ac:dyDescent="0.25">
      <c r="A217" s="1" t="s">
        <v>1270</v>
      </c>
      <c r="B217" s="1" t="s">
        <v>1037</v>
      </c>
      <c r="C217" s="4" t="s">
        <v>1500</v>
      </c>
      <c r="D217" s="28">
        <v>1</v>
      </c>
      <c r="E217" s="2" t="s">
        <v>1271</v>
      </c>
      <c r="F217" s="1" t="s">
        <v>110</v>
      </c>
      <c r="G217" s="10" t="s">
        <v>72</v>
      </c>
      <c r="H217" s="4" t="s">
        <v>691</v>
      </c>
      <c r="I217" s="4" t="s">
        <v>235</v>
      </c>
      <c r="J217" s="3" t="s">
        <v>76</v>
      </c>
      <c r="K217" s="1" t="s">
        <v>29</v>
      </c>
      <c r="L217" s="1" t="s">
        <v>60</v>
      </c>
      <c r="M217" s="1" t="s">
        <v>84</v>
      </c>
      <c r="N217" s="1"/>
      <c r="O217" s="1" t="s">
        <v>32</v>
      </c>
      <c r="P217" s="10" t="s">
        <v>1503</v>
      </c>
      <c r="Q217" s="2" t="s">
        <v>1272</v>
      </c>
      <c r="R217" s="2" t="str">
        <f>A217</f>
        <v>LJA4140BA+GJA1246AF</v>
      </c>
      <c r="S217" s="1">
        <v>75</v>
      </c>
      <c r="T217" s="28">
        <v>0</v>
      </c>
      <c r="U217" s="28">
        <v>35</v>
      </c>
      <c r="V217" s="1"/>
      <c r="W217" s="1" t="s">
        <v>1399</v>
      </c>
      <c r="X217" s="1" t="s">
        <v>78</v>
      </c>
      <c r="Y217" s="12" t="s">
        <v>1502</v>
      </c>
      <c r="Z217" s="1"/>
      <c r="AB217" s="29" t="s">
        <v>1241</v>
      </c>
      <c r="AC217" s="28">
        <f t="shared" si="16"/>
        <v>109480</v>
      </c>
      <c r="AD217" s="1"/>
      <c r="AE217" s="1">
        <f t="shared" si="15"/>
        <v>75</v>
      </c>
      <c r="AF217" s="1"/>
      <c r="AG217" s="1"/>
      <c r="AL217" s="1"/>
      <c r="AO217" s="1"/>
    </row>
    <row r="218" spans="1:41" ht="75" x14ac:dyDescent="0.25">
      <c r="A218" s="1" t="s">
        <v>1370</v>
      </c>
      <c r="B218" s="1" t="s">
        <v>1037</v>
      </c>
      <c r="C218" s="4" t="s">
        <v>1501</v>
      </c>
      <c r="D218" s="28">
        <v>1</v>
      </c>
      <c r="E218" s="2" t="s">
        <v>1368</v>
      </c>
      <c r="F218" s="1" t="s">
        <v>110</v>
      </c>
      <c r="G218" s="10" t="s">
        <v>72</v>
      </c>
      <c r="H218" s="4" t="s">
        <v>691</v>
      </c>
      <c r="I218" s="4" t="s">
        <v>235</v>
      </c>
      <c r="J218" s="3" t="s">
        <v>76</v>
      </c>
      <c r="K218" s="1" t="s">
        <v>29</v>
      </c>
      <c r="L218" s="1" t="s">
        <v>60</v>
      </c>
      <c r="M218" s="1" t="s">
        <v>84</v>
      </c>
      <c r="N218" s="1"/>
      <c r="O218" s="1" t="s">
        <v>32</v>
      </c>
      <c r="P218" s="10"/>
      <c r="Q218" s="2" t="s">
        <v>1369</v>
      </c>
      <c r="R218" s="2" t="str">
        <f>A218</f>
        <v>LJA4140BA+GJA1247AD</v>
      </c>
      <c r="S218" s="1">
        <v>65</v>
      </c>
      <c r="T218" s="28">
        <v>0</v>
      </c>
      <c r="U218" s="28">
        <v>65</v>
      </c>
      <c r="V218" s="1"/>
      <c r="W218" s="1"/>
      <c r="X218" s="1" t="s">
        <v>47</v>
      </c>
      <c r="Y218" s="2"/>
      <c r="Z218" s="1"/>
      <c r="AB218" s="1" t="s">
        <v>1366</v>
      </c>
      <c r="AC218" s="28">
        <f t="shared" si="16"/>
        <v>109480</v>
      </c>
      <c r="AD218" s="1" t="s">
        <v>1363</v>
      </c>
      <c r="AE218" s="1">
        <f t="shared" si="15"/>
        <v>65</v>
      </c>
      <c r="AF218" s="1"/>
      <c r="AG218" s="1"/>
      <c r="AL218" s="1"/>
      <c r="AO218" s="1"/>
    </row>
    <row r="219" spans="1:41" ht="45" x14ac:dyDescent="0.25">
      <c r="A219" s="1" t="s">
        <v>1474</v>
      </c>
      <c r="B219" s="1" t="s">
        <v>1037</v>
      </c>
      <c r="C219" s="4" t="s">
        <v>1200</v>
      </c>
      <c r="D219" s="28">
        <v>1</v>
      </c>
      <c r="E219" s="2" t="s">
        <v>692</v>
      </c>
      <c r="F219" s="1">
        <v>1996</v>
      </c>
      <c r="G219" s="1" t="s">
        <v>1475</v>
      </c>
      <c r="H219" s="4" t="s">
        <v>75</v>
      </c>
      <c r="I219" s="4" t="s">
        <v>1201</v>
      </c>
      <c r="J219" s="3" t="s">
        <v>586</v>
      </c>
      <c r="K219" s="1" t="s">
        <v>59</v>
      </c>
      <c r="L219" s="1" t="s">
        <v>60</v>
      </c>
      <c r="M219" s="1" t="s">
        <v>692</v>
      </c>
      <c r="N219" s="1" t="s">
        <v>692</v>
      </c>
      <c r="O219" s="1" t="s">
        <v>692</v>
      </c>
      <c r="P219" s="1"/>
      <c r="Q219" s="2" t="s">
        <v>1476</v>
      </c>
      <c r="R219" s="2" t="s">
        <v>1477</v>
      </c>
      <c r="S219" s="1">
        <v>75</v>
      </c>
      <c r="T219" s="28">
        <v>0</v>
      </c>
      <c r="U219" s="28">
        <v>65</v>
      </c>
      <c r="V219" s="1"/>
      <c r="W219" s="1"/>
      <c r="X219" s="1" t="s">
        <v>47</v>
      </c>
      <c r="Y219" s="2"/>
      <c r="Z219" s="11" t="s">
        <v>1478</v>
      </c>
      <c r="AB219" s="1" t="s">
        <v>1196</v>
      </c>
      <c r="AC219" s="28">
        <f t="shared" si="16"/>
        <v>109480</v>
      </c>
      <c r="AD219" s="1" t="s">
        <v>41</v>
      </c>
      <c r="AE219" s="1">
        <f t="shared" si="15"/>
        <v>75</v>
      </c>
      <c r="AF219" s="1"/>
      <c r="AG219" s="1"/>
      <c r="AL219" s="1"/>
      <c r="AO219" s="1"/>
    </row>
    <row r="220" spans="1:41" ht="30" x14ac:dyDescent="0.25">
      <c r="A220" s="1" t="s">
        <v>585</v>
      </c>
      <c r="B220" s="1" t="s">
        <v>1037</v>
      </c>
      <c r="C220" s="4" t="s">
        <v>584</v>
      </c>
      <c r="D220" s="28">
        <v>1</v>
      </c>
      <c r="E220" s="2" t="s">
        <v>588</v>
      </c>
      <c r="G220" s="10" t="s">
        <v>589</v>
      </c>
      <c r="H220" s="4" t="s">
        <v>75</v>
      </c>
      <c r="I220" s="4" t="s">
        <v>75</v>
      </c>
      <c r="J220" s="3" t="s">
        <v>586</v>
      </c>
      <c r="K220" s="1" t="s">
        <v>59</v>
      </c>
      <c r="L220" s="1" t="s">
        <v>83</v>
      </c>
      <c r="M220" s="1" t="s">
        <v>167</v>
      </c>
      <c r="N220" s="1"/>
      <c r="O220" s="1" t="s">
        <v>587</v>
      </c>
      <c r="P220" s="10"/>
      <c r="Q220" s="19" t="s">
        <v>584</v>
      </c>
      <c r="R220" s="1" t="s">
        <v>585</v>
      </c>
      <c r="S220" s="1">
        <v>195</v>
      </c>
      <c r="T220" s="28">
        <v>0</v>
      </c>
      <c r="U220" s="28">
        <v>125</v>
      </c>
      <c r="V220" s="1"/>
      <c r="W220" s="1"/>
      <c r="X220" s="1" t="s">
        <v>47</v>
      </c>
      <c r="Y220" s="2"/>
      <c r="Z220" s="1"/>
      <c r="AA220" s="1" t="s">
        <v>1367</v>
      </c>
      <c r="AB220" s="1" t="s">
        <v>1366</v>
      </c>
      <c r="AC220" s="28">
        <f t="shared" si="16"/>
        <v>109480</v>
      </c>
      <c r="AD220" s="1" t="s">
        <v>1363</v>
      </c>
      <c r="AE220" s="1">
        <f t="shared" si="15"/>
        <v>195</v>
      </c>
      <c r="AF220" s="1"/>
      <c r="AG220" s="1"/>
      <c r="AL220" s="1"/>
      <c r="AO220" s="1"/>
    </row>
    <row r="221" spans="1:41" ht="30" x14ac:dyDescent="0.25">
      <c r="A221" s="1" t="s">
        <v>1361</v>
      </c>
      <c r="B221" s="1" t="s">
        <v>1037</v>
      </c>
      <c r="C221" s="4" t="s">
        <v>1360</v>
      </c>
      <c r="D221" s="28">
        <v>0</v>
      </c>
      <c r="E221" s="2" t="s">
        <v>1362</v>
      </c>
      <c r="F221" s="1" t="s">
        <v>110</v>
      </c>
      <c r="G221" s="10" t="s">
        <v>72</v>
      </c>
      <c r="H221" s="4" t="s">
        <v>463</v>
      </c>
      <c r="I221" s="4" t="s">
        <v>141</v>
      </c>
      <c r="J221" s="3" t="s">
        <v>586</v>
      </c>
      <c r="K221" s="1" t="s">
        <v>59</v>
      </c>
      <c r="L221" s="1" t="s">
        <v>83</v>
      </c>
      <c r="M221" s="1" t="s">
        <v>167</v>
      </c>
      <c r="N221" s="1"/>
      <c r="O221" s="1" t="s">
        <v>1364</v>
      </c>
      <c r="P221" s="10"/>
      <c r="Q221" s="25" t="s">
        <v>1360</v>
      </c>
      <c r="R221" s="1" t="s">
        <v>1361</v>
      </c>
      <c r="S221" s="1">
        <v>255</v>
      </c>
      <c r="T221" s="1">
        <v>1</v>
      </c>
      <c r="U221" s="28">
        <v>150</v>
      </c>
      <c r="V221" s="1"/>
      <c r="W221" s="1"/>
      <c r="X221" s="1" t="s">
        <v>47</v>
      </c>
      <c r="Y221" s="2"/>
      <c r="Z221" s="1"/>
      <c r="AA221" s="1" t="s">
        <v>1365</v>
      </c>
      <c r="AB221" s="1" t="s">
        <v>1366</v>
      </c>
      <c r="AC221" s="28">
        <f t="shared" si="16"/>
        <v>109480</v>
      </c>
      <c r="AD221" s="1" t="s">
        <v>1363</v>
      </c>
      <c r="AE221" s="1">
        <f t="shared" si="15"/>
        <v>0</v>
      </c>
      <c r="AF221" s="1"/>
      <c r="AG221" s="1"/>
      <c r="AL221" s="1"/>
      <c r="AO221" s="1"/>
    </row>
    <row r="222" spans="1:41" ht="120" x14ac:dyDescent="0.25">
      <c r="A222" s="1" t="s">
        <v>212</v>
      </c>
      <c r="B222" s="1" t="s">
        <v>1037</v>
      </c>
      <c r="C222" s="4" t="s">
        <v>210</v>
      </c>
      <c r="D222" s="28">
        <v>0</v>
      </c>
      <c r="H222" s="4" t="s">
        <v>211</v>
      </c>
      <c r="I222" s="4" t="s">
        <v>141</v>
      </c>
      <c r="J222" s="3" t="s">
        <v>101</v>
      </c>
      <c r="K222" s="1" t="s">
        <v>213</v>
      </c>
      <c r="L222" s="1" t="s">
        <v>55</v>
      </c>
      <c r="M222" s="1"/>
      <c r="N222" s="1"/>
      <c r="O222" s="2" t="s">
        <v>214</v>
      </c>
      <c r="P222" s="1"/>
      <c r="Q222" s="19"/>
      <c r="S222" s="13"/>
      <c r="T222" s="1">
        <v>0</v>
      </c>
      <c r="U222" s="36">
        <v>10</v>
      </c>
      <c r="V222" s="13"/>
      <c r="W222" s="13"/>
      <c r="X222" s="13"/>
      <c r="Y222" s="12" t="s">
        <v>215</v>
      </c>
      <c r="Z222" s="1"/>
      <c r="AB222" s="11" t="s">
        <v>216</v>
      </c>
      <c r="AC222" s="32">
        <f t="shared" si="16"/>
        <v>109480</v>
      </c>
      <c r="AD222" s="1"/>
      <c r="AE222" s="1">
        <f t="shared" si="15"/>
        <v>0</v>
      </c>
      <c r="AF222" s="1"/>
      <c r="AG222" s="1"/>
      <c r="AL222" s="1"/>
      <c r="AO222" s="1"/>
    </row>
    <row r="223" spans="1:41" ht="30" x14ac:dyDescent="0.25">
      <c r="A223" s="2" t="s">
        <v>1463</v>
      </c>
      <c r="B223" s="1" t="s">
        <v>1037</v>
      </c>
      <c r="C223" s="4" t="s">
        <v>867</v>
      </c>
      <c r="D223" s="28">
        <v>10</v>
      </c>
      <c r="E223" s="2"/>
      <c r="F223" s="1" t="s">
        <v>130</v>
      </c>
      <c r="H223" s="4" t="s">
        <v>860</v>
      </c>
      <c r="I223" s="4" t="s">
        <v>860</v>
      </c>
      <c r="J223" s="3" t="s">
        <v>868</v>
      </c>
      <c r="K223" s="1" t="s">
        <v>869</v>
      </c>
      <c r="L223" s="1" t="s">
        <v>166</v>
      </c>
      <c r="M223" s="1" t="s">
        <v>31</v>
      </c>
      <c r="N223" s="1" t="s">
        <v>31</v>
      </c>
      <c r="O223" s="1" t="s">
        <v>870</v>
      </c>
      <c r="P223" s="2" t="s">
        <v>1464</v>
      </c>
      <c r="R223" s="2" t="str">
        <f>A223</f>
        <v>LJA6703AA</v>
      </c>
      <c r="S223" s="1">
        <v>10</v>
      </c>
      <c r="T223" s="28">
        <v>0</v>
      </c>
      <c r="U223" s="28" t="s">
        <v>871</v>
      </c>
      <c r="V223" s="1"/>
      <c r="W223" s="1"/>
      <c r="X223" s="1" t="s">
        <v>47</v>
      </c>
      <c r="Y223" s="12" t="s">
        <v>872</v>
      </c>
      <c r="Z223" s="1"/>
      <c r="AA223" s="1" t="s">
        <v>873</v>
      </c>
      <c r="AB223" s="29" t="s">
        <v>1241</v>
      </c>
      <c r="AC223" s="28">
        <f t="shared" si="16"/>
        <v>109480</v>
      </c>
      <c r="AD223" s="1" t="s">
        <v>41</v>
      </c>
      <c r="AE223" s="1">
        <f t="shared" si="15"/>
        <v>100</v>
      </c>
      <c r="AF223" s="1"/>
      <c r="AG223" s="1"/>
      <c r="AL223" s="1"/>
      <c r="AO223" s="1"/>
    </row>
    <row r="224" spans="1:41" ht="30" x14ac:dyDescent="0.25">
      <c r="A224" s="1" t="s">
        <v>861</v>
      </c>
      <c r="B224" s="1" t="s">
        <v>1037</v>
      </c>
      <c r="C224" s="4" t="s">
        <v>859</v>
      </c>
      <c r="D224" s="28">
        <v>4</v>
      </c>
      <c r="E224" s="2" t="s">
        <v>863</v>
      </c>
      <c r="F224" s="1" t="s">
        <v>130</v>
      </c>
      <c r="H224" s="4" t="s">
        <v>860</v>
      </c>
      <c r="I224" s="4" t="s">
        <v>860</v>
      </c>
      <c r="J224" s="3" t="s">
        <v>345</v>
      </c>
      <c r="K224" s="1" t="s">
        <v>59</v>
      </c>
      <c r="L224" s="1" t="s">
        <v>60</v>
      </c>
      <c r="M224" s="1" t="s">
        <v>31</v>
      </c>
      <c r="N224" s="1" t="s">
        <v>862</v>
      </c>
      <c r="O224" s="1" t="s">
        <v>32</v>
      </c>
      <c r="P224" s="1"/>
      <c r="Q224" s="19"/>
      <c r="R224" s="2" t="str">
        <f>A224</f>
        <v>LJA6707AA</v>
      </c>
      <c r="S224" s="1">
        <v>45</v>
      </c>
      <c r="T224" s="28">
        <v>0</v>
      </c>
      <c r="U224" s="28" t="s">
        <v>864</v>
      </c>
      <c r="V224" s="1"/>
      <c r="W224" s="1"/>
      <c r="X224" s="1" t="s">
        <v>47</v>
      </c>
      <c r="Y224" s="12" t="s">
        <v>865</v>
      </c>
      <c r="Z224" s="1"/>
      <c r="AA224" s="1" t="s">
        <v>866</v>
      </c>
      <c r="AB224" s="29" t="s">
        <v>1241</v>
      </c>
      <c r="AC224" s="28">
        <f t="shared" si="16"/>
        <v>109480</v>
      </c>
      <c r="AD224" s="1" t="s">
        <v>41</v>
      </c>
      <c r="AE224" s="1">
        <f t="shared" si="15"/>
        <v>180</v>
      </c>
      <c r="AF224" s="1"/>
      <c r="AG224" s="1"/>
      <c r="AL224" s="1"/>
      <c r="AO224" s="1"/>
    </row>
    <row r="225" spans="1:41" ht="30" x14ac:dyDescent="0.25">
      <c r="A225" s="1" t="s">
        <v>875</v>
      </c>
      <c r="B225" s="1" t="s">
        <v>1037</v>
      </c>
      <c r="C225" s="4" t="s">
        <v>874</v>
      </c>
      <c r="D225" s="28">
        <v>3</v>
      </c>
      <c r="E225" s="2" t="s">
        <v>876</v>
      </c>
      <c r="F225" s="1" t="s">
        <v>130</v>
      </c>
      <c r="G225" s="10" t="s">
        <v>877</v>
      </c>
      <c r="H225" s="4" t="s">
        <v>342</v>
      </c>
      <c r="I225" s="4" t="s">
        <v>344</v>
      </c>
      <c r="J225" s="3" t="s">
        <v>28</v>
      </c>
      <c r="K225" s="1" t="s">
        <v>59</v>
      </c>
      <c r="L225" s="1" t="s">
        <v>166</v>
      </c>
      <c r="M225" s="1" t="s">
        <v>31</v>
      </c>
      <c r="N225" s="1" t="s">
        <v>31</v>
      </c>
      <c r="O225" s="1" t="s">
        <v>32</v>
      </c>
      <c r="P225" s="10"/>
      <c r="Q225" s="19"/>
      <c r="R225" s="2" t="str">
        <f>A225</f>
        <v xml:space="preserve">LJA6735AB </v>
      </c>
      <c r="S225" s="1">
        <v>15</v>
      </c>
      <c r="T225" s="28">
        <v>0</v>
      </c>
      <c r="U225" s="28" t="s">
        <v>878</v>
      </c>
      <c r="V225" s="1"/>
      <c r="W225" s="1"/>
      <c r="X225" s="1" t="s">
        <v>47</v>
      </c>
      <c r="Y225" s="12" t="s">
        <v>879</v>
      </c>
      <c r="Z225" s="1"/>
      <c r="AB225" s="29" t="s">
        <v>1241</v>
      </c>
      <c r="AC225" s="28">
        <f t="shared" si="16"/>
        <v>109480</v>
      </c>
      <c r="AD225" s="1" t="s">
        <v>41</v>
      </c>
      <c r="AE225" s="1">
        <f t="shared" si="15"/>
        <v>45</v>
      </c>
      <c r="AF225" s="1"/>
      <c r="AG225" s="1"/>
      <c r="AL225" s="1"/>
      <c r="AO225" s="1"/>
    </row>
    <row r="226" spans="1:41" ht="30" x14ac:dyDescent="0.25">
      <c r="A226" s="1" t="s">
        <v>1396</v>
      </c>
      <c r="B226" s="1" t="s">
        <v>1037</v>
      </c>
      <c r="C226" s="4" t="s">
        <v>1398</v>
      </c>
      <c r="D226" s="28">
        <v>0</v>
      </c>
      <c r="E226" s="2" t="s">
        <v>1397</v>
      </c>
      <c r="F226" s="10" t="s">
        <v>389</v>
      </c>
      <c r="G226" s="10" t="s">
        <v>72</v>
      </c>
      <c r="H226" s="4" t="s">
        <v>1393</v>
      </c>
      <c r="I226" s="4" t="s">
        <v>1395</v>
      </c>
      <c r="J226" s="3" t="s">
        <v>76</v>
      </c>
      <c r="K226" s="1"/>
      <c r="L226" s="1" t="s">
        <v>83</v>
      </c>
      <c r="M226" s="1"/>
      <c r="N226" s="1"/>
      <c r="O226" s="1" t="s">
        <v>32</v>
      </c>
      <c r="P226" s="10"/>
      <c r="Q226" s="2" t="s">
        <v>1402</v>
      </c>
      <c r="R226" s="2" t="s">
        <v>1394</v>
      </c>
      <c r="S226" s="1">
        <v>45</v>
      </c>
      <c r="T226" s="1">
        <v>0</v>
      </c>
      <c r="U226" s="28">
        <v>100</v>
      </c>
      <c r="V226" s="1"/>
      <c r="W226" s="1" t="s">
        <v>1399</v>
      </c>
      <c r="X226" s="1" t="s">
        <v>47</v>
      </c>
      <c r="Y226" s="2"/>
      <c r="Z226" s="1"/>
      <c r="AA226" s="1" t="s">
        <v>1400</v>
      </c>
      <c r="AB226" s="1" t="s">
        <v>1401</v>
      </c>
      <c r="AC226" s="28">
        <f t="shared" si="16"/>
        <v>109480</v>
      </c>
      <c r="AD226" s="1" t="s">
        <v>175</v>
      </c>
      <c r="AE226" s="1">
        <f t="shared" si="15"/>
        <v>0</v>
      </c>
      <c r="AF226" s="1"/>
      <c r="AG226" s="1"/>
      <c r="AL226" s="1"/>
      <c r="AO226" s="1"/>
    </row>
    <row r="227" spans="1:41" ht="75" x14ac:dyDescent="0.25">
      <c r="A227" s="1" t="s">
        <v>1491</v>
      </c>
      <c r="B227" s="1" t="s">
        <v>1291</v>
      </c>
      <c r="C227" s="4" t="s">
        <v>1492</v>
      </c>
      <c r="D227" s="28">
        <v>1</v>
      </c>
      <c r="E227" s="2" t="s">
        <v>1495</v>
      </c>
      <c r="F227" s="1" t="s">
        <v>1496</v>
      </c>
      <c r="G227" s="1" t="s">
        <v>1497</v>
      </c>
      <c r="H227" s="4" t="s">
        <v>1493</v>
      </c>
      <c r="I227" s="4" t="s">
        <v>1494</v>
      </c>
      <c r="J227" s="3" t="s">
        <v>76</v>
      </c>
      <c r="K227" s="1" t="s">
        <v>29</v>
      </c>
      <c r="L227" s="1" t="s">
        <v>30</v>
      </c>
      <c r="M227" s="1"/>
      <c r="N227" s="1"/>
      <c r="P227" s="1" t="s">
        <v>1499</v>
      </c>
      <c r="R227" s="2"/>
      <c r="S227" s="1">
        <v>175</v>
      </c>
      <c r="T227" s="1">
        <v>0</v>
      </c>
      <c r="U227" s="28">
        <f>S227</f>
        <v>175</v>
      </c>
      <c r="V227" s="30">
        <f>Parts[[#This Row],[Price Euro]]/1.08</f>
        <v>162.03703703703704</v>
      </c>
      <c r="W227" s="1" t="s">
        <v>1399</v>
      </c>
      <c r="X227" s="1" t="s">
        <v>78</v>
      </c>
      <c r="Y227" s="2" t="s">
        <v>1498</v>
      </c>
      <c r="Z227" s="1"/>
      <c r="AB227" s="1" t="s">
        <v>1469</v>
      </c>
      <c r="AC227" s="28">
        <v>163641</v>
      </c>
      <c r="AD227" s="1"/>
      <c r="AE227" s="1">
        <f t="shared" si="15"/>
        <v>175</v>
      </c>
      <c r="AF227" s="1"/>
      <c r="AG227" s="1"/>
      <c r="AL227" s="1"/>
      <c r="AO227" s="1"/>
    </row>
    <row r="228" spans="1:41" ht="75" x14ac:dyDescent="0.25">
      <c r="A228" s="1" t="s">
        <v>58</v>
      </c>
      <c r="B228" s="1" t="s">
        <v>1037</v>
      </c>
      <c r="C228" s="4" t="str">
        <f>Q228</f>
        <v xml:space="preserve">Aerial Mast </v>
      </c>
      <c r="D228" s="28">
        <v>0</v>
      </c>
      <c r="E228" s="1" t="s">
        <v>62</v>
      </c>
      <c r="F228" s="9" t="s">
        <v>63</v>
      </c>
      <c r="G228" s="2" t="s">
        <v>64</v>
      </c>
      <c r="I228" s="4"/>
      <c r="J228" s="3"/>
      <c r="K228" s="1" t="s">
        <v>59</v>
      </c>
      <c r="L228" s="1" t="s">
        <v>60</v>
      </c>
      <c r="M228" s="1" t="s">
        <v>31</v>
      </c>
      <c r="N228" s="1" t="s">
        <v>31</v>
      </c>
      <c r="O228" s="1" t="s">
        <v>61</v>
      </c>
      <c r="P228" s="2"/>
      <c r="Q228" s="19" t="s">
        <v>65</v>
      </c>
      <c r="R228" s="2" t="str">
        <f>A228</f>
        <v>LNA4134AA</v>
      </c>
      <c r="S228" s="1"/>
      <c r="T228" s="1">
        <v>0</v>
      </c>
      <c r="U228" s="28" t="s">
        <v>66</v>
      </c>
      <c r="V228" s="1"/>
      <c r="W228" s="1"/>
      <c r="X228" s="1"/>
      <c r="Y228" s="2"/>
      <c r="Z228" s="1"/>
      <c r="AB228" s="1" t="s">
        <v>67</v>
      </c>
      <c r="AC228" s="28">
        <f>68000*1.61</f>
        <v>109480</v>
      </c>
      <c r="AD228" s="1"/>
      <c r="AE228" s="1">
        <f t="shared" si="15"/>
        <v>0</v>
      </c>
      <c r="AF228" s="1"/>
      <c r="AG228" s="1"/>
      <c r="AL228" s="1"/>
      <c r="AO228" s="1"/>
    </row>
    <row r="229" spans="1:41" ht="45" x14ac:dyDescent="0.25">
      <c r="A229" s="1" t="s">
        <v>44</v>
      </c>
      <c r="B229" s="1" t="s">
        <v>1037</v>
      </c>
      <c r="C229" s="4" t="s">
        <v>42</v>
      </c>
      <c r="D229" s="28">
        <v>0</v>
      </c>
      <c r="E229" s="2" t="s">
        <v>45</v>
      </c>
      <c r="H229" s="4" t="s">
        <v>43</v>
      </c>
      <c r="I229" s="4" t="s">
        <v>27</v>
      </c>
      <c r="J229" s="3" t="s">
        <v>28</v>
      </c>
      <c r="K229" s="1" t="s">
        <v>29</v>
      </c>
      <c r="L229" s="1" t="s">
        <v>30</v>
      </c>
      <c r="M229" s="1" t="s">
        <v>31</v>
      </c>
      <c r="N229" s="1" t="s">
        <v>31</v>
      </c>
      <c r="O229" s="1" t="s">
        <v>32</v>
      </c>
      <c r="P229" s="1"/>
      <c r="R229" s="2" t="s">
        <v>44</v>
      </c>
      <c r="S229" s="1"/>
      <c r="T229" s="1">
        <v>0</v>
      </c>
      <c r="U229" s="28">
        <v>150</v>
      </c>
      <c r="V229" s="1"/>
      <c r="W229" s="1"/>
      <c r="X229" s="1"/>
      <c r="Y229" s="12" t="s">
        <v>34</v>
      </c>
      <c r="Z229" s="1"/>
      <c r="AB229" s="1"/>
      <c r="AC229" s="28">
        <f>68000*1.61</f>
        <v>109480</v>
      </c>
      <c r="AD229" s="1" t="s">
        <v>35</v>
      </c>
      <c r="AE229" s="1">
        <f t="shared" si="15"/>
        <v>0</v>
      </c>
      <c r="AF229" s="1"/>
      <c r="AG229" s="1"/>
      <c r="AL229" s="1"/>
      <c r="AO229" s="1"/>
    </row>
    <row r="230" spans="1:41" ht="30" x14ac:dyDescent="0.25">
      <c r="A230" s="2" t="s">
        <v>234</v>
      </c>
      <c r="B230" s="1" t="s">
        <v>1037</v>
      </c>
      <c r="C230" s="4" t="s">
        <v>233</v>
      </c>
      <c r="I230" s="4" t="s">
        <v>235</v>
      </c>
      <c r="J230" s="4"/>
      <c r="K230" s="1"/>
      <c r="L230" s="1"/>
      <c r="M230" s="1"/>
      <c r="N230" s="1"/>
      <c r="O230" s="2"/>
      <c r="P230" s="1"/>
      <c r="S230" s="1"/>
      <c r="T230" s="1">
        <v>0</v>
      </c>
      <c r="U230" s="28"/>
      <c r="V230" s="1"/>
      <c r="W230" s="1"/>
      <c r="X230" s="1"/>
      <c r="Y230" s="2"/>
      <c r="Z230" s="1"/>
      <c r="AB230" s="1"/>
      <c r="AC230" s="28">
        <f>68000*1.61</f>
        <v>109480</v>
      </c>
      <c r="AD230" s="1"/>
      <c r="AE230" s="1">
        <f t="shared" si="15"/>
        <v>0</v>
      </c>
      <c r="AF230" s="1"/>
      <c r="AG230" s="1"/>
      <c r="AL230" s="1"/>
      <c r="AO230" s="1"/>
    </row>
    <row r="231" spans="1:41" ht="30" x14ac:dyDescent="0.25">
      <c r="A231" s="1" t="s">
        <v>510</v>
      </c>
      <c r="B231" s="1" t="s">
        <v>1220</v>
      </c>
      <c r="C231" s="4" t="s">
        <v>506</v>
      </c>
      <c r="E231" s="2" t="s">
        <v>511</v>
      </c>
      <c r="H231" s="4" t="s">
        <v>75</v>
      </c>
      <c r="I231" s="4" t="s">
        <v>75</v>
      </c>
      <c r="J231" s="3" t="s">
        <v>101</v>
      </c>
      <c r="K231" s="1" t="s">
        <v>59</v>
      </c>
      <c r="L231" s="1" t="s">
        <v>60</v>
      </c>
      <c r="M231" s="1"/>
      <c r="N231" s="1"/>
      <c r="P231" s="1"/>
      <c r="Q231" s="19"/>
      <c r="R231" s="1" t="str">
        <f>A231</f>
        <v>LNC4900CB</v>
      </c>
      <c r="S231" s="1"/>
      <c r="T231" s="1">
        <v>0</v>
      </c>
      <c r="U231" s="28"/>
      <c r="V231" s="1"/>
      <c r="W231" s="1"/>
      <c r="X231" s="1"/>
      <c r="Y231" s="12" t="s">
        <v>509</v>
      </c>
      <c r="Z231" s="1"/>
      <c r="AB231" s="1"/>
      <c r="AC231" s="28">
        <f>68000*1.61</f>
        <v>109480</v>
      </c>
      <c r="AD231" s="1"/>
      <c r="AE231" s="1">
        <f t="shared" si="15"/>
        <v>0</v>
      </c>
      <c r="AF231" s="1"/>
      <c r="AG231" s="1"/>
      <c r="AL231" s="1"/>
      <c r="AO231" s="1"/>
    </row>
    <row r="232" spans="1:41" ht="30" x14ac:dyDescent="0.25">
      <c r="A232" s="1" t="s">
        <v>507</v>
      </c>
      <c r="B232" s="1" t="s">
        <v>1220</v>
      </c>
      <c r="C232" s="4" t="s">
        <v>506</v>
      </c>
      <c r="E232" s="2" t="s">
        <v>508</v>
      </c>
      <c r="H232" s="4" t="s">
        <v>75</v>
      </c>
      <c r="I232" s="4" t="s">
        <v>75</v>
      </c>
      <c r="J232" s="3" t="s">
        <v>101</v>
      </c>
      <c r="K232" s="1" t="s">
        <v>59</v>
      </c>
      <c r="L232" s="1" t="s">
        <v>30</v>
      </c>
      <c r="M232" s="1"/>
      <c r="N232" s="1"/>
      <c r="P232" s="1"/>
      <c r="Q232" s="19"/>
      <c r="R232" s="1" t="str">
        <f>A232</f>
        <v xml:space="preserve">LNC4901CB </v>
      </c>
      <c r="S232" s="1"/>
      <c r="T232" s="1">
        <v>0</v>
      </c>
      <c r="U232" s="28"/>
      <c r="V232" s="1"/>
      <c r="W232" s="1"/>
      <c r="X232" s="1"/>
      <c r="Y232" s="12" t="s">
        <v>509</v>
      </c>
      <c r="Z232" s="1"/>
      <c r="AB232" s="1"/>
      <c r="AC232" s="28">
        <f>68000*1.61</f>
        <v>109480</v>
      </c>
      <c r="AD232" s="1"/>
      <c r="AE232" s="1">
        <f t="shared" si="15"/>
        <v>0</v>
      </c>
      <c r="AF232" s="1"/>
      <c r="AG232" s="1"/>
      <c r="AL232" s="1"/>
      <c r="AO232" s="1"/>
    </row>
    <row r="233" spans="1:41" ht="60" x14ac:dyDescent="0.25">
      <c r="A233" s="1" t="s">
        <v>1465</v>
      </c>
      <c r="B233" s="1" t="s">
        <v>1291</v>
      </c>
      <c r="C233" s="4" t="s">
        <v>1460</v>
      </c>
      <c r="D233" s="28">
        <v>1</v>
      </c>
      <c r="E233" s="2" t="s">
        <v>1466</v>
      </c>
      <c r="F233" s="1" t="s">
        <v>1470</v>
      </c>
      <c r="G233" s="1" t="s">
        <v>1471</v>
      </c>
      <c r="H233" s="4" t="s">
        <v>1461</v>
      </c>
      <c r="I233" s="4" t="s">
        <v>360</v>
      </c>
      <c r="J233" s="3" t="s">
        <v>1234</v>
      </c>
      <c r="K233" s="1" t="s">
        <v>29</v>
      </c>
      <c r="L233" s="1" t="s">
        <v>83</v>
      </c>
      <c r="M233" s="1" t="s">
        <v>167</v>
      </c>
      <c r="N233" s="1"/>
      <c r="P233" s="1" t="s">
        <v>1468</v>
      </c>
      <c r="Q233" s="2" t="s">
        <v>1460</v>
      </c>
      <c r="R233" s="2" t="s">
        <v>1467</v>
      </c>
      <c r="S233" s="1">
        <v>250</v>
      </c>
      <c r="T233" s="1">
        <v>0</v>
      </c>
      <c r="U233" s="28">
        <v>225</v>
      </c>
      <c r="V233" s="1">
        <v>185</v>
      </c>
      <c r="W233" s="1" t="s">
        <v>1399</v>
      </c>
      <c r="X233" s="1"/>
      <c r="Y233" s="2"/>
      <c r="Z233" s="1"/>
      <c r="AB233" s="1" t="s">
        <v>1469</v>
      </c>
      <c r="AC233" s="28">
        <v>168000</v>
      </c>
      <c r="AD233" s="1" t="s">
        <v>175</v>
      </c>
      <c r="AE233" s="1">
        <f t="shared" si="15"/>
        <v>250</v>
      </c>
      <c r="AF233" s="1"/>
      <c r="AG233" s="1"/>
      <c r="AL233" s="1"/>
      <c r="AO233" s="1"/>
    </row>
    <row r="234" spans="1:41" ht="45" x14ac:dyDescent="0.25">
      <c r="A234" s="1" t="s">
        <v>49</v>
      </c>
      <c r="B234" s="1" t="s">
        <v>1037</v>
      </c>
      <c r="C234" s="4" t="s">
        <v>42</v>
      </c>
      <c r="D234" s="28">
        <v>1</v>
      </c>
      <c r="E234" s="2" t="s">
        <v>45</v>
      </c>
      <c r="H234" s="4" t="s">
        <v>43</v>
      </c>
      <c r="I234" s="4" t="s">
        <v>27</v>
      </c>
      <c r="J234" s="3" t="s">
        <v>28</v>
      </c>
      <c r="K234" s="1" t="s">
        <v>29</v>
      </c>
      <c r="L234" s="1" t="s">
        <v>30</v>
      </c>
      <c r="M234" s="1" t="s">
        <v>31</v>
      </c>
      <c r="N234" s="1" t="s">
        <v>31</v>
      </c>
      <c r="O234" s="1" t="s">
        <v>32</v>
      </c>
      <c r="P234" s="1"/>
      <c r="R234" s="2" t="s">
        <v>44</v>
      </c>
      <c r="S234" s="1">
        <v>125</v>
      </c>
      <c r="T234" s="28">
        <v>0</v>
      </c>
      <c r="U234" s="28">
        <v>75</v>
      </c>
      <c r="V234" s="1"/>
      <c r="W234" s="1"/>
      <c r="X234" s="1" t="s">
        <v>47</v>
      </c>
      <c r="Y234" s="12" t="s">
        <v>34</v>
      </c>
      <c r="Z234" s="1"/>
      <c r="AA234" s="1" t="s">
        <v>50</v>
      </c>
      <c r="AB234" s="1" t="s">
        <v>505</v>
      </c>
      <c r="AC234" s="28">
        <f t="shared" ref="AC234:AC273" si="17">68000*1.61</f>
        <v>109480</v>
      </c>
      <c r="AD234" s="1" t="s">
        <v>48</v>
      </c>
      <c r="AE234" s="1">
        <f t="shared" si="15"/>
        <v>125</v>
      </c>
      <c r="AF234" s="1"/>
      <c r="AG234" s="1"/>
      <c r="AL234" s="1"/>
      <c r="AO234" s="1"/>
    </row>
    <row r="235" spans="1:41" ht="30" x14ac:dyDescent="0.25">
      <c r="A235" s="1" t="s">
        <v>995</v>
      </c>
      <c r="B235" s="1" t="s">
        <v>1037</v>
      </c>
      <c r="C235" s="4" t="s">
        <v>994</v>
      </c>
      <c r="D235" s="28">
        <v>0</v>
      </c>
      <c r="E235" s="2" t="s">
        <v>996</v>
      </c>
      <c r="F235" s="10" t="s">
        <v>750</v>
      </c>
      <c r="G235" s="10" t="s">
        <v>72</v>
      </c>
      <c r="H235" s="4" t="s">
        <v>712</v>
      </c>
      <c r="I235" s="4" t="s">
        <v>781</v>
      </c>
      <c r="J235" s="3"/>
      <c r="K235" s="1" t="s">
        <v>59</v>
      </c>
      <c r="L235" s="1" t="s">
        <v>55</v>
      </c>
      <c r="M235" s="1"/>
      <c r="N235" s="1"/>
      <c r="P235" s="10"/>
      <c r="Q235" s="2" t="s">
        <v>997</v>
      </c>
      <c r="R235" s="2" t="str">
        <f t="shared" ref="R235:R248" si="18">A235</f>
        <v>MHC3397AA1</v>
      </c>
      <c r="S235" s="1"/>
      <c r="T235" s="1">
        <v>0</v>
      </c>
      <c r="U235" s="28"/>
      <c r="V235" s="1"/>
      <c r="W235" s="1"/>
      <c r="X235" s="1"/>
      <c r="Y235" s="2"/>
      <c r="Z235" s="1"/>
      <c r="AB235" s="1" t="s">
        <v>972</v>
      </c>
      <c r="AC235" s="28">
        <f t="shared" si="17"/>
        <v>109480</v>
      </c>
      <c r="AD235" s="1"/>
      <c r="AE235" s="1">
        <f t="shared" si="15"/>
        <v>0</v>
      </c>
      <c r="AF235" s="1"/>
      <c r="AG235" s="1"/>
      <c r="AL235" s="1"/>
      <c r="AO235" s="1"/>
    </row>
    <row r="236" spans="1:41" ht="30" x14ac:dyDescent="0.25">
      <c r="A236" s="1" t="s">
        <v>1015</v>
      </c>
      <c r="B236" s="1" t="s">
        <v>1037</v>
      </c>
      <c r="C236" s="4" t="s">
        <v>1014</v>
      </c>
      <c r="D236" s="28">
        <v>0</v>
      </c>
      <c r="E236" s="2" t="s">
        <v>996</v>
      </c>
      <c r="F236" s="10" t="s">
        <v>750</v>
      </c>
      <c r="G236" s="10" t="s">
        <v>72</v>
      </c>
      <c r="H236" s="4" t="s">
        <v>712</v>
      </c>
      <c r="I236" s="4" t="s">
        <v>781</v>
      </c>
      <c r="J236" s="3"/>
      <c r="K236" s="1" t="s">
        <v>59</v>
      </c>
      <c r="L236" s="1" t="s">
        <v>55</v>
      </c>
      <c r="M236" s="1"/>
      <c r="N236" s="1"/>
      <c r="P236" s="10"/>
      <c r="R236" s="2" t="str">
        <f t="shared" si="18"/>
        <v>MHC3397AA10</v>
      </c>
      <c r="S236" s="1"/>
      <c r="T236" s="1">
        <v>0</v>
      </c>
      <c r="U236" s="28"/>
      <c r="V236" s="1"/>
      <c r="W236" s="1"/>
      <c r="X236" s="1"/>
      <c r="Y236" s="2"/>
      <c r="Z236" s="1"/>
      <c r="AB236" s="1" t="s">
        <v>972</v>
      </c>
      <c r="AC236" s="28">
        <f t="shared" si="17"/>
        <v>109480</v>
      </c>
      <c r="AD236" s="1"/>
      <c r="AE236" s="1">
        <f t="shared" si="15"/>
        <v>0</v>
      </c>
      <c r="AF236" s="1"/>
      <c r="AG236" s="1"/>
      <c r="AL236" s="1"/>
      <c r="AO236" s="1"/>
    </row>
    <row r="237" spans="1:41" ht="30" x14ac:dyDescent="0.25">
      <c r="A237" s="1" t="s">
        <v>1017</v>
      </c>
      <c r="B237" s="1" t="s">
        <v>1037</v>
      </c>
      <c r="C237" s="4" t="s">
        <v>1016</v>
      </c>
      <c r="D237" s="28">
        <v>0</v>
      </c>
      <c r="E237" s="2" t="s">
        <v>996</v>
      </c>
      <c r="F237" s="10" t="s">
        <v>750</v>
      </c>
      <c r="G237" s="10" t="s">
        <v>72</v>
      </c>
      <c r="H237" s="4" t="s">
        <v>712</v>
      </c>
      <c r="I237" s="4" t="s">
        <v>781</v>
      </c>
      <c r="J237" s="3"/>
      <c r="K237" s="1" t="s">
        <v>59</v>
      </c>
      <c r="L237" s="1" t="s">
        <v>55</v>
      </c>
      <c r="M237" s="1"/>
      <c r="N237" s="1"/>
      <c r="P237" s="10"/>
      <c r="R237" s="2" t="str">
        <f t="shared" si="18"/>
        <v>MHC3397AA11</v>
      </c>
      <c r="S237" s="1"/>
      <c r="T237" s="1">
        <v>0</v>
      </c>
      <c r="U237" s="28"/>
      <c r="V237" s="1"/>
      <c r="W237" s="1"/>
      <c r="X237" s="1"/>
      <c r="Y237" s="2"/>
      <c r="Z237" s="1"/>
      <c r="AB237" s="1" t="s">
        <v>972</v>
      </c>
      <c r="AC237" s="28">
        <f t="shared" si="17"/>
        <v>109480</v>
      </c>
      <c r="AD237" s="1"/>
      <c r="AE237" s="1">
        <f t="shared" si="15"/>
        <v>0</v>
      </c>
      <c r="AF237" s="1"/>
      <c r="AG237" s="1"/>
      <c r="AL237" s="1"/>
      <c r="AO237" s="1"/>
    </row>
    <row r="238" spans="1:41" ht="30" x14ac:dyDescent="0.25">
      <c r="A238" s="1" t="s">
        <v>1019</v>
      </c>
      <c r="B238" s="1" t="s">
        <v>1037</v>
      </c>
      <c r="C238" s="4" t="s">
        <v>1018</v>
      </c>
      <c r="D238" s="28">
        <v>0</v>
      </c>
      <c r="E238" s="2" t="s">
        <v>996</v>
      </c>
      <c r="F238" s="10" t="s">
        <v>750</v>
      </c>
      <c r="G238" s="10" t="s">
        <v>72</v>
      </c>
      <c r="H238" s="4" t="s">
        <v>712</v>
      </c>
      <c r="I238" s="4" t="s">
        <v>781</v>
      </c>
      <c r="J238" s="3"/>
      <c r="K238" s="1" t="s">
        <v>59</v>
      </c>
      <c r="L238" s="1" t="s">
        <v>55</v>
      </c>
      <c r="M238" s="1"/>
      <c r="N238" s="1"/>
      <c r="P238" s="10"/>
      <c r="R238" s="2" t="str">
        <f t="shared" si="18"/>
        <v>MHC3397AA12</v>
      </c>
      <c r="S238" s="1"/>
      <c r="T238" s="1">
        <v>0</v>
      </c>
      <c r="U238" s="28"/>
      <c r="V238" s="1"/>
      <c r="W238" s="1"/>
      <c r="X238" s="1"/>
      <c r="Y238" s="2"/>
      <c r="Z238" s="1"/>
      <c r="AB238" s="1" t="s">
        <v>972</v>
      </c>
      <c r="AC238" s="28">
        <f t="shared" si="17"/>
        <v>109480</v>
      </c>
      <c r="AD238" s="1"/>
      <c r="AE238" s="1">
        <f t="shared" si="15"/>
        <v>0</v>
      </c>
      <c r="AF238" s="1"/>
      <c r="AG238" s="1"/>
      <c r="AL238" s="1"/>
      <c r="AO238" s="1"/>
    </row>
    <row r="239" spans="1:41" ht="30" x14ac:dyDescent="0.25">
      <c r="A239" s="1" t="s">
        <v>1021</v>
      </c>
      <c r="B239" s="1" t="s">
        <v>1037</v>
      </c>
      <c r="C239" s="4" t="s">
        <v>1020</v>
      </c>
      <c r="D239" s="28">
        <v>0</v>
      </c>
      <c r="E239" s="2" t="s">
        <v>996</v>
      </c>
      <c r="F239" s="10" t="s">
        <v>750</v>
      </c>
      <c r="G239" s="10" t="s">
        <v>72</v>
      </c>
      <c r="H239" s="4" t="s">
        <v>712</v>
      </c>
      <c r="I239" s="4" t="s">
        <v>781</v>
      </c>
      <c r="J239" s="3"/>
      <c r="K239" s="1" t="s">
        <v>59</v>
      </c>
      <c r="L239" s="1" t="s">
        <v>55</v>
      </c>
      <c r="M239" s="1"/>
      <c r="N239" s="1"/>
      <c r="P239" s="10"/>
      <c r="R239" s="2" t="str">
        <f t="shared" si="18"/>
        <v>MHC3397AA13</v>
      </c>
      <c r="S239" s="1"/>
      <c r="T239" s="1">
        <v>0</v>
      </c>
      <c r="U239" s="28"/>
      <c r="V239" s="1"/>
      <c r="W239" s="1"/>
      <c r="X239" s="1"/>
      <c r="Y239" s="2"/>
      <c r="Z239" s="1"/>
      <c r="AB239" s="1" t="s">
        <v>972</v>
      </c>
      <c r="AC239" s="28">
        <f t="shared" si="17"/>
        <v>109480</v>
      </c>
      <c r="AD239" s="1"/>
      <c r="AE239" s="1">
        <f t="shared" si="15"/>
        <v>0</v>
      </c>
      <c r="AF239" s="1"/>
      <c r="AG239" s="1"/>
      <c r="AL239" s="1"/>
      <c r="AO239" s="1"/>
    </row>
    <row r="240" spans="1:41" ht="30" x14ac:dyDescent="0.25">
      <c r="A240" s="1" t="s">
        <v>999</v>
      </c>
      <c r="B240" s="1" t="s">
        <v>1037</v>
      </c>
      <c r="C240" s="4" t="s">
        <v>998</v>
      </c>
      <c r="D240" s="28">
        <v>0</v>
      </c>
      <c r="E240" s="2" t="s">
        <v>996</v>
      </c>
      <c r="F240" s="10" t="s">
        <v>750</v>
      </c>
      <c r="G240" s="10" t="s">
        <v>72</v>
      </c>
      <c r="H240" s="4" t="s">
        <v>712</v>
      </c>
      <c r="I240" s="4" t="s">
        <v>781</v>
      </c>
      <c r="J240" s="3"/>
      <c r="K240" s="1" t="s">
        <v>59</v>
      </c>
      <c r="L240" s="1" t="s">
        <v>55</v>
      </c>
      <c r="M240" s="1"/>
      <c r="N240" s="1"/>
      <c r="P240" s="10"/>
      <c r="R240" s="2" t="str">
        <f t="shared" si="18"/>
        <v>MHC3397AA2</v>
      </c>
      <c r="S240" s="1"/>
      <c r="T240" s="1">
        <v>0</v>
      </c>
      <c r="U240" s="28"/>
      <c r="V240" s="1"/>
      <c r="W240" s="1"/>
      <c r="X240" s="1"/>
      <c r="Y240" s="2"/>
      <c r="Z240" s="1"/>
      <c r="AB240" s="1" t="s">
        <v>972</v>
      </c>
      <c r="AC240" s="28">
        <f t="shared" si="17"/>
        <v>109480</v>
      </c>
      <c r="AD240" s="1"/>
      <c r="AE240" s="1">
        <f t="shared" si="15"/>
        <v>0</v>
      </c>
      <c r="AF240" s="1"/>
      <c r="AG240" s="1"/>
      <c r="AL240" s="1"/>
      <c r="AO240" s="1"/>
    </row>
    <row r="241" spans="1:41" ht="30" x14ac:dyDescent="0.25">
      <c r="A241" s="1" t="s">
        <v>1001</v>
      </c>
      <c r="B241" s="1" t="s">
        <v>1037</v>
      </c>
      <c r="C241" s="4" t="s">
        <v>1000</v>
      </c>
      <c r="D241" s="28">
        <v>0</v>
      </c>
      <c r="E241" s="2" t="s">
        <v>996</v>
      </c>
      <c r="F241" s="10" t="s">
        <v>750</v>
      </c>
      <c r="G241" s="10" t="s">
        <v>72</v>
      </c>
      <c r="H241" s="4" t="s">
        <v>712</v>
      </c>
      <c r="I241" s="4" t="s">
        <v>781</v>
      </c>
      <c r="J241" s="3"/>
      <c r="K241" s="1" t="s">
        <v>59</v>
      </c>
      <c r="L241" s="1" t="s">
        <v>55</v>
      </c>
      <c r="M241" s="1"/>
      <c r="N241" s="1"/>
      <c r="P241" s="10"/>
      <c r="R241" s="2" t="str">
        <f t="shared" si="18"/>
        <v>MHC3397AA3</v>
      </c>
      <c r="S241" s="1"/>
      <c r="T241" s="1">
        <v>0</v>
      </c>
      <c r="U241" s="28"/>
      <c r="V241" s="1"/>
      <c r="W241" s="1"/>
      <c r="X241" s="1"/>
      <c r="Y241" s="2"/>
      <c r="Z241" s="1"/>
      <c r="AB241" s="1" t="s">
        <v>972</v>
      </c>
      <c r="AC241" s="28">
        <f t="shared" si="17"/>
        <v>109480</v>
      </c>
      <c r="AD241" s="1"/>
      <c r="AE241" s="1">
        <f t="shared" si="15"/>
        <v>0</v>
      </c>
      <c r="AF241" s="1"/>
      <c r="AG241" s="1"/>
      <c r="AL241" s="1"/>
      <c r="AO241" s="1"/>
    </row>
    <row r="242" spans="1:41" ht="30" x14ac:dyDescent="0.25">
      <c r="A242" s="1" t="s">
        <v>1003</v>
      </c>
      <c r="B242" s="1" t="s">
        <v>1037</v>
      </c>
      <c r="C242" s="4" t="s">
        <v>1002</v>
      </c>
      <c r="D242" s="28">
        <v>0</v>
      </c>
      <c r="E242" s="2" t="s">
        <v>996</v>
      </c>
      <c r="F242" s="10" t="s">
        <v>750</v>
      </c>
      <c r="G242" s="10" t="s">
        <v>72</v>
      </c>
      <c r="H242" s="4" t="s">
        <v>712</v>
      </c>
      <c r="I242" s="4" t="s">
        <v>781</v>
      </c>
      <c r="J242" s="3"/>
      <c r="K242" s="1" t="s">
        <v>59</v>
      </c>
      <c r="L242" s="1" t="s">
        <v>55</v>
      </c>
      <c r="M242" s="1"/>
      <c r="N242" s="1"/>
      <c r="P242" s="10"/>
      <c r="R242" s="2" t="str">
        <f t="shared" si="18"/>
        <v>MHC3397AA4</v>
      </c>
      <c r="S242" s="1"/>
      <c r="T242" s="1">
        <v>0</v>
      </c>
      <c r="U242" s="28"/>
      <c r="V242" s="1"/>
      <c r="W242" s="1"/>
      <c r="X242" s="1"/>
      <c r="Y242" s="2"/>
      <c r="Z242" s="1"/>
      <c r="AB242" s="1" t="s">
        <v>972</v>
      </c>
      <c r="AC242" s="28">
        <f t="shared" si="17"/>
        <v>109480</v>
      </c>
      <c r="AD242" s="1"/>
      <c r="AE242" s="1">
        <f t="shared" si="15"/>
        <v>0</v>
      </c>
      <c r="AF242" s="1"/>
      <c r="AG242" s="1"/>
      <c r="AL242" s="1"/>
      <c r="AO242" s="1"/>
    </row>
    <row r="243" spans="1:41" ht="30" x14ac:dyDescent="0.25">
      <c r="A243" s="1" t="s">
        <v>1005</v>
      </c>
      <c r="B243" s="1" t="s">
        <v>1037</v>
      </c>
      <c r="C243" s="4" t="s">
        <v>1004</v>
      </c>
      <c r="D243" s="28">
        <v>0</v>
      </c>
      <c r="E243" s="2" t="s">
        <v>996</v>
      </c>
      <c r="F243" s="10" t="s">
        <v>750</v>
      </c>
      <c r="G243" s="10" t="s">
        <v>72</v>
      </c>
      <c r="H243" s="4" t="s">
        <v>712</v>
      </c>
      <c r="I243" s="4" t="s">
        <v>781</v>
      </c>
      <c r="J243" s="3"/>
      <c r="K243" s="1" t="s">
        <v>59</v>
      </c>
      <c r="L243" s="1" t="s">
        <v>55</v>
      </c>
      <c r="M243" s="1"/>
      <c r="N243" s="1"/>
      <c r="P243" s="10"/>
      <c r="R243" s="2" t="str">
        <f t="shared" si="18"/>
        <v>MHC3397AA5</v>
      </c>
      <c r="S243" s="1"/>
      <c r="T243" s="1">
        <v>0</v>
      </c>
      <c r="U243" s="28"/>
      <c r="V243" s="1"/>
      <c r="W243" s="1"/>
      <c r="X243" s="1"/>
      <c r="Y243" s="2"/>
      <c r="Z243" s="1"/>
      <c r="AB243" s="1" t="s">
        <v>972</v>
      </c>
      <c r="AC243" s="28">
        <f t="shared" si="17"/>
        <v>109480</v>
      </c>
      <c r="AD243" s="1"/>
      <c r="AE243" s="1">
        <f t="shared" si="15"/>
        <v>0</v>
      </c>
      <c r="AF243" s="1"/>
      <c r="AG243" s="1"/>
      <c r="AL243" s="1"/>
      <c r="AO243" s="1"/>
    </row>
    <row r="244" spans="1:41" ht="30" x14ac:dyDescent="0.25">
      <c r="A244" s="1" t="s">
        <v>1007</v>
      </c>
      <c r="B244" s="1" t="s">
        <v>1037</v>
      </c>
      <c r="C244" s="4" t="s">
        <v>1006</v>
      </c>
      <c r="D244" s="28">
        <v>0</v>
      </c>
      <c r="E244" s="2" t="s">
        <v>996</v>
      </c>
      <c r="F244" s="10" t="s">
        <v>750</v>
      </c>
      <c r="G244" s="10" t="s">
        <v>72</v>
      </c>
      <c r="H244" s="4" t="s">
        <v>712</v>
      </c>
      <c r="I244" s="4" t="s">
        <v>781</v>
      </c>
      <c r="J244" s="3"/>
      <c r="K244" s="1" t="s">
        <v>59</v>
      </c>
      <c r="L244" s="1" t="s">
        <v>55</v>
      </c>
      <c r="M244" s="1"/>
      <c r="N244" s="1"/>
      <c r="P244" s="10"/>
      <c r="R244" s="2" t="str">
        <f t="shared" si="18"/>
        <v>MHC3397AA6</v>
      </c>
      <c r="S244" s="1"/>
      <c r="T244" s="1">
        <v>0</v>
      </c>
      <c r="U244" s="28"/>
      <c r="V244" s="1"/>
      <c r="W244" s="1"/>
      <c r="X244" s="1"/>
      <c r="Y244" s="2"/>
      <c r="Z244" s="1"/>
      <c r="AB244" s="1" t="s">
        <v>972</v>
      </c>
      <c r="AC244" s="28">
        <f t="shared" si="17"/>
        <v>109480</v>
      </c>
      <c r="AD244" s="1"/>
      <c r="AE244" s="1">
        <f t="shared" si="15"/>
        <v>0</v>
      </c>
      <c r="AF244" s="1"/>
      <c r="AG244" s="1"/>
      <c r="AL244" s="1"/>
      <c r="AO244" s="1"/>
    </row>
    <row r="245" spans="1:41" ht="30" x14ac:dyDescent="0.25">
      <c r="A245" s="1" t="s">
        <v>1009</v>
      </c>
      <c r="B245" s="1" t="s">
        <v>1037</v>
      </c>
      <c r="C245" s="4" t="s">
        <v>1008</v>
      </c>
      <c r="D245" s="28">
        <v>0</v>
      </c>
      <c r="E245" s="2" t="s">
        <v>996</v>
      </c>
      <c r="F245" s="10" t="s">
        <v>750</v>
      </c>
      <c r="G245" s="10" t="s">
        <v>72</v>
      </c>
      <c r="H245" s="4" t="s">
        <v>712</v>
      </c>
      <c r="I245" s="4" t="s">
        <v>781</v>
      </c>
      <c r="J245" s="3"/>
      <c r="K245" s="1" t="s">
        <v>59</v>
      </c>
      <c r="L245" s="1" t="s">
        <v>55</v>
      </c>
      <c r="M245" s="1"/>
      <c r="N245" s="1"/>
      <c r="P245" s="10"/>
      <c r="R245" s="2" t="str">
        <f t="shared" si="18"/>
        <v>MHC3397AA7</v>
      </c>
      <c r="S245" s="1"/>
      <c r="T245" s="1">
        <v>0</v>
      </c>
      <c r="U245" s="28"/>
      <c r="V245" s="1"/>
      <c r="W245" s="1"/>
      <c r="X245" s="1"/>
      <c r="Y245" s="2"/>
      <c r="Z245" s="1"/>
      <c r="AB245" s="1" t="s">
        <v>972</v>
      </c>
      <c r="AC245" s="28">
        <f t="shared" si="17"/>
        <v>109480</v>
      </c>
      <c r="AD245" s="1"/>
      <c r="AE245" s="1">
        <f t="shared" si="15"/>
        <v>0</v>
      </c>
      <c r="AF245" s="1"/>
      <c r="AG245" s="1"/>
      <c r="AL245" s="1"/>
      <c r="AO245" s="1"/>
    </row>
    <row r="246" spans="1:41" ht="30" x14ac:dyDescent="0.25">
      <c r="A246" s="1" t="s">
        <v>1011</v>
      </c>
      <c r="B246" s="1" t="s">
        <v>1037</v>
      </c>
      <c r="C246" s="4" t="s">
        <v>1010</v>
      </c>
      <c r="D246" s="28">
        <v>0</v>
      </c>
      <c r="E246" s="2" t="s">
        <v>996</v>
      </c>
      <c r="F246" s="10" t="s">
        <v>750</v>
      </c>
      <c r="G246" s="10" t="s">
        <v>72</v>
      </c>
      <c r="H246" s="4" t="s">
        <v>712</v>
      </c>
      <c r="I246" s="4" t="s">
        <v>781</v>
      </c>
      <c r="J246" s="3"/>
      <c r="K246" s="1" t="s">
        <v>59</v>
      </c>
      <c r="L246" s="1" t="s">
        <v>55</v>
      </c>
      <c r="M246" s="1"/>
      <c r="N246" s="1"/>
      <c r="P246" s="10"/>
      <c r="R246" s="2" t="str">
        <f t="shared" si="18"/>
        <v>MHC3397AA8</v>
      </c>
      <c r="S246" s="1"/>
      <c r="T246" s="1">
        <v>0</v>
      </c>
      <c r="U246" s="28"/>
      <c r="V246" s="1"/>
      <c r="W246" s="1"/>
      <c r="X246" s="1"/>
      <c r="Y246" s="2"/>
      <c r="Z246" s="1"/>
      <c r="AB246" s="1" t="s">
        <v>972</v>
      </c>
      <c r="AC246" s="28">
        <f t="shared" si="17"/>
        <v>109480</v>
      </c>
      <c r="AD246" s="1"/>
      <c r="AE246" s="1">
        <f t="shared" si="15"/>
        <v>0</v>
      </c>
      <c r="AF246" s="1"/>
      <c r="AG246" s="1"/>
      <c r="AL246" s="1"/>
      <c r="AO246" s="1"/>
    </row>
    <row r="247" spans="1:41" ht="30" x14ac:dyDescent="0.25">
      <c r="A247" s="1" t="s">
        <v>1013</v>
      </c>
      <c r="B247" s="1" t="s">
        <v>1037</v>
      </c>
      <c r="C247" s="4" t="s">
        <v>1012</v>
      </c>
      <c r="D247" s="28">
        <v>0</v>
      </c>
      <c r="E247" s="2" t="s">
        <v>996</v>
      </c>
      <c r="F247" s="10" t="s">
        <v>750</v>
      </c>
      <c r="G247" s="10" t="s">
        <v>72</v>
      </c>
      <c r="H247" s="4" t="s">
        <v>712</v>
      </c>
      <c r="I247" s="4" t="s">
        <v>781</v>
      </c>
      <c r="J247" s="3"/>
      <c r="K247" s="1" t="s">
        <v>59</v>
      </c>
      <c r="L247" s="1" t="s">
        <v>55</v>
      </c>
      <c r="M247" s="1"/>
      <c r="N247" s="1"/>
      <c r="P247" s="10"/>
      <c r="R247" s="2" t="str">
        <f t="shared" si="18"/>
        <v>MHC3397AA9</v>
      </c>
      <c r="S247" s="1"/>
      <c r="T247" s="1">
        <v>0</v>
      </c>
      <c r="U247" s="28"/>
      <c r="V247" s="1"/>
      <c r="W247" s="1"/>
      <c r="X247" s="1"/>
      <c r="Y247" s="2"/>
      <c r="Z247" s="1"/>
      <c r="AB247" s="1" t="s">
        <v>972</v>
      </c>
      <c r="AC247" s="28">
        <f t="shared" si="17"/>
        <v>109480</v>
      </c>
      <c r="AD247" s="1"/>
      <c r="AE247" s="1">
        <f t="shared" si="15"/>
        <v>0</v>
      </c>
      <c r="AF247" s="1"/>
      <c r="AG247" s="1"/>
      <c r="AL247" s="1"/>
      <c r="AO247" s="1"/>
    </row>
    <row r="248" spans="1:41" ht="30" x14ac:dyDescent="0.25">
      <c r="A248" s="1" t="s">
        <v>274</v>
      </c>
      <c r="B248" s="1" t="s">
        <v>1037</v>
      </c>
      <c r="C248" s="4" t="s">
        <v>273</v>
      </c>
      <c r="D248" s="28">
        <v>0</v>
      </c>
      <c r="E248" s="2" t="s">
        <v>272</v>
      </c>
      <c r="H248" s="4" t="s">
        <v>269</v>
      </c>
      <c r="I248" s="4" t="s">
        <v>271</v>
      </c>
      <c r="J248" s="3" t="s">
        <v>28</v>
      </c>
      <c r="K248" s="1" t="s">
        <v>29</v>
      </c>
      <c r="L248" s="1" t="s">
        <v>60</v>
      </c>
      <c r="M248" s="1"/>
      <c r="N248" s="1"/>
      <c r="P248" s="1"/>
      <c r="Q248" s="19" t="s">
        <v>273</v>
      </c>
      <c r="R248" s="2" t="str">
        <f t="shared" si="18"/>
        <v>MHF6778AA</v>
      </c>
      <c r="S248" s="1"/>
      <c r="T248" s="28">
        <v>0</v>
      </c>
      <c r="U248" s="28"/>
      <c r="V248" s="1"/>
      <c r="W248" s="1"/>
      <c r="X248" s="1"/>
      <c r="Y248" s="2"/>
      <c r="Z248" s="1"/>
      <c r="AB248" s="29" t="s">
        <v>1241</v>
      </c>
      <c r="AC248" s="28">
        <f t="shared" si="17"/>
        <v>109480</v>
      </c>
      <c r="AD248" s="1" t="s">
        <v>41</v>
      </c>
      <c r="AE248" s="1">
        <f t="shared" si="15"/>
        <v>0</v>
      </c>
      <c r="AF248" s="1"/>
      <c r="AG248" s="1"/>
      <c r="AL248" s="1"/>
      <c r="AO248" s="1"/>
    </row>
    <row r="249" spans="1:41" x14ac:dyDescent="0.25">
      <c r="A249" s="1" t="s">
        <v>782</v>
      </c>
      <c r="B249" s="1" t="s">
        <v>1037</v>
      </c>
      <c r="C249" s="4" t="s">
        <v>1646</v>
      </c>
      <c r="D249" s="28">
        <v>0</v>
      </c>
      <c r="F249" s="1">
        <v>0</v>
      </c>
      <c r="G249" s="1">
        <v>31302</v>
      </c>
      <c r="H249" s="4" t="s">
        <v>781</v>
      </c>
      <c r="I249" s="4" t="s">
        <v>783</v>
      </c>
      <c r="J249" s="3"/>
      <c r="K249" s="1" t="s">
        <v>29</v>
      </c>
      <c r="L249" s="1"/>
      <c r="M249" s="1"/>
      <c r="N249" s="1"/>
      <c r="O249" s="2"/>
      <c r="P249" s="1"/>
      <c r="R249" s="1" t="s">
        <v>782</v>
      </c>
      <c r="S249" s="1"/>
      <c r="T249" s="1">
        <v>0</v>
      </c>
      <c r="U249" s="28"/>
      <c r="V249" s="1"/>
      <c r="W249" s="1"/>
      <c r="X249" s="1"/>
      <c r="Y249" s="2"/>
      <c r="Z249" s="1"/>
      <c r="AA249" s="1" t="s">
        <v>784</v>
      </c>
      <c r="AB249" s="1" t="s">
        <v>67</v>
      </c>
      <c r="AC249" s="28">
        <f t="shared" si="17"/>
        <v>109480</v>
      </c>
      <c r="AD249" s="1"/>
      <c r="AE249" s="1">
        <f t="shared" si="15"/>
        <v>0</v>
      </c>
      <c r="AF249" s="1"/>
      <c r="AG249" s="1"/>
      <c r="AL249" s="1"/>
      <c r="AO249" s="1"/>
    </row>
    <row r="250" spans="1:41" x14ac:dyDescent="0.25">
      <c r="A250" s="1" t="s">
        <v>787</v>
      </c>
      <c r="B250" s="1" t="s">
        <v>1037</v>
      </c>
      <c r="C250" s="4" t="str">
        <f>Q250</f>
        <v>WHEEL BEARING GREASE THROWER</v>
      </c>
      <c r="H250" s="4" t="s">
        <v>781</v>
      </c>
      <c r="I250" s="4" t="s">
        <v>783</v>
      </c>
      <c r="J250" s="3"/>
      <c r="K250" s="1" t="s">
        <v>29</v>
      </c>
      <c r="L250" s="1"/>
      <c r="M250" s="1"/>
      <c r="N250" s="1"/>
      <c r="P250" s="1"/>
      <c r="Q250" s="2" t="s">
        <v>788</v>
      </c>
      <c r="R250" s="1" t="str">
        <f>A250</f>
        <v>MJA1846AA</v>
      </c>
      <c r="S250" s="1"/>
      <c r="T250" s="1">
        <v>0</v>
      </c>
      <c r="U250" s="28"/>
      <c r="V250" s="1"/>
      <c r="W250" s="1"/>
      <c r="X250" s="1"/>
      <c r="Y250" s="2"/>
      <c r="Z250" s="1"/>
      <c r="AB250" s="1" t="s">
        <v>67</v>
      </c>
      <c r="AC250" s="28">
        <f t="shared" si="17"/>
        <v>109480</v>
      </c>
      <c r="AD250" s="1"/>
      <c r="AE250" s="1">
        <f t="shared" ref="AE250:AE313" si="19">S250*D250</f>
        <v>0</v>
      </c>
      <c r="AF250" s="1"/>
      <c r="AG250" s="1"/>
      <c r="AL250" s="1"/>
      <c r="AO250" s="1"/>
    </row>
    <row r="251" spans="1:41" ht="45" x14ac:dyDescent="0.25">
      <c r="A251" s="1" t="s">
        <v>69</v>
      </c>
      <c r="B251" s="1" t="s">
        <v>1037</v>
      </c>
      <c r="C251" s="4" t="s">
        <v>68</v>
      </c>
      <c r="D251" s="28">
        <v>3</v>
      </c>
      <c r="E251" s="2" t="s">
        <v>71</v>
      </c>
      <c r="F251" s="1" t="s">
        <v>110</v>
      </c>
      <c r="G251" s="10" t="s">
        <v>72</v>
      </c>
      <c r="I251" s="4" t="s">
        <v>27</v>
      </c>
      <c r="J251" s="3"/>
      <c r="K251" s="1" t="s">
        <v>29</v>
      </c>
      <c r="L251" s="1" t="s">
        <v>55</v>
      </c>
      <c r="M251" s="1" t="s">
        <v>31</v>
      </c>
      <c r="N251" s="1" t="s">
        <v>31</v>
      </c>
      <c r="O251" s="1" t="s">
        <v>70</v>
      </c>
      <c r="P251" s="10"/>
      <c r="Q251" s="2" t="s">
        <v>68</v>
      </c>
      <c r="R251" s="2" t="str">
        <f>A251</f>
        <v xml:space="preserve">MJA1849BE </v>
      </c>
      <c r="S251" s="1"/>
      <c r="T251" s="28">
        <v>0</v>
      </c>
      <c r="U251" s="28">
        <v>25</v>
      </c>
      <c r="V251" s="1"/>
      <c r="W251" s="1"/>
      <c r="X251" s="1" t="s">
        <v>47</v>
      </c>
      <c r="Y251" s="12" t="s">
        <v>73</v>
      </c>
      <c r="Z251" s="1"/>
      <c r="AB251" s="1" t="s">
        <v>1184</v>
      </c>
      <c r="AC251" s="28">
        <f t="shared" si="17"/>
        <v>109480</v>
      </c>
      <c r="AD251" s="1" t="s">
        <v>175</v>
      </c>
      <c r="AE251" s="1">
        <f t="shared" si="19"/>
        <v>0</v>
      </c>
      <c r="AF251" s="1"/>
      <c r="AG251" s="1"/>
      <c r="AL251" s="1"/>
      <c r="AO251" s="1"/>
    </row>
    <row r="252" spans="1:41" ht="45" x14ac:dyDescent="0.25">
      <c r="A252" s="1" t="s">
        <v>602</v>
      </c>
      <c r="B252" s="1" t="s">
        <v>1534</v>
      </c>
      <c r="C252" s="4" t="s">
        <v>1371</v>
      </c>
      <c r="D252" s="28">
        <v>2</v>
      </c>
      <c r="E252" s="1" t="s">
        <v>1544</v>
      </c>
      <c r="F252" s="1" t="s">
        <v>1547</v>
      </c>
      <c r="G252" s="1" t="s">
        <v>1548</v>
      </c>
      <c r="H252" s="4" t="s">
        <v>601</v>
      </c>
      <c r="I252" s="4" t="s">
        <v>603</v>
      </c>
      <c r="J252" s="3" t="s">
        <v>101</v>
      </c>
      <c r="K252" s="1" t="s">
        <v>29</v>
      </c>
      <c r="L252" s="1" t="s">
        <v>55</v>
      </c>
      <c r="M252" s="1" t="s">
        <v>109</v>
      </c>
      <c r="N252" s="1"/>
      <c r="P252" s="1" t="s">
        <v>1546</v>
      </c>
      <c r="Q252" s="2" t="s">
        <v>604</v>
      </c>
      <c r="R252" s="1" t="str">
        <f>A252</f>
        <v>MJA2105AG</v>
      </c>
      <c r="S252" s="1"/>
      <c r="T252" s="1">
        <v>0</v>
      </c>
      <c r="U252" s="28"/>
      <c r="V252" s="1"/>
      <c r="W252" s="1"/>
      <c r="X252" s="1"/>
      <c r="Y252" s="12" t="s">
        <v>1545</v>
      </c>
      <c r="Z252" s="1"/>
      <c r="AB252" s="1" t="s">
        <v>67</v>
      </c>
      <c r="AC252" s="28">
        <f t="shared" si="17"/>
        <v>109480</v>
      </c>
      <c r="AD252" s="1"/>
      <c r="AE252" s="1">
        <f t="shared" si="19"/>
        <v>0</v>
      </c>
      <c r="AF252" s="1"/>
      <c r="AG252" s="1"/>
      <c r="AL252" s="1"/>
      <c r="AO252" s="1"/>
    </row>
    <row r="253" spans="1:41" ht="45" x14ac:dyDescent="0.25">
      <c r="A253" s="1" t="s">
        <v>700</v>
      </c>
      <c r="B253" s="1" t="s">
        <v>1037</v>
      </c>
      <c r="C253" s="4" t="s">
        <v>699</v>
      </c>
      <c r="E253" s="2" t="s">
        <v>701</v>
      </c>
      <c r="F253" s="10" t="s">
        <v>702</v>
      </c>
      <c r="G253" s="10" t="s">
        <v>72</v>
      </c>
      <c r="H253" s="4" t="s">
        <v>185</v>
      </c>
      <c r="I253" s="4" t="s">
        <v>603</v>
      </c>
      <c r="J253" s="3" t="s">
        <v>101</v>
      </c>
      <c r="K253" s="1" t="s">
        <v>29</v>
      </c>
      <c r="L253" s="1" t="s">
        <v>55</v>
      </c>
      <c r="M253" s="1" t="s">
        <v>167</v>
      </c>
      <c r="N253" s="1"/>
      <c r="P253" s="10"/>
      <c r="Q253" s="2" t="s">
        <v>703</v>
      </c>
      <c r="R253" s="2" t="s">
        <v>700</v>
      </c>
      <c r="S253" s="1"/>
      <c r="T253" s="1">
        <v>0</v>
      </c>
      <c r="U253" s="28"/>
      <c r="V253" s="1"/>
      <c r="W253" s="1"/>
      <c r="X253" s="1"/>
      <c r="Y253" s="12" t="s">
        <v>704</v>
      </c>
      <c r="Z253" s="1"/>
      <c r="AB253" s="1"/>
      <c r="AC253" s="28">
        <f t="shared" si="17"/>
        <v>109480</v>
      </c>
      <c r="AD253" s="1"/>
      <c r="AE253" s="1">
        <f t="shared" si="19"/>
        <v>0</v>
      </c>
      <c r="AF253" s="1"/>
      <c r="AG253" s="1"/>
      <c r="AL253" s="1"/>
      <c r="AO253" s="1"/>
    </row>
    <row r="254" spans="1:41" x14ac:dyDescent="0.25">
      <c r="A254" s="1" t="s">
        <v>713</v>
      </c>
      <c r="B254" s="1" t="s">
        <v>1037</v>
      </c>
      <c r="C254" s="4" t="s">
        <v>711</v>
      </c>
      <c r="E254" s="2" t="s">
        <v>714</v>
      </c>
      <c r="F254" s="10" t="s">
        <v>702</v>
      </c>
      <c r="G254" s="10" t="s">
        <v>72</v>
      </c>
      <c r="H254" s="4" t="s">
        <v>712</v>
      </c>
      <c r="I254" s="4" t="s">
        <v>603</v>
      </c>
      <c r="J254" s="3" t="s">
        <v>101</v>
      </c>
      <c r="K254" s="1" t="s">
        <v>29</v>
      </c>
      <c r="L254" s="1" t="s">
        <v>55</v>
      </c>
      <c r="M254" s="1" t="s">
        <v>646</v>
      </c>
      <c r="N254" s="1"/>
      <c r="P254" s="10"/>
      <c r="Q254" s="2" t="s">
        <v>715</v>
      </c>
      <c r="R254" s="2" t="s">
        <v>713</v>
      </c>
      <c r="S254" s="1"/>
      <c r="T254" s="1">
        <v>0</v>
      </c>
      <c r="U254" s="28"/>
      <c r="V254" s="1"/>
      <c r="W254" s="1"/>
      <c r="X254" s="1"/>
      <c r="Y254" s="2"/>
      <c r="Z254" s="1"/>
      <c r="AB254" s="1"/>
      <c r="AC254" s="28">
        <f t="shared" si="17"/>
        <v>109480</v>
      </c>
      <c r="AD254" s="1"/>
      <c r="AE254" s="1">
        <f t="shared" si="19"/>
        <v>0</v>
      </c>
      <c r="AF254" s="1"/>
      <c r="AG254" s="1"/>
      <c r="AL254" s="1"/>
      <c r="AO254" s="1"/>
    </row>
    <row r="255" spans="1:41" x14ac:dyDescent="0.25">
      <c r="A255" s="1" t="s">
        <v>717</v>
      </c>
      <c r="B255" s="1" t="s">
        <v>1037</v>
      </c>
      <c r="C255" s="4" t="s">
        <v>716</v>
      </c>
      <c r="E255" s="2" t="s">
        <v>718</v>
      </c>
      <c r="F255" s="10" t="s">
        <v>719</v>
      </c>
      <c r="G255" s="10" t="s">
        <v>72</v>
      </c>
      <c r="H255" s="4" t="s">
        <v>185</v>
      </c>
      <c r="I255" s="4" t="s">
        <v>603</v>
      </c>
      <c r="J255" s="3" t="s">
        <v>101</v>
      </c>
      <c r="K255" s="1" t="s">
        <v>29</v>
      </c>
      <c r="L255" s="1" t="s">
        <v>55</v>
      </c>
      <c r="M255" s="1" t="s">
        <v>646</v>
      </c>
      <c r="N255" s="1"/>
      <c r="P255" s="10"/>
      <c r="Q255" s="2" t="s">
        <v>720</v>
      </c>
      <c r="R255" s="2" t="s">
        <v>717</v>
      </c>
      <c r="S255" s="1"/>
      <c r="T255" s="1">
        <v>0</v>
      </c>
      <c r="U255" s="28"/>
      <c r="V255" s="1"/>
      <c r="W255" s="1"/>
      <c r="X255" s="1"/>
      <c r="Y255" s="2"/>
      <c r="Z255" s="1"/>
      <c r="AB255" s="1"/>
      <c r="AC255" s="28">
        <f t="shared" si="17"/>
        <v>109480</v>
      </c>
      <c r="AD255" s="1"/>
      <c r="AE255" s="1">
        <f t="shared" si="19"/>
        <v>0</v>
      </c>
      <c r="AF255" s="1"/>
      <c r="AG255" s="1"/>
      <c r="AL255" s="1"/>
      <c r="AO255" s="1"/>
    </row>
    <row r="256" spans="1:41" ht="45" x14ac:dyDescent="0.25">
      <c r="A256" s="1" t="s">
        <v>722</v>
      </c>
      <c r="B256" s="1" t="s">
        <v>1037</v>
      </c>
      <c r="C256" s="4" t="s">
        <v>721</v>
      </c>
      <c r="E256" s="2" t="s">
        <v>723</v>
      </c>
      <c r="F256" s="10" t="s">
        <v>724</v>
      </c>
      <c r="G256" s="10" t="s">
        <v>72</v>
      </c>
      <c r="H256" s="4" t="s">
        <v>151</v>
      </c>
      <c r="I256" s="4" t="s">
        <v>603</v>
      </c>
      <c r="J256" s="3" t="s">
        <v>101</v>
      </c>
      <c r="K256" s="1" t="s">
        <v>29</v>
      </c>
      <c r="L256" s="1" t="s">
        <v>55</v>
      </c>
      <c r="M256" s="1" t="s">
        <v>167</v>
      </c>
      <c r="N256" s="1"/>
      <c r="P256" s="10"/>
      <c r="Q256" s="2" t="s">
        <v>725</v>
      </c>
      <c r="R256" s="2" t="s">
        <v>726</v>
      </c>
      <c r="S256" s="1"/>
      <c r="T256" s="1">
        <v>0</v>
      </c>
      <c r="U256" s="28"/>
      <c r="V256" s="1"/>
      <c r="W256" s="1"/>
      <c r="X256" s="1"/>
      <c r="Y256" s="12" t="s">
        <v>727</v>
      </c>
      <c r="Z256" s="1"/>
      <c r="AB256" s="1" t="s">
        <v>307</v>
      </c>
      <c r="AC256" s="28">
        <f t="shared" si="17"/>
        <v>109480</v>
      </c>
      <c r="AD256" s="1"/>
      <c r="AE256" s="1">
        <f t="shared" si="19"/>
        <v>0</v>
      </c>
      <c r="AF256" s="1"/>
      <c r="AG256" s="1"/>
      <c r="AL256" s="1"/>
      <c r="AO256" s="1"/>
    </row>
    <row r="257" spans="1:41" ht="45" x14ac:dyDescent="0.25">
      <c r="A257" s="1" t="s">
        <v>266</v>
      </c>
      <c r="B257" s="1" t="s">
        <v>1037</v>
      </c>
      <c r="C257" s="4" t="s">
        <v>265</v>
      </c>
      <c r="D257" s="28">
        <v>2</v>
      </c>
      <c r="E257" s="2" t="s">
        <v>267</v>
      </c>
      <c r="H257" s="4" t="s">
        <v>151</v>
      </c>
      <c r="I257" s="4" t="s">
        <v>151</v>
      </c>
      <c r="J257" s="3" t="s">
        <v>28</v>
      </c>
      <c r="K257" s="1" t="s">
        <v>29</v>
      </c>
      <c r="L257" s="1" t="s">
        <v>55</v>
      </c>
      <c r="M257" s="1" t="s">
        <v>84</v>
      </c>
      <c r="N257" s="1"/>
      <c r="O257" s="1" t="s">
        <v>32</v>
      </c>
      <c r="P257" s="1"/>
      <c r="Q257" s="19" t="s">
        <v>265</v>
      </c>
      <c r="R257" s="2" t="str">
        <f>A257</f>
        <v>MJA2547AA</v>
      </c>
      <c r="S257" s="1"/>
      <c r="T257" s="28">
        <v>0</v>
      </c>
      <c r="U257" s="28"/>
      <c r="V257" s="1"/>
      <c r="W257" s="1"/>
      <c r="X257" s="1"/>
      <c r="Y257" s="2"/>
      <c r="Z257" s="1"/>
      <c r="AB257" s="29" t="s">
        <v>1241</v>
      </c>
      <c r="AC257" s="28">
        <f t="shared" si="17"/>
        <v>109480</v>
      </c>
      <c r="AD257" s="1" t="s">
        <v>41</v>
      </c>
      <c r="AE257" s="1">
        <f t="shared" si="19"/>
        <v>0</v>
      </c>
      <c r="AF257" s="1"/>
      <c r="AG257" s="1"/>
      <c r="AL257" s="1"/>
      <c r="AO257" s="1"/>
    </row>
    <row r="258" spans="1:41" ht="45" x14ac:dyDescent="0.25">
      <c r="A258" s="1" t="s">
        <v>904</v>
      </c>
      <c r="B258" s="1" t="s">
        <v>1037</v>
      </c>
      <c r="C258" s="4" t="s">
        <v>903</v>
      </c>
      <c r="D258" s="28">
        <v>0</v>
      </c>
      <c r="E258" s="2" t="s">
        <v>906</v>
      </c>
      <c r="F258" s="10" t="s">
        <v>907</v>
      </c>
      <c r="G258" s="10" t="s">
        <v>908</v>
      </c>
      <c r="H258" s="4" t="s">
        <v>260</v>
      </c>
      <c r="I258" s="4" t="s">
        <v>905</v>
      </c>
      <c r="J258" s="3"/>
      <c r="K258" s="1" t="s">
        <v>59</v>
      </c>
      <c r="L258" s="1" t="s">
        <v>83</v>
      </c>
      <c r="M258" s="1" t="s">
        <v>84</v>
      </c>
      <c r="N258" s="1"/>
      <c r="O258" s="1" t="s">
        <v>32</v>
      </c>
      <c r="P258" s="10"/>
      <c r="Q258" s="19" t="s">
        <v>903</v>
      </c>
      <c r="R258" s="2" t="str">
        <f>A258</f>
        <v>MJA2590BF</v>
      </c>
      <c r="S258" s="1">
        <v>195</v>
      </c>
      <c r="T258" s="1">
        <v>0</v>
      </c>
      <c r="U258" s="28"/>
      <c r="V258" s="1"/>
      <c r="W258" s="1"/>
      <c r="X258" s="1" t="s">
        <v>47</v>
      </c>
      <c r="Y258" s="2"/>
      <c r="Z258" s="1"/>
      <c r="AB258" s="29" t="s">
        <v>1241</v>
      </c>
      <c r="AC258" s="28">
        <f t="shared" si="17"/>
        <v>109480</v>
      </c>
      <c r="AD258" s="1" t="s">
        <v>1363</v>
      </c>
      <c r="AE258" s="1">
        <f t="shared" si="19"/>
        <v>0</v>
      </c>
      <c r="AF258" s="1"/>
      <c r="AG258" s="1"/>
      <c r="AL258" s="1"/>
      <c r="AO258" s="1"/>
    </row>
    <row r="259" spans="1:41" ht="30" x14ac:dyDescent="0.25">
      <c r="A259" s="1" t="s">
        <v>798</v>
      </c>
      <c r="B259" s="1" t="s">
        <v>1037</v>
      </c>
      <c r="C259" s="4" t="s">
        <v>797</v>
      </c>
      <c r="D259" s="28">
        <v>0</v>
      </c>
      <c r="E259" s="2" t="s">
        <v>799</v>
      </c>
      <c r="H259" s="4" t="s">
        <v>260</v>
      </c>
      <c r="I259" s="4" t="s">
        <v>225</v>
      </c>
      <c r="J259" s="3" t="s">
        <v>278</v>
      </c>
      <c r="K259" s="1" t="s">
        <v>59</v>
      </c>
      <c r="L259" s="1" t="s">
        <v>83</v>
      </c>
      <c r="M259" s="1" t="s">
        <v>84</v>
      </c>
      <c r="N259" s="1"/>
      <c r="O259" s="1" t="s">
        <v>32</v>
      </c>
      <c r="P259" s="1"/>
      <c r="Q259" s="19"/>
      <c r="R259" s="2" t="str">
        <f>A259</f>
        <v>MJA2622AA</v>
      </c>
      <c r="S259" s="1">
        <v>95</v>
      </c>
      <c r="T259" s="28">
        <v>0</v>
      </c>
      <c r="U259" s="28"/>
      <c r="V259" s="1"/>
      <c r="W259" s="1"/>
      <c r="X259" s="1" t="s">
        <v>47</v>
      </c>
      <c r="Y259" s="2"/>
      <c r="Z259" s="1"/>
      <c r="AB259" s="29" t="s">
        <v>1241</v>
      </c>
      <c r="AC259" s="28">
        <f t="shared" si="17"/>
        <v>109480</v>
      </c>
      <c r="AD259" s="1" t="s">
        <v>41</v>
      </c>
      <c r="AE259" s="1">
        <f t="shared" si="19"/>
        <v>0</v>
      </c>
      <c r="AF259" s="1"/>
      <c r="AG259" s="1"/>
      <c r="AL259" s="1"/>
      <c r="AO259" s="1"/>
    </row>
    <row r="260" spans="1:41" ht="45" x14ac:dyDescent="0.25">
      <c r="A260" s="1" t="s">
        <v>261</v>
      </c>
      <c r="B260" s="1" t="s">
        <v>1037</v>
      </c>
      <c r="C260" s="4" t="s">
        <v>259</v>
      </c>
      <c r="D260" s="28">
        <v>0</v>
      </c>
      <c r="E260" s="2" t="s">
        <v>263</v>
      </c>
      <c r="G260" s="10" t="s">
        <v>264</v>
      </c>
      <c r="H260" s="4" t="s">
        <v>260</v>
      </c>
      <c r="I260" s="4" t="s">
        <v>262</v>
      </c>
      <c r="J260" s="3"/>
      <c r="K260" s="1" t="s">
        <v>59</v>
      </c>
      <c r="L260" s="1" t="s">
        <v>83</v>
      </c>
      <c r="M260" s="1" t="s">
        <v>84</v>
      </c>
      <c r="N260" s="1"/>
      <c r="O260" s="1" t="s">
        <v>32</v>
      </c>
      <c r="P260" s="10"/>
      <c r="Q260" s="19" t="s">
        <v>259</v>
      </c>
      <c r="R260" s="2" t="str">
        <f>A260</f>
        <v>MJA3713AA</v>
      </c>
      <c r="S260" s="1">
        <v>35</v>
      </c>
      <c r="T260" s="28">
        <v>0</v>
      </c>
      <c r="U260" s="28"/>
      <c r="V260" s="1"/>
      <c r="W260" s="1"/>
      <c r="X260" s="1"/>
      <c r="Y260" s="2"/>
      <c r="Z260" s="1"/>
      <c r="AB260" s="29" t="s">
        <v>1241</v>
      </c>
      <c r="AC260" s="28">
        <f t="shared" si="17"/>
        <v>109480</v>
      </c>
      <c r="AD260" s="1" t="s">
        <v>41</v>
      </c>
      <c r="AE260" s="1">
        <f t="shared" si="19"/>
        <v>0</v>
      </c>
      <c r="AF260" s="1"/>
      <c r="AG260" s="1"/>
      <c r="AL260" s="1"/>
      <c r="AO260" s="1"/>
    </row>
    <row r="261" spans="1:41" ht="45" x14ac:dyDescent="0.25">
      <c r="A261" s="1" t="s">
        <v>1529</v>
      </c>
      <c r="B261" s="1" t="s">
        <v>1534</v>
      </c>
      <c r="C261" s="4" t="s">
        <v>1528</v>
      </c>
      <c r="D261" s="28">
        <v>1</v>
      </c>
      <c r="E261" s="2" t="s">
        <v>1530</v>
      </c>
      <c r="F261" s="1" t="s">
        <v>1531</v>
      </c>
      <c r="G261" s="1" t="s">
        <v>1532</v>
      </c>
      <c r="H261" s="4" t="s">
        <v>603</v>
      </c>
      <c r="I261" s="4" t="s">
        <v>603</v>
      </c>
      <c r="J261" s="3" t="s">
        <v>101</v>
      </c>
      <c r="K261" s="1" t="s">
        <v>59</v>
      </c>
      <c r="L261" s="1" t="s">
        <v>1508</v>
      </c>
      <c r="M261" s="1"/>
      <c r="N261" s="1"/>
      <c r="P261" s="1"/>
      <c r="Q261" s="4" t="s">
        <v>1528</v>
      </c>
      <c r="R261" s="1" t="s">
        <v>1529</v>
      </c>
      <c r="S261" s="1">
        <v>30</v>
      </c>
      <c r="T261" s="1"/>
      <c r="U261" s="28">
        <f>S261</f>
        <v>30</v>
      </c>
      <c r="V261" s="30">
        <f>Parts[[#This Row],[Price Euro]]/1.08</f>
        <v>27.777777777777775</v>
      </c>
      <c r="W261" s="1" t="s">
        <v>1513</v>
      </c>
      <c r="X261" s="1" t="s">
        <v>78</v>
      </c>
      <c r="Y261" s="2" t="s">
        <v>1533</v>
      </c>
      <c r="Z261" s="1"/>
      <c r="AB261" s="1" t="s">
        <v>1241</v>
      </c>
      <c r="AC261" s="28">
        <f t="shared" si="17"/>
        <v>109480</v>
      </c>
      <c r="AD261" s="1"/>
      <c r="AE261" s="1">
        <f t="shared" si="19"/>
        <v>30</v>
      </c>
      <c r="AF261" s="1"/>
      <c r="AG261" s="1"/>
      <c r="AL261" s="1"/>
      <c r="AO261" s="1"/>
    </row>
    <row r="262" spans="1:41" ht="60" x14ac:dyDescent="0.25">
      <c r="A262" s="1" t="s">
        <v>1647</v>
      </c>
      <c r="B262" s="1" t="s">
        <v>1037</v>
      </c>
      <c r="C262" s="4" t="s">
        <v>1257</v>
      </c>
      <c r="D262" s="28">
        <v>1</v>
      </c>
      <c r="E262" s="2" t="s">
        <v>1246</v>
      </c>
      <c r="F262" s="1" t="s">
        <v>110</v>
      </c>
      <c r="G262" s="10" t="s">
        <v>72</v>
      </c>
      <c r="H262" s="4" t="s">
        <v>1258</v>
      </c>
      <c r="I262" s="4" t="s">
        <v>433</v>
      </c>
      <c r="J262" s="3" t="s">
        <v>76</v>
      </c>
      <c r="K262" s="1" t="s">
        <v>29</v>
      </c>
      <c r="L262" s="1" t="s">
        <v>83</v>
      </c>
      <c r="M262" s="1"/>
      <c r="N262" s="1"/>
      <c r="O262" s="1" t="s">
        <v>32</v>
      </c>
      <c r="P262" s="10"/>
      <c r="Q262" s="2" t="s">
        <v>1247</v>
      </c>
      <c r="R262" s="1" t="s">
        <v>1248</v>
      </c>
      <c r="S262" s="1">
        <v>295</v>
      </c>
      <c r="T262" s="28">
        <v>0</v>
      </c>
      <c r="U262" s="28">
        <f>S262</f>
        <v>295</v>
      </c>
      <c r="V262" s="1"/>
      <c r="W262" s="1"/>
      <c r="X262" s="1" t="s">
        <v>47</v>
      </c>
      <c r="Y262" s="2"/>
      <c r="Z262" s="1"/>
      <c r="AA262" s="1" t="s">
        <v>1249</v>
      </c>
      <c r="AB262" s="29" t="s">
        <v>1241</v>
      </c>
      <c r="AC262" s="28">
        <f t="shared" si="17"/>
        <v>109480</v>
      </c>
      <c r="AD262" s="1"/>
      <c r="AE262" s="1">
        <f t="shared" si="19"/>
        <v>295</v>
      </c>
      <c r="AF262" s="1"/>
      <c r="AG262" s="1"/>
      <c r="AL262" s="1"/>
      <c r="AO262" s="1"/>
    </row>
    <row r="263" spans="1:41" ht="30" x14ac:dyDescent="0.25">
      <c r="A263" s="1" t="s">
        <v>80</v>
      </c>
      <c r="B263" s="1" t="s">
        <v>1037</v>
      </c>
      <c r="C263" s="4" t="s">
        <v>79</v>
      </c>
      <c r="E263" s="1" t="s">
        <v>85</v>
      </c>
      <c r="F263" s="1" t="s">
        <v>86</v>
      </c>
      <c r="G263" s="1" t="s">
        <v>87</v>
      </c>
      <c r="H263" s="4" t="s">
        <v>25</v>
      </c>
      <c r="I263" s="4" t="s">
        <v>81</v>
      </c>
      <c r="J263" s="3" t="s">
        <v>82</v>
      </c>
      <c r="K263" s="1" t="s">
        <v>83</v>
      </c>
      <c r="L263" s="1" t="s">
        <v>83</v>
      </c>
      <c r="M263" s="1" t="s">
        <v>84</v>
      </c>
      <c r="N263" s="1"/>
      <c r="P263" s="1"/>
      <c r="S263" s="1"/>
      <c r="T263" s="1">
        <v>0</v>
      </c>
      <c r="U263" s="28"/>
      <c r="V263" s="1"/>
      <c r="W263" s="1"/>
      <c r="X263" s="1"/>
      <c r="Y263" s="2"/>
      <c r="Z263" s="1"/>
      <c r="AB263" s="1"/>
      <c r="AC263" s="28">
        <f t="shared" si="17"/>
        <v>109480</v>
      </c>
      <c r="AD263" s="1"/>
      <c r="AE263" s="1">
        <f t="shared" si="19"/>
        <v>0</v>
      </c>
      <c r="AF263" s="1"/>
      <c r="AG263" s="1"/>
      <c r="AL263" s="1"/>
      <c r="AO263" s="1"/>
    </row>
    <row r="264" spans="1:41" ht="30" x14ac:dyDescent="0.25">
      <c r="A264" s="1" t="s">
        <v>80</v>
      </c>
      <c r="B264" s="1" t="s">
        <v>1037</v>
      </c>
      <c r="C264" s="4" t="s">
        <v>79</v>
      </c>
      <c r="D264" s="28">
        <v>1</v>
      </c>
      <c r="E264" s="1" t="s">
        <v>85</v>
      </c>
      <c r="F264" s="1" t="s">
        <v>110</v>
      </c>
      <c r="G264" s="10" t="s">
        <v>72</v>
      </c>
      <c r="H264" s="4" t="s">
        <v>25</v>
      </c>
      <c r="I264" s="4" t="s">
        <v>81</v>
      </c>
      <c r="J264" s="3" t="s">
        <v>82</v>
      </c>
      <c r="K264" s="1" t="s">
        <v>83</v>
      </c>
      <c r="L264" s="1" t="s">
        <v>83</v>
      </c>
      <c r="M264" s="1" t="s">
        <v>84</v>
      </c>
      <c r="N264" s="1"/>
      <c r="P264" s="10"/>
      <c r="R264" s="1" t="s">
        <v>80</v>
      </c>
      <c r="S264" s="1">
        <v>150</v>
      </c>
      <c r="T264" s="28">
        <v>0</v>
      </c>
      <c r="U264" s="28" t="s">
        <v>111</v>
      </c>
      <c r="V264" s="1"/>
      <c r="W264" s="1"/>
      <c r="X264" s="1" t="s">
        <v>47</v>
      </c>
      <c r="Y264" s="12" t="s">
        <v>112</v>
      </c>
      <c r="Z264" s="1"/>
      <c r="AB264" s="1" t="s">
        <v>1186</v>
      </c>
      <c r="AC264" s="28">
        <f t="shared" si="17"/>
        <v>109480</v>
      </c>
      <c r="AD264" s="1" t="s">
        <v>175</v>
      </c>
      <c r="AE264" s="1">
        <f t="shared" si="19"/>
        <v>150</v>
      </c>
      <c r="AF264" s="1"/>
      <c r="AG264" s="1"/>
      <c r="AL264" s="1"/>
      <c r="AO264" s="1"/>
    </row>
    <row r="265" spans="1:41" ht="45" x14ac:dyDescent="0.25">
      <c r="A265" s="1" t="s">
        <v>582</v>
      </c>
      <c r="B265" s="1" t="s">
        <v>1037</v>
      </c>
      <c r="C265" s="4" t="s">
        <v>580</v>
      </c>
      <c r="D265" s="28">
        <v>1</v>
      </c>
      <c r="E265" s="2" t="s">
        <v>583</v>
      </c>
      <c r="G265" s="10" t="s">
        <v>39</v>
      </c>
      <c r="H265" s="4" t="s">
        <v>581</v>
      </c>
      <c r="I265" s="4" t="s">
        <v>335</v>
      </c>
      <c r="J265" s="3" t="s">
        <v>28</v>
      </c>
      <c r="K265" s="1" t="s">
        <v>29</v>
      </c>
      <c r="L265" s="1"/>
      <c r="M265" s="1" t="s">
        <v>167</v>
      </c>
      <c r="N265" s="1"/>
      <c r="P265" s="10"/>
      <c r="Q265" s="19" t="s">
        <v>580</v>
      </c>
      <c r="R265" s="1" t="s">
        <v>582</v>
      </c>
      <c r="S265" s="1"/>
      <c r="T265" s="28">
        <v>0</v>
      </c>
      <c r="U265" s="28"/>
      <c r="V265" s="1"/>
      <c r="W265" s="1"/>
      <c r="X265" s="1"/>
      <c r="Y265" s="2"/>
      <c r="Z265" s="1"/>
      <c r="AB265" s="29" t="s">
        <v>1241</v>
      </c>
      <c r="AC265" s="28">
        <f t="shared" si="17"/>
        <v>109480</v>
      </c>
      <c r="AD265" s="1" t="s">
        <v>41</v>
      </c>
      <c r="AE265" s="1">
        <f t="shared" si="19"/>
        <v>0</v>
      </c>
      <c r="AF265" s="1"/>
      <c r="AG265" s="1"/>
      <c r="AL265" s="1"/>
      <c r="AO265" s="1"/>
    </row>
    <row r="266" spans="1:41" ht="45" x14ac:dyDescent="0.25">
      <c r="A266" s="1" t="s">
        <v>458</v>
      </c>
      <c r="B266" s="1" t="s">
        <v>1037</v>
      </c>
      <c r="C266" s="4" t="s">
        <v>456</v>
      </c>
      <c r="D266" s="28">
        <v>1</v>
      </c>
      <c r="E266" s="2" t="s">
        <v>459</v>
      </c>
      <c r="H266" s="4" t="s">
        <v>457</v>
      </c>
      <c r="I266" s="4" t="s">
        <v>433</v>
      </c>
      <c r="J266" s="3" t="s">
        <v>76</v>
      </c>
      <c r="K266" s="1" t="s">
        <v>29</v>
      </c>
      <c r="L266" s="1" t="s">
        <v>60</v>
      </c>
      <c r="M266" s="1"/>
      <c r="N266" s="1" t="s">
        <v>434</v>
      </c>
      <c r="O266" s="1" t="s">
        <v>32</v>
      </c>
      <c r="P266" s="1"/>
      <c r="Q266" s="19" t="s">
        <v>456</v>
      </c>
      <c r="R266" s="2" t="str">
        <f>A266</f>
        <v>MJA6906AG</v>
      </c>
      <c r="S266" s="1"/>
      <c r="T266" s="28">
        <v>0</v>
      </c>
      <c r="U266" s="28"/>
      <c r="V266" s="1"/>
      <c r="W266" s="1"/>
      <c r="X266" s="1"/>
      <c r="Y266" s="2"/>
      <c r="Z266" s="1"/>
      <c r="AB266" s="29" t="s">
        <v>1241</v>
      </c>
      <c r="AC266" s="28">
        <f t="shared" si="17"/>
        <v>109480</v>
      </c>
      <c r="AD266" s="1" t="s">
        <v>41</v>
      </c>
      <c r="AE266" s="1">
        <f t="shared" si="19"/>
        <v>0</v>
      </c>
      <c r="AF266" s="1"/>
      <c r="AG266" s="1"/>
      <c r="AL266" s="1"/>
      <c r="AO266" s="1"/>
    </row>
    <row r="267" spans="1:41" ht="45" x14ac:dyDescent="0.25">
      <c r="A267" s="1" t="s">
        <v>156</v>
      </c>
      <c r="B267" s="1" t="s">
        <v>1037</v>
      </c>
      <c r="C267" s="4" t="s">
        <v>154</v>
      </c>
      <c r="D267" s="28">
        <v>1</v>
      </c>
      <c r="E267" s="2" t="s">
        <v>157</v>
      </c>
      <c r="H267" s="4" t="s">
        <v>155</v>
      </c>
      <c r="I267" s="4" t="s">
        <v>81</v>
      </c>
      <c r="J267" s="3" t="s">
        <v>28</v>
      </c>
      <c r="K267" s="1" t="s">
        <v>29</v>
      </c>
      <c r="L267" s="1" t="s">
        <v>83</v>
      </c>
      <c r="M267" s="1"/>
      <c r="N267" s="1"/>
      <c r="P267" s="1"/>
      <c r="Q267" s="19" t="s">
        <v>154</v>
      </c>
      <c r="R267" s="1" t="s">
        <v>156</v>
      </c>
      <c r="S267" s="1"/>
      <c r="T267" s="28">
        <v>0</v>
      </c>
      <c r="U267" s="28"/>
      <c r="V267" s="1"/>
      <c r="W267" s="1"/>
      <c r="X267" s="1"/>
      <c r="Y267" s="2"/>
      <c r="Z267" s="1"/>
      <c r="AB267" s="29" t="s">
        <v>1241</v>
      </c>
      <c r="AC267" s="28">
        <f t="shared" si="17"/>
        <v>109480</v>
      </c>
      <c r="AD267" s="1" t="s">
        <v>41</v>
      </c>
      <c r="AE267" s="1">
        <f t="shared" si="19"/>
        <v>0</v>
      </c>
      <c r="AF267" s="1"/>
      <c r="AG267" s="1"/>
      <c r="AL267" s="1"/>
      <c r="AO267" s="1"/>
    </row>
    <row r="268" spans="1:41" ht="60" x14ac:dyDescent="0.25">
      <c r="A268" s="1" t="s">
        <v>160</v>
      </c>
      <c r="B268" s="1" t="s">
        <v>1037</v>
      </c>
      <c r="C268" s="4" t="s">
        <v>158</v>
      </c>
      <c r="D268" s="28">
        <v>1</v>
      </c>
      <c r="E268" s="2" t="s">
        <v>161</v>
      </c>
      <c r="H268" s="4" t="s">
        <v>159</v>
      </c>
      <c r="I268" s="4" t="s">
        <v>81</v>
      </c>
      <c r="J268" s="3" t="s">
        <v>28</v>
      </c>
      <c r="K268" s="1" t="s">
        <v>29</v>
      </c>
      <c r="L268" s="1" t="s">
        <v>30</v>
      </c>
      <c r="M268" s="1"/>
      <c r="N268" s="1"/>
      <c r="P268" s="1"/>
      <c r="Q268" s="19" t="s">
        <v>158</v>
      </c>
      <c r="R268" s="1" t="s">
        <v>160</v>
      </c>
      <c r="S268" s="1"/>
      <c r="T268" s="28">
        <v>0</v>
      </c>
      <c r="U268" s="28"/>
      <c r="V268" s="1"/>
      <c r="W268" s="1"/>
      <c r="X268" s="1"/>
      <c r="Y268" s="2"/>
      <c r="Z268" s="1"/>
      <c r="AB268" s="29" t="s">
        <v>1241</v>
      </c>
      <c r="AC268" s="28">
        <f t="shared" si="17"/>
        <v>109480</v>
      </c>
      <c r="AD268" s="1" t="s">
        <v>41</v>
      </c>
      <c r="AE268" s="1">
        <f t="shared" si="19"/>
        <v>0</v>
      </c>
      <c r="AF268" s="1"/>
      <c r="AG268" s="1"/>
      <c r="AL268" s="1"/>
      <c r="AO268" s="1"/>
    </row>
    <row r="269" spans="1:41" ht="30" x14ac:dyDescent="0.25">
      <c r="A269" s="1" t="s">
        <v>201</v>
      </c>
      <c r="B269" s="1" t="s">
        <v>1037</v>
      </c>
      <c r="C269" s="4" t="s">
        <v>199</v>
      </c>
      <c r="D269" s="28">
        <v>2</v>
      </c>
      <c r="E269" s="2" t="s">
        <v>202</v>
      </c>
      <c r="F269" s="10" t="s">
        <v>203</v>
      </c>
      <c r="G269" s="10" t="s">
        <v>72</v>
      </c>
      <c r="H269" s="4" t="s">
        <v>200</v>
      </c>
      <c r="I269" s="4" t="s">
        <v>27</v>
      </c>
      <c r="J269" s="3"/>
      <c r="K269" s="1" t="s">
        <v>29</v>
      </c>
      <c r="L269" s="1" t="s">
        <v>55</v>
      </c>
      <c r="M269" s="1"/>
      <c r="N269" s="1"/>
      <c r="P269" s="10"/>
      <c r="Q269" s="2" t="str">
        <f>C269</f>
        <v>Brake Caliber Carrier</v>
      </c>
      <c r="R269" s="2" t="str">
        <f>A269</f>
        <v>MJD7861AA  (?)</v>
      </c>
      <c r="S269" s="1">
        <v>25</v>
      </c>
      <c r="T269" s="28">
        <v>0</v>
      </c>
      <c r="U269" s="28">
        <v>25</v>
      </c>
      <c r="V269" s="1" t="s">
        <v>204</v>
      </c>
      <c r="W269" s="1"/>
      <c r="X269" s="1" t="s">
        <v>47</v>
      </c>
      <c r="Y269" s="12" t="s">
        <v>205</v>
      </c>
      <c r="Z269" s="1"/>
      <c r="AB269" s="1" t="s">
        <v>1184</v>
      </c>
      <c r="AC269" s="28">
        <f t="shared" si="17"/>
        <v>109480</v>
      </c>
      <c r="AD269" s="1" t="s">
        <v>175</v>
      </c>
      <c r="AE269" s="1">
        <f t="shared" si="19"/>
        <v>50</v>
      </c>
      <c r="AF269" s="1"/>
      <c r="AG269" s="1"/>
      <c r="AL269" s="1"/>
      <c r="AO269" s="1"/>
    </row>
    <row r="270" spans="1:41" ht="45" x14ac:dyDescent="0.25">
      <c r="A270" s="1" t="s">
        <v>960</v>
      </c>
      <c r="B270" s="1" t="s">
        <v>1037</v>
      </c>
      <c r="C270" s="4" t="s">
        <v>959</v>
      </c>
      <c r="D270" s="28">
        <v>2</v>
      </c>
      <c r="E270" s="2" t="s">
        <v>961</v>
      </c>
      <c r="H270" s="4" t="s">
        <v>260</v>
      </c>
      <c r="I270" s="4" t="s">
        <v>225</v>
      </c>
      <c r="J270" s="3"/>
      <c r="K270" s="1" t="s">
        <v>59</v>
      </c>
      <c r="L270" s="1" t="s">
        <v>55</v>
      </c>
      <c r="M270" s="1" t="s">
        <v>84</v>
      </c>
      <c r="N270" s="1"/>
      <c r="P270" s="1"/>
      <c r="Q270" s="19" t="s">
        <v>959</v>
      </c>
      <c r="R270" s="2" t="str">
        <f>A270</f>
        <v>MMB2860AA</v>
      </c>
      <c r="S270" s="1">
        <v>35</v>
      </c>
      <c r="T270" s="28">
        <v>0</v>
      </c>
      <c r="U270" s="28"/>
      <c r="V270" s="1"/>
      <c r="W270" s="1"/>
      <c r="X270" s="1" t="s">
        <v>47</v>
      </c>
      <c r="Y270" s="2"/>
      <c r="Z270" s="1"/>
      <c r="AB270" s="29" t="s">
        <v>1241</v>
      </c>
      <c r="AC270" s="28">
        <f t="shared" si="17"/>
        <v>109480</v>
      </c>
      <c r="AD270" s="1" t="s">
        <v>41</v>
      </c>
      <c r="AE270" s="1">
        <f t="shared" si="19"/>
        <v>70</v>
      </c>
      <c r="AF270" s="1"/>
      <c r="AG270" s="1"/>
      <c r="AL270" s="1"/>
      <c r="AO270" s="1"/>
    </row>
    <row r="271" spans="1:41" ht="30" x14ac:dyDescent="0.25">
      <c r="A271" s="1" t="s">
        <v>955</v>
      </c>
      <c r="B271" s="1" t="s">
        <v>1037</v>
      </c>
      <c r="C271" s="4" t="s">
        <v>954</v>
      </c>
      <c r="D271" s="28">
        <v>1</v>
      </c>
      <c r="E271" s="2" t="s">
        <v>956</v>
      </c>
      <c r="G271" s="10" t="s">
        <v>957</v>
      </c>
      <c r="H271" s="4" t="s">
        <v>260</v>
      </c>
      <c r="I271" s="4" t="s">
        <v>603</v>
      </c>
      <c r="J271" s="3"/>
      <c r="K271" s="1" t="s">
        <v>59</v>
      </c>
      <c r="L271" s="1" t="s">
        <v>60</v>
      </c>
      <c r="M271" s="1" t="s">
        <v>84</v>
      </c>
      <c r="N271" s="1"/>
      <c r="O271" s="1" t="s">
        <v>32</v>
      </c>
      <c r="P271" s="10"/>
      <c r="Q271" s="19" t="s">
        <v>954</v>
      </c>
      <c r="R271" s="2" t="str">
        <f>A271</f>
        <v>MMD2960AA</v>
      </c>
      <c r="S271" s="1">
        <v>285</v>
      </c>
      <c r="T271" s="28">
        <v>0</v>
      </c>
      <c r="U271" s="28"/>
      <c r="V271" s="1"/>
      <c r="W271" s="1"/>
      <c r="X271" s="1" t="s">
        <v>47</v>
      </c>
      <c r="Y271" s="2"/>
      <c r="Z271" s="1"/>
      <c r="AB271" s="29" t="s">
        <v>1241</v>
      </c>
      <c r="AC271" s="28">
        <f t="shared" si="17"/>
        <v>109480</v>
      </c>
      <c r="AD271" s="1" t="s">
        <v>41</v>
      </c>
      <c r="AE271" s="1">
        <f t="shared" si="19"/>
        <v>285</v>
      </c>
      <c r="AF271" s="1"/>
      <c r="AG271" s="1"/>
      <c r="AL271" s="1"/>
      <c r="AO271" s="1"/>
    </row>
    <row r="272" spans="1:41" ht="30" x14ac:dyDescent="0.25">
      <c r="A272" s="1" t="s">
        <v>958</v>
      </c>
      <c r="B272" s="1" t="s">
        <v>1037</v>
      </c>
      <c r="C272" s="4" t="s">
        <v>954</v>
      </c>
      <c r="D272" s="28">
        <v>1</v>
      </c>
      <c r="E272" s="2" t="s">
        <v>956</v>
      </c>
      <c r="G272" s="10" t="s">
        <v>957</v>
      </c>
      <c r="H272" s="4" t="s">
        <v>260</v>
      </c>
      <c r="I272" s="4" t="s">
        <v>603</v>
      </c>
      <c r="J272" s="3"/>
      <c r="K272" s="1" t="s">
        <v>59</v>
      </c>
      <c r="L272" s="1" t="s">
        <v>30</v>
      </c>
      <c r="M272" s="1" t="s">
        <v>84</v>
      </c>
      <c r="N272" s="1"/>
      <c r="O272" s="1" t="s">
        <v>32</v>
      </c>
      <c r="P272" s="10"/>
      <c r="Q272" s="19" t="s">
        <v>954</v>
      </c>
      <c r="R272" s="2" t="str">
        <f>A272</f>
        <v>MMD2961AA</v>
      </c>
      <c r="S272" s="1">
        <v>285</v>
      </c>
      <c r="T272" s="28">
        <v>0</v>
      </c>
      <c r="U272" s="28"/>
      <c r="V272" s="1"/>
      <c r="W272" s="1"/>
      <c r="X272" s="1" t="s">
        <v>47</v>
      </c>
      <c r="Y272" s="2"/>
      <c r="Z272" s="1"/>
      <c r="AB272" s="29" t="s">
        <v>1241</v>
      </c>
      <c r="AC272" s="28">
        <f t="shared" si="17"/>
        <v>109480</v>
      </c>
      <c r="AD272" s="1" t="s">
        <v>41</v>
      </c>
      <c r="AE272" s="1">
        <f t="shared" si="19"/>
        <v>285</v>
      </c>
      <c r="AF272" s="1"/>
      <c r="AG272" s="1"/>
      <c r="AL272" s="1"/>
      <c r="AO272" s="1"/>
    </row>
    <row r="273" spans="1:41" x14ac:dyDescent="0.25">
      <c r="A273" s="1" t="s">
        <v>605</v>
      </c>
      <c r="B273" s="1" t="s">
        <v>1037</v>
      </c>
      <c r="C273" s="4" t="str">
        <f>Q273</f>
        <v>ROLL BAR LINK-REAR WITH BUSHES</v>
      </c>
      <c r="H273" s="4" t="s">
        <v>601</v>
      </c>
      <c r="I273" s="4" t="s">
        <v>603</v>
      </c>
      <c r="J273" s="3"/>
      <c r="K273" s="1"/>
      <c r="L273" s="1"/>
      <c r="M273" s="1"/>
      <c r="N273" s="1"/>
      <c r="P273" s="1"/>
      <c r="Q273" s="2" t="s">
        <v>606</v>
      </c>
      <c r="R273" s="1" t="str">
        <f>A273</f>
        <v>MNA3505AE</v>
      </c>
      <c r="S273" s="1"/>
      <c r="T273" s="1">
        <v>0</v>
      </c>
      <c r="U273" s="28"/>
      <c r="V273" s="1"/>
      <c r="W273" s="1"/>
      <c r="X273" s="1"/>
      <c r="Y273" s="2"/>
      <c r="Z273" s="1"/>
      <c r="AB273" s="1" t="s">
        <v>67</v>
      </c>
      <c r="AC273" s="28">
        <f t="shared" si="17"/>
        <v>109480</v>
      </c>
      <c r="AD273" s="1"/>
      <c r="AE273" s="1">
        <f t="shared" si="19"/>
        <v>0</v>
      </c>
      <c r="AF273" s="1"/>
      <c r="AG273" s="1"/>
      <c r="AL273" s="1"/>
      <c r="AO273" s="1"/>
    </row>
    <row r="274" spans="1:41" ht="30" x14ac:dyDescent="0.25">
      <c r="A274" s="1" t="s">
        <v>1571</v>
      </c>
      <c r="B274" s="1" t="s">
        <v>1291</v>
      </c>
      <c r="C274" s="4" t="s">
        <v>1577</v>
      </c>
      <c r="D274" s="31">
        <v>0</v>
      </c>
      <c r="E274" s="2" t="s">
        <v>1572</v>
      </c>
      <c r="F274" s="1" t="s">
        <v>1573</v>
      </c>
      <c r="G274" s="1" t="s">
        <v>1581</v>
      </c>
      <c r="H274" s="4" t="s">
        <v>988</v>
      </c>
      <c r="I274" s="4" t="s">
        <v>783</v>
      </c>
      <c r="J274" s="3" t="s">
        <v>101</v>
      </c>
      <c r="K274" s="1" t="s">
        <v>1574</v>
      </c>
      <c r="L274" s="1" t="s">
        <v>1508</v>
      </c>
      <c r="M274" s="1"/>
      <c r="N274" s="1"/>
      <c r="P274" s="1" t="s">
        <v>1576</v>
      </c>
      <c r="Q274" s="25"/>
      <c r="R274" s="2"/>
      <c r="S274" s="13">
        <v>50</v>
      </c>
      <c r="T274" s="28"/>
      <c r="U274" s="36"/>
      <c r="V274" s="13"/>
      <c r="W274" s="13" t="s">
        <v>1513</v>
      </c>
      <c r="X274" s="13"/>
      <c r="Y274" s="12" t="s">
        <v>1575</v>
      </c>
      <c r="Z274" s="1"/>
      <c r="AB274" s="1"/>
      <c r="AC274" s="28"/>
      <c r="AD274" s="1"/>
      <c r="AE274" s="1">
        <f t="shared" si="19"/>
        <v>0</v>
      </c>
      <c r="AF274" s="1"/>
      <c r="AG274" s="1"/>
      <c r="AL274" s="1"/>
      <c r="AO274" s="1"/>
    </row>
    <row r="275" spans="1:41" x14ac:dyDescent="0.25">
      <c r="A275" s="1" t="s">
        <v>89</v>
      </c>
      <c r="B275" s="1" t="s">
        <v>1037</v>
      </c>
      <c r="C275" s="4" t="s">
        <v>88</v>
      </c>
      <c r="E275" s="2" t="s">
        <v>90</v>
      </c>
      <c r="G275" s="10" t="s">
        <v>72</v>
      </c>
      <c r="H275" s="4" t="s">
        <v>25</v>
      </c>
      <c r="I275" s="4" t="s">
        <v>81</v>
      </c>
      <c r="J275" s="3" t="s">
        <v>82</v>
      </c>
      <c r="K275" s="1" t="s">
        <v>83</v>
      </c>
      <c r="L275" s="1" t="s">
        <v>83</v>
      </c>
      <c r="M275" s="1" t="s">
        <v>84</v>
      </c>
      <c r="N275" s="1"/>
      <c r="P275" s="10"/>
      <c r="S275" s="1"/>
      <c r="T275" s="1">
        <v>0</v>
      </c>
      <c r="U275" s="28"/>
      <c r="V275" s="1"/>
      <c r="W275" s="1"/>
      <c r="X275" s="1"/>
      <c r="Y275" s="2"/>
      <c r="Z275" s="1"/>
      <c r="AB275" s="1"/>
      <c r="AC275" s="28">
        <f t="shared" ref="AC275:AC306" si="20">68000*1.61</f>
        <v>109480</v>
      </c>
      <c r="AD275" s="1"/>
      <c r="AE275" s="1">
        <f t="shared" si="19"/>
        <v>0</v>
      </c>
      <c r="AF275" s="1"/>
      <c r="AG275" s="1"/>
      <c r="AL275" s="1"/>
      <c r="AO275" s="1"/>
    </row>
    <row r="276" spans="1:41" x14ac:dyDescent="0.25">
      <c r="A276" s="1" t="s">
        <v>89</v>
      </c>
      <c r="B276" s="1" t="s">
        <v>1037</v>
      </c>
      <c r="C276" s="4" t="s">
        <v>88</v>
      </c>
      <c r="E276" s="2" t="s">
        <v>90</v>
      </c>
      <c r="F276" s="1" t="s">
        <v>86</v>
      </c>
      <c r="G276" s="1" t="s">
        <v>87</v>
      </c>
      <c r="H276" s="4" t="s">
        <v>25</v>
      </c>
      <c r="I276" s="4" t="s">
        <v>81</v>
      </c>
      <c r="J276" s="3" t="s">
        <v>82</v>
      </c>
      <c r="K276" s="1" t="s">
        <v>83</v>
      </c>
      <c r="L276" s="1" t="s">
        <v>83</v>
      </c>
      <c r="M276" s="1" t="s">
        <v>84</v>
      </c>
      <c r="N276" s="1"/>
      <c r="P276" s="1"/>
      <c r="S276" s="1"/>
      <c r="T276" s="1">
        <v>0</v>
      </c>
      <c r="U276" s="28"/>
      <c r="V276" s="1"/>
      <c r="W276" s="1"/>
      <c r="X276" s="1"/>
      <c r="Y276" s="2"/>
      <c r="Z276" s="1"/>
      <c r="AB276" s="1"/>
      <c r="AC276" s="28">
        <f t="shared" si="20"/>
        <v>109480</v>
      </c>
      <c r="AD276" s="1"/>
      <c r="AE276" s="1">
        <f t="shared" si="19"/>
        <v>0</v>
      </c>
      <c r="AF276" s="1"/>
      <c r="AG276" s="1"/>
      <c r="AL276" s="1"/>
      <c r="AO276" s="1"/>
    </row>
    <row r="277" spans="1:41" ht="45" x14ac:dyDescent="0.25">
      <c r="A277" s="1" t="s">
        <v>944</v>
      </c>
      <c r="B277" s="1" t="s">
        <v>1037</v>
      </c>
      <c r="C277" s="4" t="s">
        <v>940</v>
      </c>
      <c r="D277" s="28">
        <v>2</v>
      </c>
      <c r="E277" s="2" t="s">
        <v>945</v>
      </c>
      <c r="F277" s="10" t="s">
        <v>203</v>
      </c>
      <c r="G277" s="10" t="s">
        <v>72</v>
      </c>
      <c r="H277" s="4" t="s">
        <v>805</v>
      </c>
      <c r="I277" s="4" t="s">
        <v>783</v>
      </c>
      <c r="J277" s="3"/>
      <c r="K277" s="1" t="s">
        <v>29</v>
      </c>
      <c r="L277" s="1" t="s">
        <v>60</v>
      </c>
      <c r="M277" s="1"/>
      <c r="N277" s="1"/>
      <c r="P277" s="10"/>
      <c r="Q277" s="2" t="str">
        <f>C277</f>
        <v>Wheel Hub Vertical Link</v>
      </c>
      <c r="R277" s="2" t="str">
        <f>A277</f>
        <v>MNC1628AA</v>
      </c>
      <c r="S277" s="1"/>
      <c r="T277" s="28">
        <v>0</v>
      </c>
      <c r="U277" s="28">
        <v>50</v>
      </c>
      <c r="V277" s="1"/>
      <c r="W277" s="1"/>
      <c r="X277" s="1" t="s">
        <v>47</v>
      </c>
      <c r="Y277" s="12" t="s">
        <v>943</v>
      </c>
      <c r="Z277" s="1"/>
      <c r="AB277" s="1" t="s">
        <v>1184</v>
      </c>
      <c r="AC277" s="28">
        <f t="shared" si="20"/>
        <v>109480</v>
      </c>
      <c r="AD277" s="1" t="s">
        <v>175</v>
      </c>
      <c r="AE277" s="1">
        <f t="shared" si="19"/>
        <v>0</v>
      </c>
      <c r="AF277" s="1"/>
      <c r="AG277" s="1"/>
      <c r="AL277" s="1"/>
      <c r="AO277" s="1"/>
    </row>
    <row r="278" spans="1:41" ht="45" x14ac:dyDescent="0.25">
      <c r="A278" s="1" t="s">
        <v>941</v>
      </c>
      <c r="B278" s="1" t="s">
        <v>1037</v>
      </c>
      <c r="C278" s="4" t="s">
        <v>940</v>
      </c>
      <c r="D278" s="28">
        <v>1</v>
      </c>
      <c r="E278" s="2" t="s">
        <v>942</v>
      </c>
      <c r="F278" s="10" t="s">
        <v>203</v>
      </c>
      <c r="G278" s="10" t="s">
        <v>72</v>
      </c>
      <c r="H278" s="4" t="s">
        <v>805</v>
      </c>
      <c r="I278" s="4" t="s">
        <v>783</v>
      </c>
      <c r="J278" s="3"/>
      <c r="K278" s="1" t="s">
        <v>29</v>
      </c>
      <c r="L278" s="1" t="s">
        <v>30</v>
      </c>
      <c r="M278" s="1"/>
      <c r="N278" s="1"/>
      <c r="P278" s="10"/>
      <c r="Q278" s="2" t="str">
        <f>C278</f>
        <v>Wheel Hub Vertical Link</v>
      </c>
      <c r="R278" s="2" t="str">
        <f>A278</f>
        <v xml:space="preserve">MNC1629AA  </v>
      </c>
      <c r="S278" s="1"/>
      <c r="T278" s="28">
        <v>0</v>
      </c>
      <c r="U278" s="28">
        <v>50</v>
      </c>
      <c r="V278" s="1"/>
      <c r="W278" s="1"/>
      <c r="X278" s="1" t="s">
        <v>47</v>
      </c>
      <c r="Y278" s="12" t="s">
        <v>943</v>
      </c>
      <c r="Z278" s="1"/>
      <c r="AB278" s="1" t="s">
        <v>1184</v>
      </c>
      <c r="AC278" s="28">
        <f t="shared" si="20"/>
        <v>109480</v>
      </c>
      <c r="AD278" s="1" t="s">
        <v>175</v>
      </c>
      <c r="AE278" s="1">
        <f t="shared" si="19"/>
        <v>0</v>
      </c>
      <c r="AF278" s="1"/>
      <c r="AG278" s="1"/>
      <c r="AL278" s="1"/>
      <c r="AO278" s="1"/>
    </row>
    <row r="279" spans="1:41" x14ac:dyDescent="0.25">
      <c r="A279" s="1" t="s">
        <v>789</v>
      </c>
      <c r="B279" s="1" t="s">
        <v>1291</v>
      </c>
      <c r="C279" s="4" t="str">
        <f>Q279</f>
        <v>WHEEL BEARING-FRONT</v>
      </c>
      <c r="D279" s="28">
        <v>2</v>
      </c>
      <c r="F279" s="1">
        <v>31303</v>
      </c>
      <c r="H279" s="4" t="s">
        <v>781</v>
      </c>
      <c r="I279" s="4" t="s">
        <v>783</v>
      </c>
      <c r="J279" s="3"/>
      <c r="K279" s="1" t="s">
        <v>29</v>
      </c>
      <c r="L279" s="1"/>
      <c r="M279" s="1"/>
      <c r="N279" s="1"/>
      <c r="P279" s="1"/>
      <c r="Q279" s="2" t="s">
        <v>790</v>
      </c>
      <c r="R279" s="1" t="str">
        <f>A279</f>
        <v>MNC1830AA</v>
      </c>
      <c r="S279" s="1"/>
      <c r="T279" s="1">
        <v>0</v>
      </c>
      <c r="U279" s="28"/>
      <c r="V279" s="1"/>
      <c r="W279" s="1"/>
      <c r="X279" s="1"/>
      <c r="Y279" s="2"/>
      <c r="Z279" s="1"/>
      <c r="AB279" s="1" t="s">
        <v>67</v>
      </c>
      <c r="AC279" s="28">
        <f t="shared" si="20"/>
        <v>109480</v>
      </c>
      <c r="AD279" s="1"/>
      <c r="AE279" s="1">
        <f t="shared" si="19"/>
        <v>0</v>
      </c>
      <c r="AF279" s="1"/>
      <c r="AG279" s="1"/>
      <c r="AL279" s="1"/>
      <c r="AO279" s="1"/>
    </row>
    <row r="280" spans="1:41" ht="30" x14ac:dyDescent="0.25">
      <c r="A280" s="1" t="s">
        <v>936</v>
      </c>
      <c r="B280" s="1" t="s">
        <v>1037</v>
      </c>
      <c r="C280" s="4" t="s">
        <v>935</v>
      </c>
      <c r="D280" s="28">
        <v>0</v>
      </c>
      <c r="E280" s="2" t="s">
        <v>937</v>
      </c>
      <c r="F280" s="10" t="s">
        <v>203</v>
      </c>
      <c r="G280" s="10" t="s">
        <v>72</v>
      </c>
      <c r="H280" s="4" t="s">
        <v>805</v>
      </c>
      <c r="I280" s="4" t="s">
        <v>783</v>
      </c>
      <c r="J280" s="3"/>
      <c r="K280" s="1" t="s">
        <v>29</v>
      </c>
      <c r="L280" s="1" t="s">
        <v>55</v>
      </c>
      <c r="M280" s="1"/>
      <c r="N280" s="1"/>
      <c r="P280" s="10"/>
      <c r="R280" s="2" t="str">
        <f>A280</f>
        <v>MNC1837BA</v>
      </c>
      <c r="S280" s="1"/>
      <c r="T280" s="28">
        <v>0</v>
      </c>
      <c r="U280" s="28">
        <v>35</v>
      </c>
      <c r="V280" s="1"/>
      <c r="W280" s="1"/>
      <c r="X280" s="1" t="s">
        <v>47</v>
      </c>
      <c r="Y280" s="12" t="s">
        <v>938</v>
      </c>
      <c r="Z280" s="1"/>
      <c r="AA280" s="1" t="s">
        <v>939</v>
      </c>
      <c r="AB280" s="1" t="s">
        <v>1184</v>
      </c>
      <c r="AC280" s="28">
        <f t="shared" si="20"/>
        <v>109480</v>
      </c>
      <c r="AD280" s="1" t="s">
        <v>175</v>
      </c>
      <c r="AE280" s="1">
        <f t="shared" si="19"/>
        <v>0</v>
      </c>
      <c r="AF280" s="1"/>
      <c r="AG280" s="1"/>
      <c r="AL280" s="1"/>
      <c r="AO280" s="1"/>
    </row>
    <row r="281" spans="1:41" ht="30" x14ac:dyDescent="0.25">
      <c r="A281" s="1" t="s">
        <v>986</v>
      </c>
      <c r="B281" s="1" t="s">
        <v>1037</v>
      </c>
      <c r="C281" s="4" t="s">
        <v>982</v>
      </c>
      <c r="D281" s="28">
        <v>0</v>
      </c>
      <c r="E281" s="2" t="s">
        <v>984</v>
      </c>
      <c r="F281" s="10" t="s">
        <v>750</v>
      </c>
      <c r="G281" s="10" t="s">
        <v>390</v>
      </c>
      <c r="H281" s="4" t="s">
        <v>781</v>
      </c>
      <c r="I281" s="4" t="s">
        <v>781</v>
      </c>
      <c r="J281" s="3"/>
      <c r="K281" s="1" t="s">
        <v>59</v>
      </c>
      <c r="L281" s="1" t="s">
        <v>55</v>
      </c>
      <c r="M281" s="1"/>
      <c r="N281" s="1"/>
      <c r="P281" s="10"/>
      <c r="R281" s="2" t="str">
        <f>A281</f>
        <v>MNC3280AA</v>
      </c>
      <c r="S281" s="1"/>
      <c r="T281" s="1">
        <v>0</v>
      </c>
      <c r="U281" s="28"/>
      <c r="V281" s="1"/>
      <c r="W281" s="1"/>
      <c r="X281" s="1"/>
      <c r="Y281" s="2"/>
      <c r="Z281" s="1"/>
      <c r="AB281" s="1"/>
      <c r="AC281" s="28">
        <f t="shared" si="20"/>
        <v>109480</v>
      </c>
      <c r="AD281" s="1"/>
      <c r="AE281" s="1">
        <f t="shared" si="19"/>
        <v>0</v>
      </c>
      <c r="AF281" s="1"/>
      <c r="AG281" s="1"/>
      <c r="AL281" s="1"/>
      <c r="AO281" s="1"/>
    </row>
    <row r="282" spans="1:41" ht="45" x14ac:dyDescent="0.25">
      <c r="A282" s="1" t="s">
        <v>26</v>
      </c>
      <c r="B282" s="1" t="s">
        <v>1037</v>
      </c>
      <c r="C282" s="4" t="s">
        <v>24</v>
      </c>
      <c r="D282" s="28">
        <v>0</v>
      </c>
      <c r="E282" s="2" t="s">
        <v>33</v>
      </c>
      <c r="H282" s="4" t="s">
        <v>25</v>
      </c>
      <c r="I282" s="4" t="s">
        <v>27</v>
      </c>
      <c r="J282" s="3" t="s">
        <v>28</v>
      </c>
      <c r="K282" s="1" t="s">
        <v>29</v>
      </c>
      <c r="L282" s="1" t="s">
        <v>30</v>
      </c>
      <c r="M282" s="1" t="s">
        <v>31</v>
      </c>
      <c r="N282" s="1" t="s">
        <v>31</v>
      </c>
      <c r="O282" s="1" t="s">
        <v>32</v>
      </c>
      <c r="P282" s="1"/>
      <c r="R282" s="2" t="s">
        <v>26</v>
      </c>
      <c r="S282" s="1"/>
      <c r="T282" s="1">
        <v>0</v>
      </c>
      <c r="U282" s="28">
        <v>150</v>
      </c>
      <c r="V282" s="1"/>
      <c r="W282" s="1"/>
      <c r="X282" s="1"/>
      <c r="Y282" s="12" t="s">
        <v>34</v>
      </c>
      <c r="Z282" s="1"/>
      <c r="AB282" s="1"/>
      <c r="AC282" s="28">
        <f t="shared" si="20"/>
        <v>109480</v>
      </c>
      <c r="AD282" s="1" t="s">
        <v>35</v>
      </c>
      <c r="AE282" s="1">
        <f t="shared" si="19"/>
        <v>0</v>
      </c>
      <c r="AF282" s="1"/>
      <c r="AG282" s="1"/>
      <c r="AL282" s="1"/>
      <c r="AO282" s="1"/>
    </row>
    <row r="283" spans="1:41" x14ac:dyDescent="0.25">
      <c r="A283" s="1" t="s">
        <v>313</v>
      </c>
      <c r="B283" s="1" t="s">
        <v>1037</v>
      </c>
      <c r="C283" s="4" t="str">
        <f>Q283</f>
        <v>ENGINE MOUNT</v>
      </c>
      <c r="I283" s="19" t="s">
        <v>151</v>
      </c>
      <c r="J283" s="4"/>
      <c r="K283" s="1"/>
      <c r="L283" s="1" t="s">
        <v>55</v>
      </c>
      <c r="M283" s="1"/>
      <c r="N283" s="1"/>
      <c r="P283" s="1"/>
      <c r="Q283" s="2" t="s">
        <v>314</v>
      </c>
      <c r="R283" s="1" t="str">
        <f>A283</f>
        <v>MNC7500AB</v>
      </c>
      <c r="S283" s="1"/>
      <c r="T283" s="1">
        <v>0</v>
      </c>
      <c r="U283" s="28"/>
      <c r="V283" s="1"/>
      <c r="W283" s="1"/>
      <c r="X283" s="1"/>
      <c r="Y283" s="2"/>
      <c r="Z283" s="1"/>
      <c r="AB283" s="1" t="s">
        <v>67</v>
      </c>
      <c r="AC283" s="28">
        <f t="shared" si="20"/>
        <v>109480</v>
      </c>
      <c r="AD283" s="1"/>
      <c r="AE283" s="1">
        <f t="shared" si="19"/>
        <v>0</v>
      </c>
      <c r="AF283" s="1"/>
      <c r="AG283" s="1"/>
      <c r="AL283" s="1"/>
      <c r="AO283" s="1"/>
    </row>
    <row r="284" spans="1:41" ht="45" x14ac:dyDescent="0.25">
      <c r="A284" s="1" t="s">
        <v>46</v>
      </c>
      <c r="B284" s="1" t="s">
        <v>1037</v>
      </c>
      <c r="C284" s="4" t="s">
        <v>24</v>
      </c>
      <c r="D284" s="28">
        <v>1</v>
      </c>
      <c r="E284" s="2" t="s">
        <v>33</v>
      </c>
      <c r="H284" s="4" t="s">
        <v>25</v>
      </c>
      <c r="I284" s="4" t="s">
        <v>27</v>
      </c>
      <c r="J284" s="3" t="s">
        <v>28</v>
      </c>
      <c r="K284" s="1" t="s">
        <v>29</v>
      </c>
      <c r="L284" s="1" t="s">
        <v>30</v>
      </c>
      <c r="M284" s="1" t="s">
        <v>31</v>
      </c>
      <c r="N284" s="1" t="s">
        <v>31</v>
      </c>
      <c r="O284" s="1" t="s">
        <v>32</v>
      </c>
      <c r="P284" s="1"/>
      <c r="R284" s="2" t="s">
        <v>26</v>
      </c>
      <c r="S284" s="1">
        <v>95</v>
      </c>
      <c r="T284" s="28">
        <v>0</v>
      </c>
      <c r="U284" s="28">
        <v>75</v>
      </c>
      <c r="V284" s="1"/>
      <c r="W284" s="1"/>
      <c r="X284" s="1" t="s">
        <v>47</v>
      </c>
      <c r="Y284" s="12" t="s">
        <v>34</v>
      </c>
      <c r="Z284" s="1"/>
      <c r="AB284" s="1" t="s">
        <v>1183</v>
      </c>
      <c r="AC284" s="28">
        <f t="shared" si="20"/>
        <v>109480</v>
      </c>
      <c r="AD284" s="1" t="s">
        <v>48</v>
      </c>
      <c r="AE284" s="1">
        <f t="shared" si="19"/>
        <v>95</v>
      </c>
      <c r="AF284" s="1"/>
      <c r="AG284" s="1"/>
      <c r="AL284" s="1"/>
      <c r="AO284" s="1"/>
    </row>
    <row r="285" spans="1:41" ht="30" x14ac:dyDescent="0.25">
      <c r="A285" s="1" t="s">
        <v>692</v>
      </c>
      <c r="B285" s="1" t="s">
        <v>1197</v>
      </c>
      <c r="C285" s="4" t="s">
        <v>1189</v>
      </c>
      <c r="D285" s="28">
        <v>1</v>
      </c>
      <c r="E285" s="2" t="s">
        <v>1198</v>
      </c>
      <c r="H285" s="4" t="s">
        <v>1190</v>
      </c>
      <c r="I285" s="4" t="s">
        <v>1192</v>
      </c>
      <c r="J285" s="3" t="s">
        <v>82</v>
      </c>
      <c r="K285" s="1" t="s">
        <v>29</v>
      </c>
      <c r="L285" s="1" t="s">
        <v>31</v>
      </c>
      <c r="M285" s="1" t="s">
        <v>31</v>
      </c>
      <c r="N285" s="1" t="s">
        <v>31</v>
      </c>
      <c r="O285" s="1" t="s">
        <v>31</v>
      </c>
      <c r="P285" s="1"/>
      <c r="Q285" s="2" t="s">
        <v>1189</v>
      </c>
      <c r="R285" s="2" t="s">
        <v>1199</v>
      </c>
      <c r="S285" s="1">
        <v>75</v>
      </c>
      <c r="T285" s="28">
        <v>0</v>
      </c>
      <c r="U285" s="28">
        <v>75</v>
      </c>
      <c r="V285" s="1"/>
      <c r="W285" s="1"/>
      <c r="X285" s="1" t="s">
        <v>47</v>
      </c>
      <c r="Y285" s="2"/>
      <c r="Z285" s="1"/>
      <c r="AB285" s="1" t="s">
        <v>1196</v>
      </c>
      <c r="AC285" s="28">
        <f t="shared" si="20"/>
        <v>109480</v>
      </c>
      <c r="AD285" s="1" t="s">
        <v>48</v>
      </c>
      <c r="AE285" s="1">
        <f t="shared" si="19"/>
        <v>75</v>
      </c>
      <c r="AF285" s="1"/>
      <c r="AG285" s="1"/>
      <c r="AL285" s="1"/>
      <c r="AO285" s="1"/>
    </row>
    <row r="286" spans="1:41" ht="30" x14ac:dyDescent="0.25">
      <c r="A286" s="1" t="s">
        <v>692</v>
      </c>
      <c r="B286" s="1" t="s">
        <v>1037</v>
      </c>
      <c r="C286" s="4" t="s">
        <v>690</v>
      </c>
      <c r="H286" s="4" t="s">
        <v>691</v>
      </c>
      <c r="I286" s="4" t="s">
        <v>235</v>
      </c>
      <c r="J286" s="4"/>
      <c r="K286" s="1" t="s">
        <v>693</v>
      </c>
      <c r="L286" s="1" t="s">
        <v>60</v>
      </c>
      <c r="M286" s="1"/>
      <c r="N286" s="1"/>
      <c r="P286" s="1"/>
      <c r="Q286" s="19"/>
      <c r="S286" s="1"/>
      <c r="T286" s="1">
        <v>0</v>
      </c>
      <c r="U286" s="28"/>
      <c r="V286" s="1"/>
      <c r="W286" s="1"/>
      <c r="X286" s="1"/>
      <c r="Y286" s="2"/>
      <c r="Z286" s="1"/>
      <c r="AB286" s="1"/>
      <c r="AC286" s="28">
        <f t="shared" si="20"/>
        <v>109480</v>
      </c>
      <c r="AD286" s="1"/>
      <c r="AE286" s="1">
        <f t="shared" si="19"/>
        <v>0</v>
      </c>
      <c r="AF286" s="1"/>
      <c r="AG286" s="1"/>
      <c r="AL286" s="1"/>
      <c r="AO286" s="1"/>
    </row>
    <row r="287" spans="1:41" ht="30" x14ac:dyDescent="0.25">
      <c r="A287" s="1" t="s">
        <v>692</v>
      </c>
      <c r="B287" s="1" t="s">
        <v>1037</v>
      </c>
      <c r="C287" s="4" t="s">
        <v>690</v>
      </c>
      <c r="H287" s="4" t="s">
        <v>691</v>
      </c>
      <c r="I287" s="4" t="s">
        <v>235</v>
      </c>
      <c r="J287" s="4"/>
      <c r="K287" s="1" t="s">
        <v>59</v>
      </c>
      <c r="L287" s="1" t="s">
        <v>30</v>
      </c>
      <c r="M287" s="1"/>
      <c r="N287" s="1"/>
      <c r="P287" s="1"/>
      <c r="Q287" s="19"/>
      <c r="S287" s="1"/>
      <c r="T287" s="1">
        <v>0</v>
      </c>
      <c r="U287" s="28"/>
      <c r="V287" s="1"/>
      <c r="W287" s="1"/>
      <c r="X287" s="1"/>
      <c r="Y287" s="2"/>
      <c r="Z287" s="1"/>
      <c r="AB287" s="1"/>
      <c r="AC287" s="28">
        <f t="shared" si="20"/>
        <v>109480</v>
      </c>
      <c r="AD287" s="1"/>
      <c r="AE287" s="1">
        <f t="shared" si="19"/>
        <v>0</v>
      </c>
      <c r="AF287" s="1"/>
      <c r="AG287" s="1"/>
      <c r="AL287" s="1"/>
      <c r="AO287" s="1"/>
    </row>
    <row r="288" spans="1:41" ht="30" x14ac:dyDescent="0.25">
      <c r="A288" s="1" t="s">
        <v>316</v>
      </c>
      <c r="B288" s="1" t="s">
        <v>1291</v>
      </c>
      <c r="C288" s="4" t="s">
        <v>315</v>
      </c>
      <c r="D288" s="28">
        <v>0</v>
      </c>
      <c r="F288" s="2" t="s">
        <v>1313</v>
      </c>
      <c r="G288" s="2" t="s">
        <v>1314</v>
      </c>
      <c r="H288" s="4" t="s">
        <v>227</v>
      </c>
      <c r="I288" s="4" t="s">
        <v>229</v>
      </c>
      <c r="J288" s="3"/>
      <c r="K288" s="1"/>
      <c r="L288" s="1"/>
      <c r="M288" s="1" t="s">
        <v>109</v>
      </c>
      <c r="N288" s="1"/>
      <c r="P288" s="2"/>
      <c r="Q288" s="2" t="s">
        <v>317</v>
      </c>
      <c r="R288" s="1" t="str">
        <f>A288</f>
        <v>NCA1730AD</v>
      </c>
      <c r="S288" s="1"/>
      <c r="T288" s="1">
        <v>0</v>
      </c>
      <c r="U288" s="28"/>
      <c r="V288" s="1"/>
      <c r="W288" s="1"/>
      <c r="X288" s="1"/>
      <c r="Y288" s="2"/>
      <c r="Z288" s="1"/>
      <c r="AB288" s="1" t="s">
        <v>67</v>
      </c>
      <c r="AC288" s="28">
        <f t="shared" si="20"/>
        <v>109480</v>
      </c>
      <c r="AD288" s="1"/>
      <c r="AE288" s="1">
        <f t="shared" si="19"/>
        <v>0</v>
      </c>
      <c r="AF288" s="1"/>
      <c r="AG288" s="1"/>
      <c r="AL288" s="1"/>
      <c r="AO288" s="1"/>
    </row>
    <row r="289" spans="1:41" x14ac:dyDescent="0.25">
      <c r="A289" s="1" t="s">
        <v>737</v>
      </c>
      <c r="B289" s="1" t="s">
        <v>1291</v>
      </c>
      <c r="C289" s="4" t="s">
        <v>1319</v>
      </c>
      <c r="F289" s="1" t="s">
        <v>1318</v>
      </c>
      <c r="G289" s="1" t="s">
        <v>1317</v>
      </c>
      <c r="H289" s="4" t="s">
        <v>736</v>
      </c>
      <c r="I289" s="4" t="s">
        <v>680</v>
      </c>
      <c r="J289" s="4"/>
      <c r="K289" s="1"/>
      <c r="L289" s="1"/>
      <c r="M289" s="1"/>
      <c r="N289" s="1"/>
      <c r="P289" s="1"/>
      <c r="Q289" s="2" t="s">
        <v>738</v>
      </c>
      <c r="R289" s="1" t="str">
        <f>A289</f>
        <v>NCA1998AB</v>
      </c>
      <c r="S289" s="1"/>
      <c r="T289" s="1">
        <v>0</v>
      </c>
      <c r="U289" s="28"/>
      <c r="V289" s="1"/>
      <c r="W289" s="1"/>
      <c r="X289" s="1"/>
      <c r="Y289" s="2"/>
      <c r="Z289" s="1"/>
      <c r="AB289" s="1" t="s">
        <v>67</v>
      </c>
      <c r="AC289" s="28">
        <f t="shared" si="20"/>
        <v>109480</v>
      </c>
      <c r="AD289" s="1"/>
      <c r="AE289" s="1">
        <f t="shared" si="19"/>
        <v>0</v>
      </c>
      <c r="AF289" s="1"/>
      <c r="AG289" s="1"/>
      <c r="AL289" s="1"/>
      <c r="AO289" s="1"/>
    </row>
    <row r="290" spans="1:41" ht="30" x14ac:dyDescent="0.25">
      <c r="A290" s="1" t="s">
        <v>301</v>
      </c>
      <c r="B290" s="1" t="s">
        <v>1037</v>
      </c>
      <c r="C290" s="4" t="s">
        <v>300</v>
      </c>
      <c r="F290" s="2" t="s">
        <v>302</v>
      </c>
      <c r="G290" s="2" t="s">
        <v>303</v>
      </c>
      <c r="H290" s="4" t="s">
        <v>146</v>
      </c>
      <c r="I290" s="4" t="s">
        <v>147</v>
      </c>
      <c r="J290" s="4"/>
      <c r="K290" s="1"/>
      <c r="L290" s="1"/>
      <c r="M290" s="1"/>
      <c r="N290" s="1"/>
      <c r="P290" s="2"/>
      <c r="Q290" s="2" t="s">
        <v>304</v>
      </c>
      <c r="R290" s="1" t="str">
        <f>A290</f>
        <v>NCA2211AC</v>
      </c>
      <c r="S290" s="1">
        <v>40</v>
      </c>
      <c r="T290" s="1">
        <v>0</v>
      </c>
      <c r="U290" s="28"/>
      <c r="V290" s="1"/>
      <c r="W290" s="1"/>
      <c r="X290" s="1"/>
      <c r="Y290" s="2"/>
      <c r="Z290" s="1"/>
      <c r="AB290" s="1" t="s">
        <v>67</v>
      </c>
      <c r="AC290" s="28">
        <f t="shared" si="20"/>
        <v>109480</v>
      </c>
      <c r="AD290" s="1"/>
      <c r="AE290" s="1">
        <f t="shared" si="19"/>
        <v>0</v>
      </c>
      <c r="AF290" s="1"/>
      <c r="AG290" s="1"/>
      <c r="AL290" s="1"/>
      <c r="AO290" s="1"/>
    </row>
    <row r="291" spans="1:41" ht="30" x14ac:dyDescent="0.25">
      <c r="A291" s="1" t="s">
        <v>301</v>
      </c>
      <c r="B291" s="1" t="s">
        <v>1037</v>
      </c>
      <c r="C291" s="4" t="s">
        <v>300</v>
      </c>
      <c r="F291" s="2" t="s">
        <v>302</v>
      </c>
      <c r="G291" s="2" t="s">
        <v>303</v>
      </c>
      <c r="H291" s="4" t="s">
        <v>146</v>
      </c>
      <c r="I291" s="4" t="s">
        <v>147</v>
      </c>
      <c r="J291" s="4"/>
      <c r="K291" s="1"/>
      <c r="L291" s="1"/>
      <c r="M291" s="1"/>
      <c r="N291" s="1"/>
      <c r="P291" s="2"/>
      <c r="Q291" s="2" t="s">
        <v>300</v>
      </c>
      <c r="R291" s="1" t="s">
        <v>305</v>
      </c>
      <c r="S291" s="1"/>
      <c r="T291" s="1">
        <v>0</v>
      </c>
      <c r="U291" s="28" t="s">
        <v>306</v>
      </c>
      <c r="V291" s="1"/>
      <c r="W291" s="1"/>
      <c r="X291" s="1"/>
      <c r="Y291" s="2"/>
      <c r="Z291" s="1"/>
      <c r="AB291" s="1" t="s">
        <v>307</v>
      </c>
      <c r="AC291" s="28">
        <f t="shared" si="20"/>
        <v>109480</v>
      </c>
      <c r="AD291" s="1"/>
      <c r="AE291" s="1">
        <f t="shared" si="19"/>
        <v>0</v>
      </c>
      <c r="AF291" s="1"/>
      <c r="AG291" s="1"/>
      <c r="AL291" s="1"/>
      <c r="AO291" s="1"/>
    </row>
    <row r="292" spans="1:41" ht="30" x14ac:dyDescent="0.25">
      <c r="A292" s="1" t="s">
        <v>911</v>
      </c>
      <c r="B292" s="1" t="s">
        <v>1037</v>
      </c>
      <c r="C292" s="4" t="s">
        <v>909</v>
      </c>
      <c r="D292" s="28">
        <v>3</v>
      </c>
      <c r="E292" s="2" t="s">
        <v>913</v>
      </c>
      <c r="H292" s="4" t="s">
        <v>910</v>
      </c>
      <c r="I292" s="4" t="s">
        <v>912</v>
      </c>
      <c r="J292" s="3" t="s">
        <v>82</v>
      </c>
      <c r="K292" s="1" t="s">
        <v>29</v>
      </c>
      <c r="L292" s="1" t="s">
        <v>83</v>
      </c>
      <c r="M292" s="1" t="s">
        <v>167</v>
      </c>
      <c r="N292" s="1"/>
      <c r="P292" s="1"/>
      <c r="Q292" s="19" t="s">
        <v>909</v>
      </c>
      <c r="R292" s="1" t="s">
        <v>911</v>
      </c>
      <c r="S292" s="1"/>
      <c r="T292" s="28">
        <v>0</v>
      </c>
      <c r="U292" s="28"/>
      <c r="V292" s="1"/>
      <c r="W292" s="1"/>
      <c r="X292" s="1"/>
      <c r="Y292" s="2"/>
      <c r="Z292" s="1"/>
      <c r="AB292" s="29" t="s">
        <v>1241</v>
      </c>
      <c r="AC292" s="28">
        <f t="shared" si="20"/>
        <v>109480</v>
      </c>
      <c r="AD292" s="1" t="s">
        <v>41</v>
      </c>
      <c r="AE292" s="1">
        <f t="shared" si="19"/>
        <v>0</v>
      </c>
      <c r="AF292" s="1"/>
      <c r="AG292" s="1"/>
      <c r="AL292" s="1"/>
      <c r="AO292" s="1"/>
    </row>
    <row r="293" spans="1:41" ht="30" x14ac:dyDescent="0.25">
      <c r="A293" s="1" t="s">
        <v>1550</v>
      </c>
      <c r="B293" s="1" t="s">
        <v>1339</v>
      </c>
      <c r="C293" s="4" t="s">
        <v>1553</v>
      </c>
      <c r="D293" s="28">
        <v>2</v>
      </c>
      <c r="E293" s="2" t="s">
        <v>1549</v>
      </c>
      <c r="F293" s="1" t="s">
        <v>1547</v>
      </c>
      <c r="G293" s="1" t="s">
        <v>1497</v>
      </c>
      <c r="H293" s="4" t="s">
        <v>912</v>
      </c>
      <c r="I293" s="4" t="s">
        <v>912</v>
      </c>
      <c r="J293" s="3" t="s">
        <v>28</v>
      </c>
      <c r="K293" s="1" t="s">
        <v>29</v>
      </c>
      <c r="L293" s="1" t="s">
        <v>83</v>
      </c>
      <c r="M293" s="1" t="s">
        <v>167</v>
      </c>
      <c r="N293" s="1"/>
      <c r="O293" s="1" t="s">
        <v>32</v>
      </c>
      <c r="P293" s="1"/>
      <c r="Q293" s="19"/>
      <c r="R293" s="2"/>
      <c r="S293" s="1">
        <v>10</v>
      </c>
      <c r="T293" s="1"/>
      <c r="U293" s="28">
        <v>15</v>
      </c>
      <c r="V293" s="1"/>
      <c r="W293" s="1" t="s">
        <v>1552</v>
      </c>
      <c r="X293" s="1" t="s">
        <v>78</v>
      </c>
      <c r="Y293" s="2" t="s">
        <v>1551</v>
      </c>
      <c r="Z293" s="1"/>
      <c r="AB293" s="29" t="s">
        <v>1241</v>
      </c>
      <c r="AC293" s="28">
        <f t="shared" si="20"/>
        <v>109480</v>
      </c>
      <c r="AD293" s="1"/>
      <c r="AE293" s="1">
        <f t="shared" si="19"/>
        <v>20</v>
      </c>
      <c r="AF293" s="1"/>
      <c r="AG293" s="1"/>
      <c r="AL293" s="1"/>
      <c r="AO293" s="1"/>
    </row>
    <row r="294" spans="1:41" x14ac:dyDescent="0.25">
      <c r="A294" s="1" t="s">
        <v>1389</v>
      </c>
      <c r="B294" s="1" t="s">
        <v>1291</v>
      </c>
      <c r="C294" s="4" t="s">
        <v>1292</v>
      </c>
      <c r="E294" s="2"/>
      <c r="H294" s="4" t="s">
        <v>227</v>
      </c>
      <c r="I294" s="4"/>
      <c r="J294" s="3" t="s">
        <v>28</v>
      </c>
      <c r="K294" s="1"/>
      <c r="L294" s="1" t="s">
        <v>60</v>
      </c>
      <c r="M294" s="1"/>
      <c r="N294" s="1"/>
      <c r="P294" s="1"/>
      <c r="R294" s="2"/>
      <c r="S294" s="1">
        <v>21</v>
      </c>
      <c r="T294" s="1">
        <v>0</v>
      </c>
      <c r="U294" s="28"/>
      <c r="V294" s="1"/>
      <c r="W294" s="1"/>
      <c r="X294" s="1"/>
      <c r="Y294" s="2"/>
      <c r="Z294" s="1"/>
      <c r="AB294" s="1"/>
      <c r="AC294" s="28">
        <f t="shared" si="20"/>
        <v>109480</v>
      </c>
      <c r="AD294" s="1"/>
      <c r="AE294" s="1">
        <f t="shared" si="19"/>
        <v>0</v>
      </c>
      <c r="AF294" s="1"/>
      <c r="AG294" s="1"/>
      <c r="AL294" s="1"/>
      <c r="AO294" s="1"/>
    </row>
    <row r="295" spans="1:41" x14ac:dyDescent="0.25">
      <c r="A295" s="1" t="s">
        <v>1390</v>
      </c>
      <c r="B295" s="1" t="s">
        <v>1291</v>
      </c>
      <c r="C295" s="4" t="s">
        <v>1293</v>
      </c>
      <c r="E295" s="2"/>
      <c r="H295" s="4" t="s">
        <v>227</v>
      </c>
      <c r="I295" s="4"/>
      <c r="J295" s="3" t="s">
        <v>28</v>
      </c>
      <c r="K295" s="1"/>
      <c r="L295" s="1" t="s">
        <v>30</v>
      </c>
      <c r="M295" s="1"/>
      <c r="N295" s="1"/>
      <c r="P295" s="1"/>
      <c r="R295" s="2"/>
      <c r="S295" s="1">
        <v>21</v>
      </c>
      <c r="T295" s="1">
        <v>0</v>
      </c>
      <c r="U295" s="28"/>
      <c r="V295" s="1"/>
      <c r="W295" s="1"/>
      <c r="X295" s="1"/>
      <c r="Y295" s="2"/>
      <c r="Z295" s="1"/>
      <c r="AB295" s="1"/>
      <c r="AC295" s="28">
        <f t="shared" si="20"/>
        <v>109480</v>
      </c>
      <c r="AD295" s="1"/>
      <c r="AE295" s="1">
        <f t="shared" si="19"/>
        <v>0</v>
      </c>
      <c r="AF295" s="1"/>
      <c r="AG295" s="1"/>
      <c r="AL295" s="1"/>
      <c r="AO295" s="1"/>
    </row>
    <row r="296" spans="1:41" ht="30" x14ac:dyDescent="0.25">
      <c r="A296" s="1" t="s">
        <v>1597</v>
      </c>
      <c r="B296" s="1" t="s">
        <v>1291</v>
      </c>
      <c r="C296" s="4" t="s">
        <v>1598</v>
      </c>
      <c r="D296" s="31">
        <v>24</v>
      </c>
      <c r="E296" s="2" t="s">
        <v>1599</v>
      </c>
      <c r="F296" s="1" t="s">
        <v>1602</v>
      </c>
      <c r="G296" s="1" t="s">
        <v>1601</v>
      </c>
      <c r="H296" s="4" t="s">
        <v>712</v>
      </c>
      <c r="I296" s="4" t="s">
        <v>147</v>
      </c>
      <c r="J296" s="3" t="s">
        <v>82</v>
      </c>
      <c r="K296" s="1" t="s">
        <v>1600</v>
      </c>
      <c r="L296" s="1" t="s">
        <v>55</v>
      </c>
      <c r="M296" s="1" t="s">
        <v>167</v>
      </c>
      <c r="N296" s="1"/>
      <c r="P296" s="1" t="s">
        <v>1603</v>
      </c>
      <c r="Q296" s="25"/>
      <c r="R296" s="2"/>
      <c r="S296" s="13">
        <v>10</v>
      </c>
      <c r="T296" s="28"/>
      <c r="U296" s="36">
        <f>Parts[[#This Row],[Stock]]*Parts[[#This Row],[Price EU euro]]</f>
        <v>240</v>
      </c>
      <c r="V296" s="13"/>
      <c r="W296" s="13" t="s">
        <v>1513</v>
      </c>
      <c r="X296" s="13"/>
      <c r="Y296" s="12" t="s">
        <v>1604</v>
      </c>
      <c r="Z296" s="1"/>
      <c r="AA296" s="1" t="s">
        <v>1605</v>
      </c>
      <c r="AB296" s="29" t="s">
        <v>1596</v>
      </c>
      <c r="AC296" s="28">
        <f t="shared" si="20"/>
        <v>109480</v>
      </c>
      <c r="AD296" s="1"/>
      <c r="AE296" s="1">
        <f t="shared" si="19"/>
        <v>240</v>
      </c>
      <c r="AF296" s="1"/>
      <c r="AG296" s="1"/>
      <c r="AL296" s="1"/>
      <c r="AO296" s="1"/>
    </row>
    <row r="297" spans="1:41" x14ac:dyDescent="0.25">
      <c r="A297" s="2" t="s">
        <v>1311</v>
      </c>
      <c r="B297" s="1" t="s">
        <v>1291</v>
      </c>
      <c r="C297" s="4" t="s">
        <v>1310</v>
      </c>
      <c r="E297" s="2"/>
      <c r="H297" s="4" t="s">
        <v>227</v>
      </c>
      <c r="I297" s="4"/>
      <c r="J297" s="3"/>
      <c r="K297" s="1"/>
      <c r="L297" s="1"/>
      <c r="M297" s="1"/>
      <c r="N297" s="1"/>
      <c r="P297" s="1"/>
      <c r="Q297" s="2" t="s">
        <v>1312</v>
      </c>
      <c r="R297" s="2" t="s">
        <v>1311</v>
      </c>
      <c r="S297" s="1">
        <v>11</v>
      </c>
      <c r="T297" s="1">
        <v>0</v>
      </c>
      <c r="U297" s="28"/>
      <c r="V297" s="1"/>
      <c r="W297" s="1"/>
      <c r="X297" s="1"/>
      <c r="Y297" s="2"/>
      <c r="Z297" s="1"/>
      <c r="AB297" s="1"/>
      <c r="AC297" s="28">
        <f t="shared" si="20"/>
        <v>109480</v>
      </c>
      <c r="AD297" s="1"/>
      <c r="AE297" s="1">
        <f t="shared" si="19"/>
        <v>0</v>
      </c>
      <c r="AF297" s="1"/>
      <c r="AG297" s="1"/>
      <c r="AL297" s="1"/>
      <c r="AO297" s="1"/>
    </row>
    <row r="298" spans="1:41" ht="45" x14ac:dyDescent="0.25">
      <c r="A298" s="1" t="s">
        <v>1560</v>
      </c>
      <c r="B298" s="1" t="s">
        <v>1291</v>
      </c>
      <c r="C298" s="4" t="s">
        <v>1563</v>
      </c>
      <c r="D298" s="28">
        <v>10</v>
      </c>
      <c r="E298" s="2" t="s">
        <v>1564</v>
      </c>
      <c r="F298" s="1" t="s">
        <v>1547</v>
      </c>
      <c r="G298" s="1" t="s">
        <v>1557</v>
      </c>
      <c r="H298" s="4" t="s">
        <v>1461</v>
      </c>
      <c r="I298" s="4" t="s">
        <v>147</v>
      </c>
      <c r="J298" s="3" t="s">
        <v>28</v>
      </c>
      <c r="K298" s="3" t="s">
        <v>29</v>
      </c>
      <c r="L298" s="1" t="s">
        <v>55</v>
      </c>
      <c r="M298" s="1" t="s">
        <v>167</v>
      </c>
      <c r="N298" s="1"/>
      <c r="P298" s="1" t="s">
        <v>1561</v>
      </c>
      <c r="Q298" s="19"/>
      <c r="R298" s="2"/>
      <c r="S298" s="1">
        <v>2.5</v>
      </c>
      <c r="T298" s="1"/>
      <c r="U298" s="28">
        <v>25</v>
      </c>
      <c r="V298" s="1"/>
      <c r="W298" s="1" t="s">
        <v>1513</v>
      </c>
      <c r="X298" s="1" t="s">
        <v>78</v>
      </c>
      <c r="Y298" s="12" t="s">
        <v>1559</v>
      </c>
      <c r="Z298" s="1"/>
      <c r="AB298" s="29" t="s">
        <v>1241</v>
      </c>
      <c r="AC298" s="28">
        <f t="shared" si="20"/>
        <v>109480</v>
      </c>
      <c r="AD298" s="1"/>
      <c r="AE298" s="1">
        <f t="shared" si="19"/>
        <v>25</v>
      </c>
      <c r="AF298" s="1"/>
      <c r="AG298" s="1"/>
      <c r="AL298" s="1"/>
      <c r="AO298" s="1"/>
    </row>
    <row r="299" spans="1:41" ht="30" x14ac:dyDescent="0.25">
      <c r="A299" s="1" t="s">
        <v>1232</v>
      </c>
      <c r="B299" s="1" t="s">
        <v>1037</v>
      </c>
      <c r="C299" s="4" t="s">
        <v>1235</v>
      </c>
      <c r="D299" s="28">
        <v>1</v>
      </c>
      <c r="E299" s="2" t="s">
        <v>1237</v>
      </c>
      <c r="F299" s="1" t="s">
        <v>110</v>
      </c>
      <c r="G299" s="10" t="s">
        <v>39</v>
      </c>
      <c r="H299" s="4" t="s">
        <v>1231</v>
      </c>
      <c r="I299" s="4" t="s">
        <v>1233</v>
      </c>
      <c r="J299" s="3" t="s">
        <v>1234</v>
      </c>
      <c r="K299" s="1" t="s">
        <v>29</v>
      </c>
      <c r="L299" s="1" t="s">
        <v>30</v>
      </c>
      <c r="M299" s="1" t="s">
        <v>692</v>
      </c>
      <c r="N299" s="1" t="s">
        <v>692</v>
      </c>
      <c r="O299" s="1" t="s">
        <v>1236</v>
      </c>
      <c r="P299" s="10"/>
      <c r="Q299" s="2" t="s">
        <v>1238</v>
      </c>
      <c r="R299" s="2" t="s">
        <v>1239</v>
      </c>
      <c r="S299" s="1">
        <v>85</v>
      </c>
      <c r="T299" s="28">
        <v>0</v>
      </c>
      <c r="U299" s="28">
        <f>S299</f>
        <v>85</v>
      </c>
      <c r="V299" s="1"/>
      <c r="W299" s="1"/>
      <c r="X299" s="1" t="s">
        <v>47</v>
      </c>
      <c r="Y299" s="2"/>
      <c r="Z299" s="1"/>
      <c r="AB299" s="29" t="s">
        <v>1241</v>
      </c>
      <c r="AC299" s="28">
        <f t="shared" si="20"/>
        <v>109480</v>
      </c>
      <c r="AD299" s="1" t="s">
        <v>41</v>
      </c>
      <c r="AE299" s="1">
        <f t="shared" si="19"/>
        <v>85</v>
      </c>
      <c r="AF299" s="1"/>
      <c r="AG299" s="1"/>
      <c r="AL299" s="1"/>
      <c r="AO299" s="1"/>
    </row>
    <row r="300" spans="1:41" x14ac:dyDescent="0.25">
      <c r="A300" s="1" t="s">
        <v>358</v>
      </c>
      <c r="B300" s="1" t="s">
        <v>1037</v>
      </c>
      <c r="C300" s="4" t="str">
        <f t="shared" ref="C300:C307" si="21">Q300</f>
        <v>GASKET-EXHAUST MANIFOLD</v>
      </c>
      <c r="H300" s="4" t="s">
        <v>227</v>
      </c>
      <c r="I300" s="4" t="s">
        <v>354</v>
      </c>
      <c r="J300" s="3"/>
      <c r="K300" s="1"/>
      <c r="L300" s="1"/>
      <c r="M300" s="1"/>
      <c r="N300" s="1"/>
      <c r="P300" s="1"/>
      <c r="Q300" s="2" t="s">
        <v>357</v>
      </c>
      <c r="R300" s="1" t="str">
        <f t="shared" ref="R300:R307" si="22">A300</f>
        <v>NCA2906AE</v>
      </c>
      <c r="S300" s="1"/>
      <c r="T300" s="1">
        <v>0</v>
      </c>
      <c r="U300" s="28"/>
      <c r="V300" s="1"/>
      <c r="W300" s="1"/>
      <c r="X300" s="1"/>
      <c r="Y300" s="2"/>
      <c r="Z300" s="1"/>
      <c r="AB300" s="1" t="s">
        <v>67</v>
      </c>
      <c r="AC300" s="28">
        <f t="shared" si="20"/>
        <v>109480</v>
      </c>
      <c r="AD300" s="1"/>
      <c r="AE300" s="1">
        <f t="shared" si="19"/>
        <v>0</v>
      </c>
      <c r="AF300" s="1"/>
      <c r="AG300" s="1"/>
      <c r="AL300" s="1"/>
      <c r="AO300" s="1"/>
    </row>
    <row r="301" spans="1:41" x14ac:dyDescent="0.25">
      <c r="A301" s="1" t="s">
        <v>356</v>
      </c>
      <c r="B301" s="1" t="s">
        <v>1037</v>
      </c>
      <c r="C301" s="4" t="str">
        <f t="shared" si="21"/>
        <v>GASKET-EXHAUST MANIFOLD</v>
      </c>
      <c r="H301" s="4" t="s">
        <v>227</v>
      </c>
      <c r="I301" s="4" t="s">
        <v>354</v>
      </c>
      <c r="J301" s="3"/>
      <c r="K301" s="1"/>
      <c r="L301" s="1"/>
      <c r="M301" s="1"/>
      <c r="N301" s="1"/>
      <c r="P301" s="1"/>
      <c r="Q301" s="2" t="s">
        <v>357</v>
      </c>
      <c r="R301" s="1" t="str">
        <f t="shared" si="22"/>
        <v>NCA2907AE</v>
      </c>
      <c r="S301" s="1"/>
      <c r="T301" s="1">
        <v>0</v>
      </c>
      <c r="U301" s="28"/>
      <c r="V301" s="1"/>
      <c r="W301" s="1"/>
      <c r="X301" s="1"/>
      <c r="Y301" s="2"/>
      <c r="Z301" s="1"/>
      <c r="AB301" s="1" t="s">
        <v>67</v>
      </c>
      <c r="AC301" s="28">
        <f t="shared" si="20"/>
        <v>109480</v>
      </c>
      <c r="AD301" s="1"/>
      <c r="AE301" s="1">
        <f t="shared" si="19"/>
        <v>0</v>
      </c>
      <c r="AF301" s="1"/>
      <c r="AG301" s="1"/>
      <c r="AL301" s="1"/>
      <c r="AO301" s="1"/>
    </row>
    <row r="302" spans="1:41" x14ac:dyDescent="0.25">
      <c r="A302" s="1" t="s">
        <v>364</v>
      </c>
      <c r="B302" s="1" t="s">
        <v>1037</v>
      </c>
      <c r="C302" s="4" t="str">
        <f t="shared" si="21"/>
        <v>GASKET-SEAL</v>
      </c>
      <c r="H302" s="4" t="s">
        <v>227</v>
      </c>
      <c r="I302" s="4" t="s">
        <v>360</v>
      </c>
      <c r="J302" s="3"/>
      <c r="K302" s="1"/>
      <c r="L302" s="1"/>
      <c r="M302" s="1"/>
      <c r="N302" s="1"/>
      <c r="P302" s="1"/>
      <c r="Q302" s="2" t="s">
        <v>365</v>
      </c>
      <c r="R302" s="1" t="str">
        <f t="shared" si="22"/>
        <v>NCA3015BA</v>
      </c>
      <c r="S302" s="1"/>
      <c r="T302" s="1">
        <v>0</v>
      </c>
      <c r="U302" s="28"/>
      <c r="V302" s="1"/>
      <c r="W302" s="1"/>
      <c r="X302" s="1"/>
      <c r="Y302" s="2"/>
      <c r="Z302" s="1"/>
      <c r="AB302" s="1" t="s">
        <v>67</v>
      </c>
      <c r="AC302" s="28">
        <f t="shared" si="20"/>
        <v>109480</v>
      </c>
      <c r="AD302" s="1"/>
      <c r="AE302" s="1">
        <f t="shared" si="19"/>
        <v>0</v>
      </c>
      <c r="AF302" s="1"/>
      <c r="AG302" s="1"/>
      <c r="AL302" s="1"/>
      <c r="AO302" s="1"/>
    </row>
    <row r="303" spans="1:41" x14ac:dyDescent="0.25">
      <c r="A303" s="1" t="s">
        <v>359</v>
      </c>
      <c r="B303" s="1" t="s">
        <v>1037</v>
      </c>
      <c r="C303" s="4" t="str">
        <f t="shared" si="21"/>
        <v>GASKET-INLET MANIFOLD</v>
      </c>
      <c r="H303" s="4" t="s">
        <v>227</v>
      </c>
      <c r="I303" s="4" t="s">
        <v>360</v>
      </c>
      <c r="J303" s="3"/>
      <c r="K303" s="1"/>
      <c r="L303" s="1"/>
      <c r="M303" s="1"/>
      <c r="N303" s="1"/>
      <c r="P303" s="1"/>
      <c r="Q303" s="2" t="s">
        <v>361</v>
      </c>
      <c r="R303" s="1" t="str">
        <f t="shared" si="22"/>
        <v>NCA3016BB</v>
      </c>
      <c r="S303" s="1"/>
      <c r="T303" s="1">
        <v>0</v>
      </c>
      <c r="U303" s="28"/>
      <c r="V303" s="1"/>
      <c r="W303" s="1"/>
      <c r="X303" s="1"/>
      <c r="Y303" s="2"/>
      <c r="Z303" s="1"/>
      <c r="AB303" s="1" t="s">
        <v>67</v>
      </c>
      <c r="AC303" s="28">
        <f t="shared" si="20"/>
        <v>109480</v>
      </c>
      <c r="AD303" s="1"/>
      <c r="AE303" s="1">
        <f t="shared" si="19"/>
        <v>0</v>
      </c>
      <c r="AF303" s="1"/>
      <c r="AG303" s="1"/>
      <c r="AL303" s="1"/>
      <c r="AO303" s="1"/>
    </row>
    <row r="304" spans="1:41" x14ac:dyDescent="0.25">
      <c r="A304" s="1" t="s">
        <v>366</v>
      </c>
      <c r="B304" s="1" t="s">
        <v>1037</v>
      </c>
      <c r="C304" s="4" t="str">
        <f t="shared" si="21"/>
        <v>GASKET-THROTTLE BODY</v>
      </c>
      <c r="H304" s="4" t="s">
        <v>227</v>
      </c>
      <c r="I304" s="4" t="s">
        <v>360</v>
      </c>
      <c r="J304" s="3"/>
      <c r="K304" s="1"/>
      <c r="L304" s="1"/>
      <c r="M304" s="1"/>
      <c r="N304" s="1"/>
      <c r="P304" s="1"/>
      <c r="Q304" s="2" t="s">
        <v>367</v>
      </c>
      <c r="R304" s="1" t="str">
        <f t="shared" si="22"/>
        <v>NCA3021BA</v>
      </c>
      <c r="S304" s="1"/>
      <c r="T304" s="1">
        <v>0</v>
      </c>
      <c r="U304" s="28"/>
      <c r="V304" s="1"/>
      <c r="W304" s="1"/>
      <c r="X304" s="1"/>
      <c r="Y304" s="2"/>
      <c r="Z304" s="1"/>
      <c r="AB304" s="1" t="s">
        <v>67</v>
      </c>
      <c r="AC304" s="28">
        <f t="shared" si="20"/>
        <v>109480</v>
      </c>
      <c r="AD304" s="1"/>
      <c r="AE304" s="1">
        <f t="shared" si="19"/>
        <v>0</v>
      </c>
      <c r="AF304" s="1"/>
      <c r="AG304" s="1"/>
      <c r="AL304" s="1"/>
      <c r="AO304" s="1"/>
    </row>
    <row r="305" spans="1:41" x14ac:dyDescent="0.25">
      <c r="A305" s="1" t="s">
        <v>684</v>
      </c>
      <c r="B305" s="1" t="s">
        <v>1037</v>
      </c>
      <c r="C305" s="4" t="str">
        <f t="shared" si="21"/>
        <v>SPARK PLUG</v>
      </c>
      <c r="I305" s="4" t="s">
        <v>685</v>
      </c>
      <c r="J305" s="3"/>
      <c r="K305" s="1"/>
      <c r="L305" s="1"/>
      <c r="M305" s="1"/>
      <c r="N305" s="1"/>
      <c r="P305" s="1"/>
      <c r="Q305" s="2" t="s">
        <v>686</v>
      </c>
      <c r="R305" s="1" t="str">
        <f t="shared" si="22"/>
        <v>NCA3850DA2</v>
      </c>
      <c r="S305" s="1"/>
      <c r="T305" s="1">
        <v>0</v>
      </c>
      <c r="U305" s="28"/>
      <c r="V305" s="1"/>
      <c r="W305" s="1"/>
      <c r="X305" s="1"/>
      <c r="Y305" s="2"/>
      <c r="Z305" s="1"/>
      <c r="AB305" s="1" t="s">
        <v>67</v>
      </c>
      <c r="AC305" s="28">
        <f t="shared" si="20"/>
        <v>109480</v>
      </c>
      <c r="AD305" s="1"/>
      <c r="AE305" s="1">
        <f t="shared" si="19"/>
        <v>0</v>
      </c>
      <c r="AF305" s="1"/>
      <c r="AG305" s="1"/>
      <c r="AL305" s="1"/>
      <c r="AO305" s="1"/>
    </row>
    <row r="306" spans="1:41" x14ac:dyDescent="0.25">
      <c r="A306" s="1" t="s">
        <v>687</v>
      </c>
      <c r="B306" s="1" t="s">
        <v>1037</v>
      </c>
      <c r="C306" s="4" t="str">
        <f t="shared" si="21"/>
        <v>SPARK PLUG</v>
      </c>
      <c r="I306" s="4" t="s">
        <v>685</v>
      </c>
      <c r="J306" s="3"/>
      <c r="K306" s="1"/>
      <c r="L306" s="1"/>
      <c r="M306" s="1"/>
      <c r="N306" s="1"/>
      <c r="P306" s="1"/>
      <c r="Q306" s="2" t="s">
        <v>686</v>
      </c>
      <c r="R306" s="1" t="str">
        <f t="shared" si="22"/>
        <v>NCA3850FA</v>
      </c>
      <c r="S306" s="1"/>
      <c r="T306" s="1">
        <v>0</v>
      </c>
      <c r="U306" s="28"/>
      <c r="V306" s="1"/>
      <c r="W306" s="1"/>
      <c r="X306" s="1"/>
      <c r="Y306" s="2"/>
      <c r="Z306" s="1"/>
      <c r="AB306" s="1" t="s">
        <v>67</v>
      </c>
      <c r="AC306" s="28">
        <f t="shared" si="20"/>
        <v>109480</v>
      </c>
      <c r="AD306" s="1"/>
      <c r="AE306" s="1">
        <f t="shared" si="19"/>
        <v>0</v>
      </c>
      <c r="AF306" s="1"/>
      <c r="AG306" s="1"/>
      <c r="AL306" s="1"/>
      <c r="AO306" s="1"/>
    </row>
    <row r="307" spans="1:41" x14ac:dyDescent="0.25">
      <c r="A307" s="1" t="s">
        <v>688</v>
      </c>
      <c r="B307" s="1" t="s">
        <v>1037</v>
      </c>
      <c r="C307" s="4" t="str">
        <f t="shared" si="21"/>
        <v>SPARK PLUG</v>
      </c>
      <c r="D307" s="28">
        <v>0</v>
      </c>
      <c r="F307" s="1">
        <v>18108</v>
      </c>
      <c r="G307" s="1">
        <v>31302</v>
      </c>
      <c r="I307" s="4" t="s">
        <v>685</v>
      </c>
      <c r="J307" s="3"/>
      <c r="K307" s="1"/>
      <c r="L307" s="1"/>
      <c r="M307" s="1"/>
      <c r="N307" s="1"/>
      <c r="P307" s="1"/>
      <c r="Q307" s="2" t="s">
        <v>686</v>
      </c>
      <c r="R307" s="1" t="str">
        <f t="shared" si="22"/>
        <v>NCA3850FA1</v>
      </c>
      <c r="S307" s="1"/>
      <c r="T307" s="1">
        <v>0</v>
      </c>
      <c r="U307" s="28"/>
      <c r="V307" s="1"/>
      <c r="W307" s="1"/>
      <c r="X307" s="1"/>
      <c r="Y307" s="2"/>
      <c r="Z307" s="1"/>
      <c r="AB307" s="1" t="s">
        <v>67</v>
      </c>
      <c r="AC307" s="28">
        <f t="shared" ref="AC307:AC327" si="23">68000*1.61</f>
        <v>109480</v>
      </c>
      <c r="AD307" s="1"/>
      <c r="AE307" s="1">
        <f t="shared" si="19"/>
        <v>0</v>
      </c>
      <c r="AF307" s="1"/>
      <c r="AG307" s="1"/>
      <c r="AL307" s="1"/>
      <c r="AO307" s="1"/>
    </row>
    <row r="308" spans="1:41" ht="60" x14ac:dyDescent="0.25">
      <c r="A308" s="1" t="s">
        <v>568</v>
      </c>
      <c r="B308" s="1" t="s">
        <v>1037</v>
      </c>
      <c r="C308" s="4" t="s">
        <v>566</v>
      </c>
      <c r="D308" s="28">
        <v>1</v>
      </c>
      <c r="E308" s="2" t="s">
        <v>569</v>
      </c>
      <c r="H308" s="4" t="s">
        <v>567</v>
      </c>
      <c r="I308" s="4" t="s">
        <v>335</v>
      </c>
      <c r="J308" s="3" t="s">
        <v>28</v>
      </c>
      <c r="K308" s="1" t="s">
        <v>29</v>
      </c>
      <c r="L308" s="1"/>
      <c r="M308" s="1" t="s">
        <v>167</v>
      </c>
      <c r="N308" s="1"/>
      <c r="P308" s="1"/>
      <c r="Q308" s="19" t="s">
        <v>566</v>
      </c>
      <c r="R308" s="1" t="s">
        <v>568</v>
      </c>
      <c r="S308" s="1"/>
      <c r="T308" s="28">
        <v>0</v>
      </c>
      <c r="U308" s="28"/>
      <c r="V308" s="1"/>
      <c r="W308" s="1"/>
      <c r="X308" s="1"/>
      <c r="Y308" s="2"/>
      <c r="Z308" s="1"/>
      <c r="AB308" s="29" t="s">
        <v>1241</v>
      </c>
      <c r="AC308" s="28">
        <f t="shared" si="23"/>
        <v>109480</v>
      </c>
      <c r="AD308" s="1" t="s">
        <v>41</v>
      </c>
      <c r="AE308" s="1">
        <f t="shared" si="19"/>
        <v>0</v>
      </c>
      <c r="AF308" s="1"/>
      <c r="AG308" s="1"/>
      <c r="AL308" s="1"/>
      <c r="AO308" s="1"/>
    </row>
    <row r="309" spans="1:41" x14ac:dyDescent="0.25">
      <c r="A309" s="1" t="s">
        <v>485</v>
      </c>
      <c r="B309" s="1" t="s">
        <v>1037</v>
      </c>
      <c r="C309" s="4" t="str">
        <f>Q309</f>
        <v>HOSE-FULL LOAD BREATHER</v>
      </c>
      <c r="H309" s="4" t="s">
        <v>98</v>
      </c>
      <c r="I309" s="4"/>
      <c r="J309" s="3"/>
      <c r="K309" s="1"/>
      <c r="L309" s="1"/>
      <c r="M309" s="1"/>
      <c r="N309" s="1"/>
      <c r="P309" s="1"/>
      <c r="Q309" s="2" t="s">
        <v>486</v>
      </c>
      <c r="R309" s="1" t="str">
        <f>A309</f>
        <v>NCA3951CB</v>
      </c>
      <c r="S309" s="1"/>
      <c r="T309" s="1">
        <v>0</v>
      </c>
      <c r="U309" s="28"/>
      <c r="V309" s="1"/>
      <c r="W309" s="1"/>
      <c r="X309" s="1"/>
      <c r="Y309" s="2"/>
      <c r="Z309" s="1"/>
      <c r="AB309" s="1" t="s">
        <v>67</v>
      </c>
      <c r="AC309" s="28">
        <f t="shared" si="23"/>
        <v>109480</v>
      </c>
      <c r="AD309" s="1"/>
      <c r="AE309" s="1">
        <f t="shared" si="19"/>
        <v>0</v>
      </c>
      <c r="AF309" s="1"/>
      <c r="AG309" s="1"/>
      <c r="AL309" s="1"/>
      <c r="AO309" s="1"/>
    </row>
    <row r="310" spans="1:41" x14ac:dyDescent="0.25">
      <c r="A310" s="1" t="s">
        <v>1383</v>
      </c>
      <c r="B310" s="1" t="s">
        <v>1037</v>
      </c>
      <c r="C310" s="4" t="s">
        <v>1384</v>
      </c>
      <c r="D310" s="28">
        <v>0</v>
      </c>
      <c r="H310" s="4" t="s">
        <v>146</v>
      </c>
      <c r="I310" s="4" t="s">
        <v>147</v>
      </c>
      <c r="J310" s="3"/>
      <c r="K310" s="1"/>
      <c r="L310" s="1"/>
      <c r="M310" s="1"/>
      <c r="N310" s="1"/>
      <c r="P310" s="1"/>
      <c r="S310" s="1"/>
      <c r="T310" s="1">
        <v>0</v>
      </c>
      <c r="U310" s="28"/>
      <c r="V310" s="1"/>
      <c r="W310" s="1"/>
      <c r="X310" s="1"/>
      <c r="Y310" s="2"/>
      <c r="Z310" s="1"/>
      <c r="AB310" s="1"/>
      <c r="AC310" s="28">
        <f t="shared" si="23"/>
        <v>109480</v>
      </c>
      <c r="AD310" s="1"/>
      <c r="AE310" s="1">
        <f t="shared" si="19"/>
        <v>0</v>
      </c>
      <c r="AF310" s="1"/>
      <c r="AG310" s="1"/>
      <c r="AL310" s="1"/>
      <c r="AO310" s="1"/>
    </row>
    <row r="311" spans="1:41" x14ac:dyDescent="0.25">
      <c r="A311" s="1" t="s">
        <v>521</v>
      </c>
      <c r="B311" s="1" t="s">
        <v>1037</v>
      </c>
      <c r="C311" s="4" t="str">
        <f>Q311</f>
        <v>OIL SEAL</v>
      </c>
      <c r="H311" s="4" t="s">
        <v>227</v>
      </c>
      <c r="I311" s="4" t="s">
        <v>229</v>
      </c>
      <c r="J311" s="3"/>
      <c r="K311" s="1"/>
      <c r="L311" s="1"/>
      <c r="M311" s="1"/>
      <c r="N311" s="1"/>
      <c r="P311" s="1"/>
      <c r="Q311" s="2" t="s">
        <v>522</v>
      </c>
      <c r="R311" s="1" t="str">
        <f>A311</f>
        <v>NCC2142AA</v>
      </c>
      <c r="S311" s="1"/>
      <c r="T311" s="1">
        <v>0</v>
      </c>
      <c r="U311" s="28"/>
      <c r="V311" s="1"/>
      <c r="W311" s="1"/>
      <c r="X311" s="1"/>
      <c r="Y311" s="2"/>
      <c r="Z311" s="1"/>
      <c r="AB311" s="1" t="s">
        <v>67</v>
      </c>
      <c r="AC311" s="28">
        <f t="shared" si="23"/>
        <v>109480</v>
      </c>
      <c r="AD311" s="1"/>
      <c r="AE311" s="1">
        <f t="shared" si="19"/>
        <v>0</v>
      </c>
      <c r="AF311" s="1"/>
      <c r="AG311" s="1"/>
      <c r="AL311" s="1"/>
      <c r="AO311" s="1"/>
    </row>
    <row r="312" spans="1:41" x14ac:dyDescent="0.25">
      <c r="A312" s="1" t="s">
        <v>438</v>
      </c>
      <c r="B312" s="1" t="s">
        <v>1037</v>
      </c>
      <c r="C312" s="4" t="str">
        <f>Q312</f>
        <v>HEAD GASKET</v>
      </c>
      <c r="H312" s="4" t="s">
        <v>227</v>
      </c>
      <c r="I312" s="4" t="s">
        <v>147</v>
      </c>
      <c r="J312" s="3"/>
      <c r="K312" s="1"/>
      <c r="L312" s="1"/>
      <c r="M312" s="1"/>
      <c r="N312" s="1"/>
      <c r="P312" s="1"/>
      <c r="Q312" s="2" t="s">
        <v>439</v>
      </c>
      <c r="R312" s="1" t="str">
        <f>A312</f>
        <v>NCC2541BC</v>
      </c>
      <c r="S312" s="1"/>
      <c r="T312" s="1">
        <v>0</v>
      </c>
      <c r="U312" s="28"/>
      <c r="V312" s="1"/>
      <c r="W312" s="1"/>
      <c r="X312" s="1"/>
      <c r="Y312" s="2"/>
      <c r="Z312" s="1"/>
      <c r="AB312" s="1" t="s">
        <v>67</v>
      </c>
      <c r="AC312" s="28">
        <f t="shared" si="23"/>
        <v>109480</v>
      </c>
      <c r="AD312" s="1"/>
      <c r="AE312" s="1">
        <f t="shared" si="19"/>
        <v>0</v>
      </c>
      <c r="AF312" s="1"/>
      <c r="AG312" s="1"/>
      <c r="AL312" s="1"/>
      <c r="AO312" s="1"/>
    </row>
    <row r="313" spans="1:41" ht="60" x14ac:dyDescent="0.25">
      <c r="A313" s="1" t="s">
        <v>1413</v>
      </c>
      <c r="B313" s="1" t="s">
        <v>1403</v>
      </c>
      <c r="C313" s="4" t="s">
        <v>1412</v>
      </c>
      <c r="D313" s="28">
        <v>0</v>
      </c>
      <c r="E313" s="2" t="s">
        <v>1408</v>
      </c>
      <c r="F313" s="2" t="s">
        <v>1414</v>
      </c>
      <c r="G313" s="2" t="s">
        <v>1415</v>
      </c>
      <c r="H313" s="4" t="s">
        <v>1404</v>
      </c>
      <c r="I313" s="4" t="s">
        <v>1406</v>
      </c>
      <c r="J313" s="3" t="s">
        <v>28</v>
      </c>
      <c r="K313" s="1" t="s">
        <v>29</v>
      </c>
      <c r="L313" s="1" t="s">
        <v>83</v>
      </c>
      <c r="M313" s="1" t="s">
        <v>167</v>
      </c>
      <c r="N313" s="1"/>
      <c r="O313" s="1" t="s">
        <v>1407</v>
      </c>
      <c r="P313" s="2"/>
      <c r="Q313" s="2" t="s">
        <v>1409</v>
      </c>
      <c r="R313" s="2" t="s">
        <v>1405</v>
      </c>
      <c r="S313" s="1">
        <v>1900</v>
      </c>
      <c r="T313" s="28">
        <v>0</v>
      </c>
      <c r="U313" s="28">
        <v>1900</v>
      </c>
      <c r="V313" s="1"/>
      <c r="W313" s="1" t="s">
        <v>1399</v>
      </c>
      <c r="X313" s="1" t="s">
        <v>47</v>
      </c>
      <c r="Y313" s="2"/>
      <c r="Z313" s="1"/>
      <c r="AA313" s="2" t="s">
        <v>1411</v>
      </c>
      <c r="AB313" s="1" t="s">
        <v>1410</v>
      </c>
      <c r="AC313" s="28">
        <f t="shared" si="23"/>
        <v>109480</v>
      </c>
      <c r="AD313" s="1" t="s">
        <v>175</v>
      </c>
      <c r="AE313" s="1">
        <f t="shared" si="19"/>
        <v>0</v>
      </c>
      <c r="AF313" s="1"/>
      <c r="AG313" s="1"/>
      <c r="AL313" s="1"/>
      <c r="AO313" s="1"/>
    </row>
    <row r="314" spans="1:41" x14ac:dyDescent="0.25">
      <c r="A314" s="1" t="s">
        <v>543</v>
      </c>
      <c r="B314" s="1" t="s">
        <v>1037</v>
      </c>
      <c r="C314" s="4" t="str">
        <f>Q314</f>
        <v>PICK UP PIPE O-RING</v>
      </c>
      <c r="H314" s="4" t="s">
        <v>227</v>
      </c>
      <c r="I314" s="4" t="s">
        <v>229</v>
      </c>
      <c r="J314" s="3"/>
      <c r="K314" s="1"/>
      <c r="L314" s="1"/>
      <c r="M314" s="1"/>
      <c r="N314" s="1"/>
      <c r="P314" s="1"/>
      <c r="Q314" s="2" t="s">
        <v>544</v>
      </c>
      <c r="R314" s="1" t="str">
        <f>A314</f>
        <v>NCE1746AA</v>
      </c>
      <c r="S314" s="1"/>
      <c r="T314" s="1">
        <v>0</v>
      </c>
      <c r="U314" s="28"/>
      <c r="V314" s="1"/>
      <c r="W314" s="1"/>
      <c r="X314" s="1"/>
      <c r="Y314" s="2"/>
      <c r="Z314" s="1"/>
      <c r="AB314" s="1" t="s">
        <v>67</v>
      </c>
      <c r="AC314" s="28">
        <f t="shared" si="23"/>
        <v>109480</v>
      </c>
      <c r="AD314" s="1"/>
      <c r="AE314" s="1">
        <f t="shared" ref="AE314:AE377" si="24">S314*D314</f>
        <v>0</v>
      </c>
      <c r="AF314" s="1"/>
      <c r="AG314" s="1"/>
      <c r="AL314" s="1"/>
      <c r="AO314" s="1"/>
    </row>
    <row r="315" spans="1:41" x14ac:dyDescent="0.25">
      <c r="A315" s="1" t="s">
        <v>1353</v>
      </c>
      <c r="B315" s="1" t="s">
        <v>1291</v>
      </c>
      <c r="C315" s="4" t="s">
        <v>1352</v>
      </c>
      <c r="E315" s="2"/>
      <c r="H315" s="4" t="s">
        <v>319</v>
      </c>
      <c r="I315" s="4" t="s">
        <v>1354</v>
      </c>
      <c r="J315" s="3"/>
      <c r="K315" s="1"/>
      <c r="L315" s="1"/>
      <c r="M315" s="1"/>
      <c r="N315" s="1"/>
      <c r="P315" s="1"/>
      <c r="R315" s="2"/>
      <c r="S315" s="1">
        <v>20</v>
      </c>
      <c r="T315" s="1">
        <v>0</v>
      </c>
      <c r="U315" s="28"/>
      <c r="V315" s="1"/>
      <c r="W315" s="1"/>
      <c r="X315" s="1"/>
      <c r="Y315" s="2"/>
      <c r="Z315" s="1"/>
      <c r="AB315" s="1"/>
      <c r="AC315" s="28">
        <f t="shared" si="23"/>
        <v>109480</v>
      </c>
      <c r="AD315" s="1"/>
      <c r="AE315" s="1">
        <f t="shared" si="24"/>
        <v>0</v>
      </c>
      <c r="AF315" s="1"/>
      <c r="AG315" s="1"/>
      <c r="AL315" s="1"/>
      <c r="AO315" s="1"/>
    </row>
    <row r="316" spans="1:41" ht="30" x14ac:dyDescent="0.25">
      <c r="A316" s="1" t="s">
        <v>1525</v>
      </c>
      <c r="B316" s="1" t="s">
        <v>1037</v>
      </c>
      <c r="C316" s="4" t="s">
        <v>1527</v>
      </c>
      <c r="E316" s="1" t="s">
        <v>1526</v>
      </c>
      <c r="H316" s="4" t="s">
        <v>342</v>
      </c>
      <c r="I316" s="4" t="s">
        <v>344</v>
      </c>
      <c r="J316" s="4" t="s">
        <v>28</v>
      </c>
      <c r="K316" s="1" t="s">
        <v>29</v>
      </c>
      <c r="L316" s="1"/>
      <c r="M316" s="1" t="s">
        <v>167</v>
      </c>
      <c r="N316" s="1"/>
      <c r="O316" s="2"/>
      <c r="P316" s="1"/>
      <c r="Q316" s="2" t="s">
        <v>1526</v>
      </c>
      <c r="S316" s="1"/>
      <c r="T316" s="1">
        <v>0</v>
      </c>
      <c r="U316" s="28"/>
      <c r="V316" s="1"/>
      <c r="W316" s="1"/>
      <c r="X316" s="1"/>
      <c r="Y316" s="2"/>
      <c r="Z316" s="1"/>
      <c r="AB316" s="1"/>
      <c r="AC316" s="28">
        <f t="shared" si="23"/>
        <v>109480</v>
      </c>
      <c r="AD316" s="1"/>
      <c r="AE316" s="1">
        <f t="shared" si="24"/>
        <v>0</v>
      </c>
      <c r="AF316" s="1"/>
      <c r="AG316" s="1"/>
      <c r="AL316" s="1"/>
      <c r="AO316" s="1"/>
    </row>
    <row r="317" spans="1:41" x14ac:dyDescent="0.25">
      <c r="A317" s="1" t="s">
        <v>385</v>
      </c>
      <c r="B317" s="1" t="s">
        <v>1037</v>
      </c>
      <c r="C317" s="4" t="s">
        <v>384</v>
      </c>
      <c r="E317" s="2" t="s">
        <v>381</v>
      </c>
      <c r="G317" s="10" t="s">
        <v>386</v>
      </c>
      <c r="H317" s="4" t="s">
        <v>378</v>
      </c>
      <c r="I317" s="4" t="s">
        <v>380</v>
      </c>
      <c r="J317" s="3" t="s">
        <v>101</v>
      </c>
      <c r="K317" s="1" t="s">
        <v>83</v>
      </c>
      <c r="L317" s="1" t="s">
        <v>83</v>
      </c>
      <c r="M317" s="1" t="s">
        <v>84</v>
      </c>
      <c r="N317" s="1"/>
      <c r="P317" s="10"/>
      <c r="S317" s="1"/>
      <c r="T317" s="1">
        <v>0</v>
      </c>
      <c r="U317" s="28"/>
      <c r="V317" s="1"/>
      <c r="W317" s="1"/>
      <c r="X317" s="1"/>
      <c r="Y317" s="2"/>
      <c r="Z317" s="1"/>
      <c r="AB317" s="1"/>
      <c r="AC317" s="28">
        <f t="shared" si="23"/>
        <v>109480</v>
      </c>
      <c r="AD317" s="1"/>
      <c r="AE317" s="1">
        <f t="shared" si="24"/>
        <v>0</v>
      </c>
      <c r="AF317" s="1"/>
      <c r="AG317" s="1"/>
      <c r="AL317" s="1"/>
      <c r="AO317" s="1"/>
    </row>
    <row r="318" spans="1:41" x14ac:dyDescent="0.25">
      <c r="A318" s="1" t="s">
        <v>396</v>
      </c>
      <c r="B318" s="1" t="s">
        <v>1037</v>
      </c>
      <c r="C318" s="4" t="s">
        <v>395</v>
      </c>
      <c r="E318" s="2" t="s">
        <v>381</v>
      </c>
      <c r="G318" s="10" t="s">
        <v>386</v>
      </c>
      <c r="H318" s="4" t="s">
        <v>378</v>
      </c>
      <c r="I318" s="4" t="s">
        <v>380</v>
      </c>
      <c r="J318" s="3" t="s">
        <v>101</v>
      </c>
      <c r="K318" s="1" t="s">
        <v>83</v>
      </c>
      <c r="L318" s="1" t="s">
        <v>83</v>
      </c>
      <c r="M318" s="1" t="s">
        <v>84</v>
      </c>
      <c r="N318" s="1"/>
      <c r="P318" s="10"/>
      <c r="S318" s="1"/>
      <c r="T318" s="1">
        <v>0</v>
      </c>
      <c r="U318" s="28"/>
      <c r="V318" s="1"/>
      <c r="W318" s="1"/>
      <c r="X318" s="1"/>
      <c r="Y318" s="2"/>
      <c r="Z318" s="1"/>
      <c r="AB318" s="1"/>
      <c r="AC318" s="28">
        <f t="shared" si="23"/>
        <v>109480</v>
      </c>
      <c r="AD318" s="1"/>
      <c r="AE318" s="1">
        <f t="shared" si="24"/>
        <v>0</v>
      </c>
      <c r="AF318" s="1"/>
      <c r="AG318" s="1"/>
      <c r="AL318" s="1"/>
      <c r="AO318" s="1"/>
    </row>
    <row r="319" spans="1:41" x14ac:dyDescent="0.25">
      <c r="A319" s="1" t="s">
        <v>387</v>
      </c>
      <c r="B319" s="1" t="s">
        <v>1037</v>
      </c>
      <c r="C319" s="4" t="s">
        <v>384</v>
      </c>
      <c r="E319" s="2" t="s">
        <v>381</v>
      </c>
      <c r="F319" s="10" t="s">
        <v>388</v>
      </c>
      <c r="G319" s="10" t="s">
        <v>39</v>
      </c>
      <c r="H319" s="4" t="s">
        <v>378</v>
      </c>
      <c r="I319" s="4" t="s">
        <v>380</v>
      </c>
      <c r="J319" s="3" t="s">
        <v>101</v>
      </c>
      <c r="K319" s="1" t="s">
        <v>83</v>
      </c>
      <c r="L319" s="1" t="s">
        <v>83</v>
      </c>
      <c r="M319" s="1" t="s">
        <v>84</v>
      </c>
      <c r="N319" s="1"/>
      <c r="P319" s="10"/>
      <c r="S319" s="1"/>
      <c r="T319" s="1">
        <v>0</v>
      </c>
      <c r="U319" s="28"/>
      <c r="V319" s="1"/>
      <c r="W319" s="1"/>
      <c r="X319" s="1"/>
      <c r="Y319" s="2"/>
      <c r="Z319" s="1"/>
      <c r="AB319" s="1"/>
      <c r="AC319" s="28">
        <f t="shared" si="23"/>
        <v>109480</v>
      </c>
      <c r="AD319" s="1"/>
      <c r="AE319" s="1">
        <f t="shared" si="24"/>
        <v>0</v>
      </c>
      <c r="AF319" s="1"/>
      <c r="AG319" s="1"/>
      <c r="AL319" s="1"/>
      <c r="AO319" s="1"/>
    </row>
    <row r="320" spans="1:41" x14ac:dyDescent="0.25">
      <c r="A320" s="1" t="s">
        <v>397</v>
      </c>
      <c r="B320" s="1" t="s">
        <v>1037</v>
      </c>
      <c r="C320" s="4" t="s">
        <v>395</v>
      </c>
      <c r="E320" s="2" t="s">
        <v>381</v>
      </c>
      <c r="F320" s="10" t="s">
        <v>388</v>
      </c>
      <c r="G320" s="10" t="s">
        <v>39</v>
      </c>
      <c r="H320" s="4" t="s">
        <v>378</v>
      </c>
      <c r="I320" s="4" t="s">
        <v>380</v>
      </c>
      <c r="J320" s="3" t="s">
        <v>101</v>
      </c>
      <c r="K320" s="1" t="s">
        <v>83</v>
      </c>
      <c r="L320" s="1" t="s">
        <v>83</v>
      </c>
      <c r="M320" s="1" t="s">
        <v>84</v>
      </c>
      <c r="N320" s="1"/>
      <c r="P320" s="10"/>
      <c r="S320" s="1"/>
      <c r="T320" s="1">
        <v>0</v>
      </c>
      <c r="U320" s="28"/>
      <c r="V320" s="1"/>
      <c r="W320" s="1"/>
      <c r="X320" s="1"/>
      <c r="Y320" s="2"/>
      <c r="Z320" s="1"/>
      <c r="AB320" s="1"/>
      <c r="AC320" s="28">
        <f t="shared" si="23"/>
        <v>109480</v>
      </c>
      <c r="AD320" s="1"/>
      <c r="AE320" s="1">
        <f t="shared" si="24"/>
        <v>0</v>
      </c>
      <c r="AF320" s="1"/>
      <c r="AG320" s="1"/>
      <c r="AL320" s="1"/>
      <c r="AO320" s="1"/>
    </row>
    <row r="321" spans="1:41" ht="45" x14ac:dyDescent="0.25">
      <c r="A321" s="1" t="s">
        <v>186</v>
      </c>
      <c r="B321" s="1" t="s">
        <v>1037</v>
      </c>
      <c r="C321" s="4" t="s">
        <v>184</v>
      </c>
      <c r="D321" s="28">
        <v>1</v>
      </c>
      <c r="E321" s="2" t="s">
        <v>1606</v>
      </c>
      <c r="F321" s="1" t="s">
        <v>1554</v>
      </c>
      <c r="G321" s="1" t="s">
        <v>1608</v>
      </c>
      <c r="H321" s="4" t="s">
        <v>185</v>
      </c>
      <c r="I321" s="4" t="s">
        <v>185</v>
      </c>
      <c r="J321" s="3" t="s">
        <v>101</v>
      </c>
      <c r="K321" s="1" t="s">
        <v>59</v>
      </c>
      <c r="L321" s="1" t="s">
        <v>55</v>
      </c>
      <c r="M321" s="1" t="s">
        <v>84</v>
      </c>
      <c r="N321" s="1"/>
      <c r="P321" s="1" t="s">
        <v>1607</v>
      </c>
      <c r="Q321" s="19" t="s">
        <v>187</v>
      </c>
      <c r="R321" s="2" t="str">
        <f>A321</f>
        <v>NJA6741BB</v>
      </c>
      <c r="S321" s="1">
        <v>25</v>
      </c>
      <c r="T321" s="28">
        <v>0</v>
      </c>
      <c r="U321" s="28">
        <f>Parts[[#This Row],[Price EU euro]]</f>
        <v>25</v>
      </c>
      <c r="V321" s="1"/>
      <c r="W321" s="1" t="s">
        <v>1513</v>
      </c>
      <c r="X321" s="1"/>
      <c r="Y321" s="2" t="s">
        <v>1609</v>
      </c>
      <c r="Z321" s="1"/>
      <c r="AB321" s="29" t="s">
        <v>1241</v>
      </c>
      <c r="AC321" s="28">
        <f t="shared" si="23"/>
        <v>109480</v>
      </c>
      <c r="AD321" s="1" t="s">
        <v>41</v>
      </c>
      <c r="AE321" s="1">
        <f t="shared" si="24"/>
        <v>25</v>
      </c>
      <c r="AF321" s="1"/>
      <c r="AG321" s="1"/>
      <c r="AL321" s="1"/>
      <c r="AO321" s="1"/>
    </row>
    <row r="322" spans="1:41" ht="60" x14ac:dyDescent="0.25">
      <c r="A322" s="1" t="s">
        <v>1211</v>
      </c>
      <c r="B322" s="1" t="s">
        <v>1339</v>
      </c>
      <c r="C322" s="4" t="s">
        <v>1219</v>
      </c>
      <c r="D322" s="28">
        <v>2</v>
      </c>
      <c r="E322" s="2" t="s">
        <v>1215</v>
      </c>
      <c r="F322" s="1" t="s">
        <v>1547</v>
      </c>
      <c r="G322" s="1" t="s">
        <v>1558</v>
      </c>
      <c r="H322" s="4" t="s">
        <v>151</v>
      </c>
      <c r="I322" s="4" t="s">
        <v>141</v>
      </c>
      <c r="J322" s="3" t="s">
        <v>28</v>
      </c>
      <c r="K322" s="1" t="s">
        <v>1213</v>
      </c>
      <c r="L322" s="1" t="s">
        <v>55</v>
      </c>
      <c r="M322" s="1" t="s">
        <v>692</v>
      </c>
      <c r="N322" s="1" t="s">
        <v>692</v>
      </c>
      <c r="O322" s="1" t="s">
        <v>32</v>
      </c>
      <c r="P322" s="1"/>
      <c r="Q322" s="2" t="s">
        <v>1217</v>
      </c>
      <c r="R322" s="1" t="s">
        <v>1211</v>
      </c>
      <c r="S322" s="1">
        <v>10</v>
      </c>
      <c r="T322" s="28">
        <v>0</v>
      </c>
      <c r="U322" s="28">
        <v>10</v>
      </c>
      <c r="V322" s="1"/>
      <c r="W322" s="1"/>
      <c r="X322" s="1" t="s">
        <v>47</v>
      </c>
      <c r="Y322" s="2"/>
      <c r="Z322" s="1"/>
      <c r="AA322" s="1" t="s">
        <v>1209</v>
      </c>
      <c r="AB322" s="1" t="s">
        <v>1210</v>
      </c>
      <c r="AC322" s="28">
        <f t="shared" si="23"/>
        <v>109480</v>
      </c>
      <c r="AD322" s="1" t="s">
        <v>48</v>
      </c>
      <c r="AE322" s="1">
        <f t="shared" si="24"/>
        <v>20</v>
      </c>
      <c r="AF322" s="1"/>
      <c r="AG322" s="1"/>
      <c r="AL322" s="1"/>
      <c r="AO322" s="1"/>
    </row>
    <row r="323" spans="1:41" ht="60" x14ac:dyDescent="0.25">
      <c r="A323" s="1" t="s">
        <v>1212</v>
      </c>
      <c r="B323" s="1" t="s">
        <v>1339</v>
      </c>
      <c r="C323" s="4" t="s">
        <v>1218</v>
      </c>
      <c r="D323" s="28">
        <v>1</v>
      </c>
      <c r="E323" s="2" t="s">
        <v>1214</v>
      </c>
      <c r="F323" s="1" t="s">
        <v>1547</v>
      </c>
      <c r="G323" s="1" t="s">
        <v>1558</v>
      </c>
      <c r="H323" s="4" t="s">
        <v>151</v>
      </c>
      <c r="I323" s="4" t="s">
        <v>141</v>
      </c>
      <c r="J323" s="3" t="s">
        <v>28</v>
      </c>
      <c r="K323" s="1" t="s">
        <v>29</v>
      </c>
      <c r="L323" s="1" t="s">
        <v>55</v>
      </c>
      <c r="M323" s="1" t="s">
        <v>692</v>
      </c>
      <c r="N323" s="1" t="s">
        <v>692</v>
      </c>
      <c r="O323" s="1" t="s">
        <v>32</v>
      </c>
      <c r="P323" s="1"/>
      <c r="Q323" s="2" t="s">
        <v>1216</v>
      </c>
      <c r="R323" s="1" t="s">
        <v>1212</v>
      </c>
      <c r="S323" s="1">
        <v>10</v>
      </c>
      <c r="T323" s="28">
        <v>0</v>
      </c>
      <c r="U323" s="28">
        <v>10</v>
      </c>
      <c r="V323" s="1"/>
      <c r="W323" s="1"/>
      <c r="X323" s="1" t="s">
        <v>47</v>
      </c>
      <c r="Y323" s="2"/>
      <c r="Z323" s="1"/>
      <c r="AA323" s="1" t="s">
        <v>1209</v>
      </c>
      <c r="AB323" s="1" t="s">
        <v>1210</v>
      </c>
      <c r="AC323" s="28">
        <f t="shared" si="23"/>
        <v>109480</v>
      </c>
      <c r="AD323" s="1" t="s">
        <v>48</v>
      </c>
      <c r="AE323" s="1">
        <f t="shared" si="24"/>
        <v>10</v>
      </c>
      <c r="AF323" s="1"/>
      <c r="AG323" s="1"/>
      <c r="AL323" s="1"/>
      <c r="AO323" s="1"/>
    </row>
    <row r="324" spans="1:41" x14ac:dyDescent="0.25">
      <c r="A324" s="1" t="s">
        <v>379</v>
      </c>
      <c r="B324" s="1" t="s">
        <v>1037</v>
      </c>
      <c r="C324" s="4" t="s">
        <v>377</v>
      </c>
      <c r="E324" s="2" t="s">
        <v>381</v>
      </c>
      <c r="F324" s="1">
        <v>812317</v>
      </c>
      <c r="G324" s="1">
        <v>853935</v>
      </c>
      <c r="H324" s="4" t="s">
        <v>378</v>
      </c>
      <c r="I324" s="4" t="s">
        <v>380</v>
      </c>
      <c r="J324" s="3" t="s">
        <v>101</v>
      </c>
      <c r="K324" s="1" t="s">
        <v>83</v>
      </c>
      <c r="L324" s="1" t="s">
        <v>83</v>
      </c>
      <c r="M324" s="1" t="s">
        <v>84</v>
      </c>
      <c r="N324" s="1"/>
      <c r="P324" s="1"/>
      <c r="S324" s="1"/>
      <c r="T324" s="1">
        <v>0</v>
      </c>
      <c r="U324" s="28"/>
      <c r="V324" s="1"/>
      <c r="W324" s="1"/>
      <c r="X324" s="1"/>
      <c r="Y324" s="2"/>
      <c r="Z324" s="1"/>
      <c r="AB324" s="1"/>
      <c r="AC324" s="28">
        <f t="shared" si="23"/>
        <v>109480</v>
      </c>
      <c r="AD324" s="1"/>
      <c r="AE324" s="1">
        <f t="shared" si="24"/>
        <v>0</v>
      </c>
      <c r="AF324" s="1"/>
      <c r="AG324" s="1"/>
      <c r="AL324" s="1"/>
      <c r="AO324" s="1"/>
    </row>
    <row r="325" spans="1:41" x14ac:dyDescent="0.25">
      <c r="A325" s="1" t="s">
        <v>379</v>
      </c>
      <c r="B325" s="1" t="s">
        <v>1037</v>
      </c>
      <c r="C325" s="4" t="s">
        <v>384</v>
      </c>
      <c r="E325" s="2" t="s">
        <v>381</v>
      </c>
      <c r="F325" s="10" t="s">
        <v>389</v>
      </c>
      <c r="G325" s="10" t="s">
        <v>390</v>
      </c>
      <c r="H325" s="4" t="s">
        <v>378</v>
      </c>
      <c r="I325" s="4" t="s">
        <v>380</v>
      </c>
      <c r="J325" s="3" t="s">
        <v>101</v>
      </c>
      <c r="K325" s="1" t="s">
        <v>83</v>
      </c>
      <c r="L325" s="1" t="s">
        <v>83</v>
      </c>
      <c r="M325" s="1" t="s">
        <v>84</v>
      </c>
      <c r="N325" s="1"/>
      <c r="P325" s="10"/>
      <c r="S325" s="1"/>
      <c r="T325" s="1">
        <v>0</v>
      </c>
      <c r="U325" s="28"/>
      <c r="V325" s="1"/>
      <c r="W325" s="1"/>
      <c r="X325" s="1"/>
      <c r="Y325" s="2"/>
      <c r="Z325" s="1"/>
      <c r="AB325" s="1"/>
      <c r="AC325" s="28">
        <f t="shared" si="23"/>
        <v>109480</v>
      </c>
      <c r="AD325" s="1"/>
      <c r="AE325" s="1">
        <f t="shared" si="24"/>
        <v>0</v>
      </c>
      <c r="AF325" s="1"/>
      <c r="AG325" s="1"/>
      <c r="AL325" s="1"/>
      <c r="AO325" s="1"/>
    </row>
    <row r="326" spans="1:41" x14ac:dyDescent="0.25">
      <c r="A326" s="1" t="s">
        <v>393</v>
      </c>
      <c r="B326" s="1" t="s">
        <v>1037</v>
      </c>
      <c r="C326" s="4" t="s">
        <v>392</v>
      </c>
      <c r="E326" s="2" t="s">
        <v>381</v>
      </c>
      <c r="F326" s="1">
        <v>812317</v>
      </c>
      <c r="G326" s="1">
        <v>853935</v>
      </c>
      <c r="H326" s="4" t="s">
        <v>378</v>
      </c>
      <c r="I326" s="4" t="s">
        <v>380</v>
      </c>
      <c r="J326" s="3" t="s">
        <v>101</v>
      </c>
      <c r="K326" s="1" t="s">
        <v>83</v>
      </c>
      <c r="L326" s="1" t="s">
        <v>83</v>
      </c>
      <c r="M326" s="1" t="s">
        <v>84</v>
      </c>
      <c r="N326" s="1"/>
      <c r="P326" s="1"/>
      <c r="S326" s="1"/>
      <c r="T326" s="1">
        <v>0</v>
      </c>
      <c r="U326" s="28"/>
      <c r="V326" s="1"/>
      <c r="W326" s="1"/>
      <c r="X326" s="1"/>
      <c r="Y326" s="2"/>
      <c r="Z326" s="1"/>
      <c r="AB326" s="1"/>
      <c r="AC326" s="28">
        <f t="shared" si="23"/>
        <v>109480</v>
      </c>
      <c r="AD326" s="1"/>
      <c r="AE326" s="1">
        <f t="shared" si="24"/>
        <v>0</v>
      </c>
      <c r="AF326" s="1"/>
      <c r="AG326" s="1"/>
      <c r="AL326" s="1"/>
      <c r="AO326" s="1"/>
    </row>
    <row r="327" spans="1:41" x14ac:dyDescent="0.25">
      <c r="A327" s="1" t="s">
        <v>398</v>
      </c>
      <c r="B327" s="1" t="s">
        <v>1037</v>
      </c>
      <c r="C327" s="4" t="s">
        <v>395</v>
      </c>
      <c r="E327" s="2" t="s">
        <v>381</v>
      </c>
      <c r="F327" s="10" t="s">
        <v>389</v>
      </c>
      <c r="G327" s="10" t="s">
        <v>390</v>
      </c>
      <c r="H327" s="4" t="s">
        <v>378</v>
      </c>
      <c r="I327" s="4" t="s">
        <v>380</v>
      </c>
      <c r="J327" s="3" t="s">
        <v>101</v>
      </c>
      <c r="K327" s="1" t="s">
        <v>83</v>
      </c>
      <c r="L327" s="1" t="s">
        <v>83</v>
      </c>
      <c r="M327" s="1" t="s">
        <v>84</v>
      </c>
      <c r="N327" s="1"/>
      <c r="P327" s="10"/>
      <c r="S327" s="1"/>
      <c r="T327" s="1">
        <v>0</v>
      </c>
      <c r="U327" s="28"/>
      <c r="V327" s="1"/>
      <c r="W327" s="1"/>
      <c r="X327" s="1"/>
      <c r="Y327" s="2"/>
      <c r="Z327" s="1"/>
      <c r="AB327" s="1"/>
      <c r="AC327" s="28">
        <f t="shared" si="23"/>
        <v>109480</v>
      </c>
      <c r="AD327" s="1"/>
      <c r="AE327" s="1">
        <f t="shared" si="24"/>
        <v>0</v>
      </c>
      <c r="AF327" s="1"/>
      <c r="AG327" s="1"/>
      <c r="AL327" s="1"/>
      <c r="AO327" s="1"/>
    </row>
    <row r="328" spans="1:41" ht="30" x14ac:dyDescent="0.25">
      <c r="A328" s="1" t="s">
        <v>1518</v>
      </c>
      <c r="B328" s="1" t="s">
        <v>1291</v>
      </c>
      <c r="C328" s="4" t="s">
        <v>1516</v>
      </c>
      <c r="D328" s="28">
        <v>0</v>
      </c>
      <c r="E328" s="2" t="s">
        <v>1517</v>
      </c>
      <c r="F328" s="1" t="s">
        <v>1523</v>
      </c>
      <c r="G328" s="1" t="s">
        <v>1497</v>
      </c>
      <c r="H328" s="4" t="s">
        <v>463</v>
      </c>
      <c r="I328" s="4" t="s">
        <v>463</v>
      </c>
      <c r="J328" s="3" t="s">
        <v>28</v>
      </c>
      <c r="K328" s="1" t="s">
        <v>29</v>
      </c>
      <c r="L328" s="1" t="s">
        <v>30</v>
      </c>
      <c r="M328" s="1"/>
      <c r="N328" s="1"/>
      <c r="P328" s="1" t="s">
        <v>1520</v>
      </c>
      <c r="Q328" s="2" t="s">
        <v>1524</v>
      </c>
      <c r="R328" t="s">
        <v>1522</v>
      </c>
      <c r="S328" s="1">
        <v>75</v>
      </c>
      <c r="T328" s="1"/>
      <c r="U328" s="28">
        <f>S328</f>
        <v>75</v>
      </c>
      <c r="V328" s="30">
        <f>Parts[[#This Row],[Price Euro]]/1.08</f>
        <v>69.444444444444443</v>
      </c>
      <c r="W328" s="1"/>
      <c r="X328" s="1" t="s">
        <v>78</v>
      </c>
      <c r="Y328" s="2" t="s">
        <v>1521</v>
      </c>
      <c r="Z328" s="1"/>
      <c r="AA328" s="1" t="s">
        <v>1519</v>
      </c>
      <c r="AB328" s="1" t="s">
        <v>1469</v>
      </c>
      <c r="AC328" s="28">
        <v>163641</v>
      </c>
      <c r="AD328" s="1"/>
      <c r="AE328" s="1">
        <f t="shared" si="24"/>
        <v>0</v>
      </c>
      <c r="AF328" s="1"/>
      <c r="AG328" s="1"/>
      <c r="AL328" s="1"/>
      <c r="AO328" s="1"/>
    </row>
    <row r="329" spans="1:41" x14ac:dyDescent="0.25">
      <c r="A329" s="1" t="s">
        <v>353</v>
      </c>
      <c r="B329" s="1" t="s">
        <v>1037</v>
      </c>
      <c r="C329" s="4" t="str">
        <f>Q329</f>
        <v>GASKET-EXHAUST</v>
      </c>
      <c r="H329" s="4" t="s">
        <v>227</v>
      </c>
      <c r="I329" s="4" t="s">
        <v>354</v>
      </c>
      <c r="J329" s="3"/>
      <c r="K329" s="1"/>
      <c r="L329" s="1"/>
      <c r="M329" s="1"/>
      <c r="N329" s="1"/>
      <c r="P329" s="1"/>
      <c r="Q329" s="2" t="s">
        <v>355</v>
      </c>
      <c r="R329" s="1" t="str">
        <f>A329</f>
        <v>NNC6764AB</v>
      </c>
      <c r="S329" s="1"/>
      <c r="T329" s="1">
        <v>0</v>
      </c>
      <c r="U329" s="28"/>
      <c r="V329" s="1"/>
      <c r="W329" s="1"/>
      <c r="X329" s="1"/>
      <c r="Y329" s="2"/>
      <c r="Z329" s="1"/>
      <c r="AB329" s="1" t="s">
        <v>67</v>
      </c>
      <c r="AC329" s="28">
        <f t="shared" ref="AC329:AC360" si="25">68000*1.61</f>
        <v>109480</v>
      </c>
      <c r="AD329" s="1"/>
      <c r="AE329" s="1">
        <f t="shared" si="24"/>
        <v>0</v>
      </c>
      <c r="AF329" s="1"/>
      <c r="AG329" s="1"/>
      <c r="AL329" s="1"/>
      <c r="AO329" s="1"/>
    </row>
    <row r="330" spans="1:41" x14ac:dyDescent="0.25">
      <c r="A330" s="1" t="s">
        <v>368</v>
      </c>
      <c r="B330" s="1" t="s">
        <v>1037</v>
      </c>
      <c r="C330" s="4" t="str">
        <f>Q330</f>
        <v>GASKET-THROTTLE BODY ADAPTOR</v>
      </c>
      <c r="H330" s="4" t="s">
        <v>227</v>
      </c>
      <c r="I330" s="4" t="s">
        <v>360</v>
      </c>
      <c r="J330" s="3"/>
      <c r="K330" s="1"/>
      <c r="L330" s="1"/>
      <c r="M330" s="1"/>
      <c r="N330" s="1"/>
      <c r="P330" s="1"/>
      <c r="Q330" s="2" t="s">
        <v>369</v>
      </c>
      <c r="R330" s="1" t="str">
        <f>A330</f>
        <v>NNE3021AC</v>
      </c>
      <c r="S330" s="1"/>
      <c r="T330" s="1">
        <v>0</v>
      </c>
      <c r="U330" s="28"/>
      <c r="V330" s="1"/>
      <c r="W330" s="1"/>
      <c r="X330" s="1"/>
      <c r="Y330" s="2"/>
      <c r="Z330" s="1"/>
      <c r="AB330" s="1" t="s">
        <v>67</v>
      </c>
      <c r="AC330" s="28">
        <f t="shared" si="25"/>
        <v>109480</v>
      </c>
      <c r="AD330" s="1"/>
      <c r="AE330" s="1">
        <f t="shared" si="24"/>
        <v>0</v>
      </c>
      <c r="AF330" s="1"/>
      <c r="AG330" s="1"/>
      <c r="AL330" s="1"/>
      <c r="AO330" s="1"/>
    </row>
    <row r="331" spans="1:41" ht="30" x14ac:dyDescent="0.25">
      <c r="A331" s="1" t="s">
        <v>1205</v>
      </c>
      <c r="B331" s="1" t="s">
        <v>1206</v>
      </c>
      <c r="C331" s="4" t="s">
        <v>1203</v>
      </c>
      <c r="D331" s="28">
        <v>0</v>
      </c>
      <c r="E331" s="2" t="s">
        <v>1208</v>
      </c>
      <c r="F331" s="1">
        <v>853936</v>
      </c>
      <c r="G331" s="1" t="s">
        <v>383</v>
      </c>
      <c r="H331" s="4" t="s">
        <v>141</v>
      </c>
      <c r="I331" s="4" t="s">
        <v>141</v>
      </c>
      <c r="J331" s="3" t="s">
        <v>28</v>
      </c>
      <c r="K331" s="1" t="s">
        <v>29</v>
      </c>
      <c r="L331" s="1" t="s">
        <v>60</v>
      </c>
      <c r="M331" s="1" t="s">
        <v>692</v>
      </c>
      <c r="N331" s="1" t="s">
        <v>692</v>
      </c>
      <c r="O331" s="1" t="s">
        <v>1204</v>
      </c>
      <c r="P331" s="1"/>
      <c r="Q331" s="2" t="s">
        <v>1207</v>
      </c>
      <c r="R331" s="2" t="s">
        <v>1455</v>
      </c>
      <c r="S331" s="1">
        <v>65</v>
      </c>
      <c r="T331" s="28">
        <v>1</v>
      </c>
      <c r="U331" s="28">
        <v>65</v>
      </c>
      <c r="V331" s="1"/>
      <c r="W331" s="1"/>
      <c r="X331" s="1" t="s">
        <v>47</v>
      </c>
      <c r="Y331" s="2"/>
      <c r="Z331" s="1"/>
      <c r="AA331" s="1" t="s">
        <v>1209</v>
      </c>
      <c r="AB331" s="1" t="s">
        <v>1210</v>
      </c>
      <c r="AC331" s="28">
        <f t="shared" si="25"/>
        <v>109480</v>
      </c>
      <c r="AD331" s="1" t="s">
        <v>48</v>
      </c>
      <c r="AE331" s="1">
        <f t="shared" si="24"/>
        <v>0</v>
      </c>
      <c r="AF331" s="1"/>
      <c r="AG331" s="1"/>
      <c r="AL331" s="1"/>
      <c r="AO331" s="1"/>
    </row>
    <row r="332" spans="1:41" x14ac:dyDescent="0.25">
      <c r="A332" s="1" t="s">
        <v>382</v>
      </c>
      <c r="B332" s="1" t="s">
        <v>1037</v>
      </c>
      <c r="C332" s="4" t="s">
        <v>377</v>
      </c>
      <c r="E332" s="2" t="s">
        <v>381</v>
      </c>
      <c r="F332" s="1">
        <v>853936</v>
      </c>
      <c r="G332" s="1" t="s">
        <v>383</v>
      </c>
      <c r="H332" s="4" t="s">
        <v>378</v>
      </c>
      <c r="I332" s="4" t="s">
        <v>380</v>
      </c>
      <c r="J332" s="3" t="s">
        <v>101</v>
      </c>
      <c r="K332" s="1" t="s">
        <v>83</v>
      </c>
      <c r="L332" s="1" t="s">
        <v>83</v>
      </c>
      <c r="M332" s="1" t="s">
        <v>84</v>
      </c>
      <c r="N332" s="1"/>
      <c r="P332" s="1"/>
      <c r="S332" s="1"/>
      <c r="T332" s="1">
        <v>0</v>
      </c>
      <c r="U332" s="28"/>
      <c r="V332" s="1"/>
      <c r="W332" s="1"/>
      <c r="X332" s="1"/>
      <c r="Y332" s="2"/>
      <c r="Z332" s="1"/>
      <c r="AB332" s="1"/>
      <c r="AC332" s="28">
        <f t="shared" si="25"/>
        <v>109480</v>
      </c>
      <c r="AD332" s="1"/>
      <c r="AE332" s="1">
        <f t="shared" si="24"/>
        <v>0</v>
      </c>
      <c r="AF332" s="1"/>
      <c r="AG332" s="1"/>
      <c r="AL332" s="1"/>
      <c r="AO332" s="1"/>
    </row>
    <row r="333" spans="1:41" x14ac:dyDescent="0.25">
      <c r="A333" s="1" t="s">
        <v>391</v>
      </c>
      <c r="B333" s="1" t="s">
        <v>1037</v>
      </c>
      <c r="C333" s="4" t="s">
        <v>384</v>
      </c>
      <c r="E333" s="2" t="s">
        <v>381</v>
      </c>
      <c r="F333" s="10" t="s">
        <v>203</v>
      </c>
      <c r="G333" s="10" t="s">
        <v>72</v>
      </c>
      <c r="H333" s="4" t="s">
        <v>378</v>
      </c>
      <c r="I333" s="4" t="s">
        <v>380</v>
      </c>
      <c r="J333" s="3" t="s">
        <v>101</v>
      </c>
      <c r="K333" s="1" t="s">
        <v>83</v>
      </c>
      <c r="L333" s="1" t="s">
        <v>83</v>
      </c>
      <c r="M333" s="1" t="s">
        <v>84</v>
      </c>
      <c r="N333" s="1"/>
      <c r="P333" s="10"/>
      <c r="S333" s="1"/>
      <c r="T333" s="1">
        <v>0</v>
      </c>
      <c r="U333" s="28"/>
      <c r="V333" s="1"/>
      <c r="W333" s="1"/>
      <c r="X333" s="1"/>
      <c r="Y333" s="2"/>
      <c r="Z333" s="1"/>
      <c r="AB333" s="1"/>
      <c r="AC333" s="28">
        <f t="shared" si="25"/>
        <v>109480</v>
      </c>
      <c r="AD333" s="1"/>
      <c r="AE333" s="1">
        <f t="shared" si="24"/>
        <v>0</v>
      </c>
      <c r="AF333" s="1"/>
      <c r="AG333" s="1"/>
      <c r="AL333" s="1"/>
      <c r="AO333" s="1"/>
    </row>
    <row r="334" spans="1:41" x14ac:dyDescent="0.25">
      <c r="A334" s="1" t="s">
        <v>394</v>
      </c>
      <c r="B334" s="1" t="s">
        <v>1037</v>
      </c>
      <c r="C334" s="4" t="s">
        <v>392</v>
      </c>
      <c r="E334" s="2" t="s">
        <v>381</v>
      </c>
      <c r="F334" s="1">
        <v>853936</v>
      </c>
      <c r="G334" s="1" t="s">
        <v>383</v>
      </c>
      <c r="H334" s="4" t="s">
        <v>378</v>
      </c>
      <c r="I334" s="4" t="s">
        <v>380</v>
      </c>
      <c r="J334" s="3" t="s">
        <v>101</v>
      </c>
      <c r="K334" s="1" t="s">
        <v>83</v>
      </c>
      <c r="L334" s="1" t="s">
        <v>83</v>
      </c>
      <c r="M334" s="1" t="s">
        <v>84</v>
      </c>
      <c r="N334" s="1"/>
      <c r="P334" s="1"/>
      <c r="S334" s="1"/>
      <c r="T334" s="1">
        <v>0</v>
      </c>
      <c r="U334" s="28"/>
      <c r="V334" s="1"/>
      <c r="W334" s="1"/>
      <c r="X334" s="1"/>
      <c r="Y334" s="2"/>
      <c r="Z334" s="1"/>
      <c r="AB334" s="1"/>
      <c r="AC334" s="28">
        <f t="shared" si="25"/>
        <v>109480</v>
      </c>
      <c r="AD334" s="1"/>
      <c r="AE334" s="1">
        <f t="shared" si="24"/>
        <v>0</v>
      </c>
      <c r="AF334" s="1"/>
      <c r="AG334" s="1"/>
      <c r="AL334" s="1"/>
      <c r="AO334" s="1"/>
    </row>
    <row r="335" spans="1:41" x14ac:dyDescent="0.25">
      <c r="A335" s="1" t="s">
        <v>399</v>
      </c>
      <c r="B335" s="1" t="s">
        <v>1037</v>
      </c>
      <c r="C335" s="4" t="s">
        <v>395</v>
      </c>
      <c r="E335" s="2" t="s">
        <v>381</v>
      </c>
      <c r="F335" s="10" t="s">
        <v>203</v>
      </c>
      <c r="G335" s="10" t="s">
        <v>72</v>
      </c>
      <c r="H335" s="4" t="s">
        <v>378</v>
      </c>
      <c r="I335" s="4" t="s">
        <v>380</v>
      </c>
      <c r="J335" s="3" t="s">
        <v>101</v>
      </c>
      <c r="K335" s="1" t="s">
        <v>83</v>
      </c>
      <c r="L335" s="1" t="s">
        <v>83</v>
      </c>
      <c r="M335" s="1" t="s">
        <v>84</v>
      </c>
      <c r="N335" s="1"/>
      <c r="P335" s="10"/>
      <c r="S335" s="1"/>
      <c r="T335" s="1">
        <v>0</v>
      </c>
      <c r="U335" s="28"/>
      <c r="V335" s="1"/>
      <c r="W335" s="1"/>
      <c r="X335" s="1"/>
      <c r="Y335" s="2"/>
      <c r="Z335" s="1"/>
      <c r="AB335" s="1"/>
      <c r="AC335" s="28">
        <f t="shared" si="25"/>
        <v>109480</v>
      </c>
      <c r="AD335" s="1"/>
      <c r="AE335" s="1">
        <f t="shared" si="24"/>
        <v>0</v>
      </c>
      <c r="AF335" s="1"/>
      <c r="AG335" s="1"/>
      <c r="AL335" s="1"/>
      <c r="AO335" s="1"/>
    </row>
    <row r="336" spans="1:41" ht="30" x14ac:dyDescent="0.25">
      <c r="A336" s="1" t="s">
        <v>1374</v>
      </c>
      <c r="B336" s="1" t="s">
        <v>1188</v>
      </c>
      <c r="C336" s="4" t="s">
        <v>1371</v>
      </c>
      <c r="D336" s="28">
        <v>0</v>
      </c>
      <c r="E336" s="2" t="s">
        <v>1376</v>
      </c>
      <c r="F336" s="1" t="s">
        <v>1377</v>
      </c>
      <c r="G336" s="1" t="s">
        <v>1377</v>
      </c>
      <c r="H336" s="4" t="s">
        <v>1372</v>
      </c>
      <c r="I336" s="4" t="s">
        <v>603</v>
      </c>
      <c r="J336" s="3" t="s">
        <v>101</v>
      </c>
      <c r="K336" s="1" t="s">
        <v>59</v>
      </c>
      <c r="L336" s="1" t="s">
        <v>60</v>
      </c>
      <c r="M336" s="1"/>
      <c r="N336" s="1"/>
      <c r="P336" s="1"/>
      <c r="Q336" s="2" t="s">
        <v>1378</v>
      </c>
      <c r="R336" s="2" t="s">
        <v>1381</v>
      </c>
      <c r="S336" s="1"/>
      <c r="T336" s="1">
        <v>0</v>
      </c>
      <c r="U336" s="28"/>
      <c r="V336" s="1"/>
      <c r="W336" s="1"/>
      <c r="X336" s="1"/>
      <c r="Y336" s="2"/>
      <c r="Z336" s="1"/>
      <c r="AB336" s="1"/>
      <c r="AC336" s="28">
        <f t="shared" si="25"/>
        <v>109480</v>
      </c>
      <c r="AD336" s="1"/>
      <c r="AE336" s="1">
        <f t="shared" si="24"/>
        <v>0</v>
      </c>
      <c r="AF336" s="1"/>
      <c r="AG336" s="1"/>
      <c r="AL336" s="1"/>
      <c r="AO336" s="1"/>
    </row>
    <row r="337" spans="1:41" ht="30" x14ac:dyDescent="0.25">
      <c r="A337" s="1" t="s">
        <v>1373</v>
      </c>
      <c r="B337" s="1" t="s">
        <v>1188</v>
      </c>
      <c r="C337" s="4" t="s">
        <v>1371</v>
      </c>
      <c r="D337" s="28">
        <v>0</v>
      </c>
      <c r="E337" s="2" t="s">
        <v>1375</v>
      </c>
      <c r="F337" s="1" t="s">
        <v>1377</v>
      </c>
      <c r="G337" s="1" t="s">
        <v>1377</v>
      </c>
      <c r="H337" s="4" t="s">
        <v>1372</v>
      </c>
      <c r="I337" s="4" t="s">
        <v>603</v>
      </c>
      <c r="J337" s="3" t="s">
        <v>101</v>
      </c>
      <c r="K337" s="1" t="s">
        <v>59</v>
      </c>
      <c r="L337" s="1" t="s">
        <v>30</v>
      </c>
      <c r="M337" s="1"/>
      <c r="N337" s="1"/>
      <c r="P337" s="1"/>
      <c r="Q337" s="2" t="s">
        <v>1379</v>
      </c>
      <c r="R337" s="2" t="s">
        <v>1380</v>
      </c>
      <c r="S337" s="1"/>
      <c r="T337" s="1">
        <v>0</v>
      </c>
      <c r="U337" s="28"/>
      <c r="V337" s="1"/>
      <c r="W337" s="1"/>
      <c r="X337" s="1"/>
      <c r="Y337" s="2"/>
      <c r="Z337" s="1"/>
      <c r="AB337" s="1"/>
      <c r="AC337" s="28">
        <f t="shared" si="25"/>
        <v>109480</v>
      </c>
      <c r="AD337" s="1"/>
      <c r="AE337" s="1">
        <f t="shared" si="24"/>
        <v>0</v>
      </c>
      <c r="AF337" s="1"/>
      <c r="AG337" s="1"/>
      <c r="AL337" s="1"/>
      <c r="AO337" s="1"/>
    </row>
    <row r="338" spans="1:41" ht="30" x14ac:dyDescent="0.25">
      <c r="A338" s="1" t="s">
        <v>427</v>
      </c>
      <c r="B338" s="1" t="s">
        <v>1037</v>
      </c>
      <c r="C338" s="4" t="s">
        <v>425</v>
      </c>
      <c r="D338" s="28">
        <v>1</v>
      </c>
      <c r="E338" s="2" t="s">
        <v>429</v>
      </c>
      <c r="F338" s="10" t="s">
        <v>203</v>
      </c>
      <c r="H338" s="4" t="s">
        <v>426</v>
      </c>
      <c r="I338" s="4" t="s">
        <v>147</v>
      </c>
      <c r="J338" s="3" t="s">
        <v>82</v>
      </c>
      <c r="K338" s="1" t="s">
        <v>29</v>
      </c>
      <c r="L338" s="1" t="s">
        <v>30</v>
      </c>
      <c r="M338" s="1" t="s">
        <v>167</v>
      </c>
      <c r="N338" s="1"/>
      <c r="O338" s="1" t="s">
        <v>428</v>
      </c>
      <c r="P338" s="1"/>
      <c r="R338" s="2"/>
      <c r="S338" s="1"/>
      <c r="T338" s="28">
        <v>0</v>
      </c>
      <c r="U338" s="28"/>
      <c r="V338" s="1"/>
      <c r="W338" s="1"/>
      <c r="X338" s="1"/>
      <c r="Y338" s="2"/>
      <c r="Z338" s="1"/>
      <c r="AB338" s="1" t="s">
        <v>1184</v>
      </c>
      <c r="AC338" s="28">
        <f t="shared" si="25"/>
        <v>109480</v>
      </c>
      <c r="AD338" s="1" t="s">
        <v>175</v>
      </c>
      <c r="AE338" s="1">
        <f t="shared" si="24"/>
        <v>0</v>
      </c>
      <c r="AF338" s="1"/>
      <c r="AG338" s="1"/>
      <c r="AL338" s="1"/>
      <c r="AO338" s="1"/>
    </row>
    <row r="339" spans="1:41" ht="30" x14ac:dyDescent="0.25">
      <c r="B339" s="1" t="s">
        <v>1037</v>
      </c>
      <c r="C339" s="4" t="s">
        <v>217</v>
      </c>
      <c r="D339" s="28">
        <v>0</v>
      </c>
      <c r="H339" s="4" t="s">
        <v>193</v>
      </c>
      <c r="I339" s="4" t="s">
        <v>75</v>
      </c>
      <c r="J339" s="3" t="s">
        <v>101</v>
      </c>
      <c r="K339" s="1"/>
      <c r="L339" s="1"/>
      <c r="M339" s="1"/>
      <c r="N339" s="1"/>
      <c r="O339" s="2" t="s">
        <v>218</v>
      </c>
      <c r="P339" s="1"/>
      <c r="Q339" s="2" t="s">
        <v>219</v>
      </c>
      <c r="S339" s="1"/>
      <c r="T339" s="1">
        <v>0</v>
      </c>
      <c r="U339" s="28" t="s">
        <v>220</v>
      </c>
      <c r="V339" s="1"/>
      <c r="W339" s="1"/>
      <c r="X339" s="1"/>
      <c r="Y339" s="2"/>
      <c r="Z339" s="1"/>
      <c r="AB339" s="1" t="s">
        <v>221</v>
      </c>
      <c r="AC339" s="28">
        <f t="shared" si="25"/>
        <v>109480</v>
      </c>
      <c r="AD339" s="1"/>
      <c r="AE339" s="1">
        <f t="shared" si="24"/>
        <v>0</v>
      </c>
      <c r="AF339" s="1"/>
      <c r="AG339" s="1"/>
      <c r="AL339" s="1"/>
      <c r="AO339" s="1"/>
    </row>
    <row r="340" spans="1:41" ht="30" x14ac:dyDescent="0.25">
      <c r="B340" s="1" t="s">
        <v>1037</v>
      </c>
      <c r="C340" s="4" t="s">
        <v>74</v>
      </c>
      <c r="D340" s="28">
        <v>5</v>
      </c>
      <c r="H340" s="4" t="s">
        <v>75</v>
      </c>
      <c r="I340" s="4" t="s">
        <v>75</v>
      </c>
      <c r="J340" s="3" t="s">
        <v>76</v>
      </c>
      <c r="K340" s="1"/>
      <c r="L340" s="1"/>
      <c r="M340" s="1"/>
      <c r="N340" s="1"/>
      <c r="P340" s="1"/>
      <c r="S340" s="1"/>
      <c r="T340" s="28">
        <v>0</v>
      </c>
      <c r="U340" s="28" t="s">
        <v>77</v>
      </c>
      <c r="V340" s="1"/>
      <c r="W340" s="1"/>
      <c r="X340" s="1" t="s">
        <v>78</v>
      </c>
      <c r="Y340" s="2"/>
      <c r="Z340" s="1"/>
      <c r="AB340" s="1" t="s">
        <v>1185</v>
      </c>
      <c r="AC340" s="28">
        <f t="shared" si="25"/>
        <v>109480</v>
      </c>
      <c r="AD340" s="1"/>
      <c r="AE340" s="1">
        <f t="shared" si="24"/>
        <v>0</v>
      </c>
      <c r="AF340" s="1"/>
      <c r="AG340" s="1"/>
      <c r="AL340" s="1"/>
      <c r="AO340" s="1"/>
    </row>
    <row r="341" spans="1:41" x14ac:dyDescent="0.25">
      <c r="B341" s="1" t="s">
        <v>1037</v>
      </c>
      <c r="C341" s="4" t="s">
        <v>95</v>
      </c>
      <c r="H341" s="4" t="s">
        <v>96</v>
      </c>
      <c r="I341" s="4"/>
      <c r="J341" s="3"/>
      <c r="K341" s="1"/>
      <c r="L341" s="1"/>
      <c r="M341" s="1"/>
      <c r="N341" s="1"/>
      <c r="P341" s="1"/>
      <c r="S341" s="1"/>
      <c r="T341" s="1">
        <v>0</v>
      </c>
      <c r="U341" s="28"/>
      <c r="V341" s="1"/>
      <c r="W341" s="1"/>
      <c r="X341" s="1"/>
      <c r="Y341" s="2"/>
      <c r="Z341" s="1"/>
      <c r="AB341" s="1"/>
      <c r="AC341" s="28">
        <f t="shared" si="25"/>
        <v>109480</v>
      </c>
      <c r="AD341" s="1"/>
      <c r="AE341" s="1">
        <f t="shared" si="24"/>
        <v>0</v>
      </c>
      <c r="AF341" s="1"/>
      <c r="AG341" s="1"/>
      <c r="AL341" s="1"/>
      <c r="AO341" s="1"/>
    </row>
    <row r="342" spans="1:41" ht="75" x14ac:dyDescent="0.25">
      <c r="B342" s="1" t="s">
        <v>1037</v>
      </c>
      <c r="C342" s="4" t="s">
        <v>196</v>
      </c>
      <c r="I342" s="4" t="s">
        <v>141</v>
      </c>
      <c r="J342" s="3" t="s">
        <v>101</v>
      </c>
      <c r="K342" s="1" t="s">
        <v>29</v>
      </c>
      <c r="L342" s="1"/>
      <c r="M342" s="1"/>
      <c r="N342" s="1"/>
      <c r="O342" s="2"/>
      <c r="P342" s="1"/>
      <c r="S342" s="1"/>
      <c r="T342" s="1">
        <v>0</v>
      </c>
      <c r="U342" s="28" t="s">
        <v>197</v>
      </c>
      <c r="V342" s="1"/>
      <c r="W342" s="1"/>
      <c r="X342" s="1"/>
      <c r="Y342" s="12" t="s">
        <v>198</v>
      </c>
      <c r="Z342" s="1"/>
      <c r="AB342" s="1" t="s">
        <v>94</v>
      </c>
      <c r="AC342" s="28">
        <f t="shared" si="25"/>
        <v>109480</v>
      </c>
      <c r="AD342" s="1"/>
      <c r="AE342" s="1">
        <f t="shared" si="24"/>
        <v>0</v>
      </c>
      <c r="AF342" s="1"/>
      <c r="AG342" s="1"/>
      <c r="AL342" s="1"/>
      <c r="AO342" s="1"/>
    </row>
    <row r="343" spans="1:41" ht="30" x14ac:dyDescent="0.25">
      <c r="B343" s="1" t="s">
        <v>1037</v>
      </c>
      <c r="C343" s="4" t="str">
        <f>Q343</f>
        <v>FILTER SERVICE KIT</v>
      </c>
      <c r="D343" s="28">
        <v>0</v>
      </c>
      <c r="F343" s="2" t="s">
        <v>324</v>
      </c>
      <c r="G343" s="2" t="s">
        <v>325</v>
      </c>
      <c r="H343" s="4" t="s">
        <v>322</v>
      </c>
      <c r="I343" s="4" t="s">
        <v>323</v>
      </c>
      <c r="J343" s="3"/>
      <c r="K343" s="1"/>
      <c r="L343" s="1"/>
      <c r="M343" s="1"/>
      <c r="N343" s="1"/>
      <c r="P343" s="2"/>
      <c r="Q343" s="2" t="s">
        <v>326</v>
      </c>
      <c r="R343" s="1" t="s">
        <v>327</v>
      </c>
      <c r="S343" s="1"/>
      <c r="T343" s="1">
        <v>0</v>
      </c>
      <c r="U343" s="28"/>
      <c r="V343" s="1"/>
      <c r="W343" s="1"/>
      <c r="X343" s="1"/>
      <c r="Y343" s="2"/>
      <c r="Z343" s="1"/>
      <c r="AB343" s="1" t="s">
        <v>67</v>
      </c>
      <c r="AC343" s="28">
        <f t="shared" si="25"/>
        <v>109480</v>
      </c>
      <c r="AD343" s="1"/>
      <c r="AE343" s="1">
        <f t="shared" si="24"/>
        <v>0</v>
      </c>
      <c r="AF343" s="1"/>
      <c r="AG343" s="1"/>
      <c r="AL343" s="1"/>
      <c r="AO343" s="1"/>
    </row>
    <row r="344" spans="1:41" ht="30" x14ac:dyDescent="0.25">
      <c r="B344" s="1" t="s">
        <v>1037</v>
      </c>
      <c r="C344" s="4" t="s">
        <v>256</v>
      </c>
      <c r="D344" s="28">
        <v>1</v>
      </c>
      <c r="F344" s="1" t="s">
        <v>130</v>
      </c>
      <c r="I344" s="4" t="s">
        <v>141</v>
      </c>
      <c r="J344" s="3" t="s">
        <v>101</v>
      </c>
      <c r="K344" s="1" t="s">
        <v>29</v>
      </c>
      <c r="L344" s="1" t="s">
        <v>83</v>
      </c>
      <c r="M344" s="1" t="s">
        <v>31</v>
      </c>
      <c r="N344" s="1" t="s">
        <v>31</v>
      </c>
      <c r="O344" s="2" t="s">
        <v>257</v>
      </c>
      <c r="P344" s="1"/>
      <c r="R344" s="2"/>
      <c r="S344" s="13"/>
      <c r="T344" s="28">
        <v>0</v>
      </c>
      <c r="U344" s="36">
        <v>191</v>
      </c>
      <c r="V344" s="13"/>
      <c r="W344" s="13"/>
      <c r="X344" s="13"/>
      <c r="Y344" s="12" t="s">
        <v>258</v>
      </c>
      <c r="Z344" s="1"/>
      <c r="AB344" s="1" t="s">
        <v>1184</v>
      </c>
      <c r="AC344" s="28">
        <f t="shared" si="25"/>
        <v>109480</v>
      </c>
      <c r="AD344" s="1" t="s">
        <v>133</v>
      </c>
      <c r="AE344" s="1">
        <f t="shared" si="24"/>
        <v>0</v>
      </c>
      <c r="AF344" s="1"/>
      <c r="AG344" s="1"/>
      <c r="AL344" s="1"/>
      <c r="AO344" s="1"/>
    </row>
    <row r="345" spans="1:41" ht="120" x14ac:dyDescent="0.25">
      <c r="B345" s="1" t="s">
        <v>1037</v>
      </c>
      <c r="C345" s="4" t="s">
        <v>206</v>
      </c>
      <c r="I345" s="4" t="s">
        <v>141</v>
      </c>
      <c r="J345" s="3" t="s">
        <v>101</v>
      </c>
      <c r="K345" s="1" t="s">
        <v>207</v>
      </c>
      <c r="L345" s="1" t="s">
        <v>55</v>
      </c>
      <c r="M345" s="1"/>
      <c r="N345" s="1"/>
      <c r="O345" s="2"/>
      <c r="P345" s="1"/>
      <c r="S345" s="1"/>
      <c r="T345" s="1">
        <v>0</v>
      </c>
      <c r="U345" s="28" t="s">
        <v>208</v>
      </c>
      <c r="V345" s="1"/>
      <c r="W345" s="1"/>
      <c r="X345" s="1"/>
      <c r="Y345" s="2" t="s">
        <v>209</v>
      </c>
      <c r="Z345" s="1"/>
      <c r="AB345" s="1" t="s">
        <v>94</v>
      </c>
      <c r="AC345" s="28">
        <f t="shared" si="25"/>
        <v>109480</v>
      </c>
      <c r="AD345" s="1"/>
      <c r="AE345" s="1">
        <f t="shared" si="24"/>
        <v>0</v>
      </c>
      <c r="AF345" s="1"/>
      <c r="AG345" s="1"/>
      <c r="AL345" s="1"/>
      <c r="AO345" s="1"/>
    </row>
    <row r="346" spans="1:41" x14ac:dyDescent="0.25">
      <c r="B346" s="1" t="s">
        <v>1037</v>
      </c>
      <c r="C346" s="4" t="s">
        <v>236</v>
      </c>
      <c r="E346" s="2"/>
      <c r="I346" s="4"/>
      <c r="J346" s="4"/>
      <c r="K346" s="1"/>
      <c r="L346" s="1"/>
      <c r="M346" s="1"/>
      <c r="N346" s="1"/>
      <c r="O346" s="2"/>
      <c r="P346" s="1"/>
      <c r="S346" s="1"/>
      <c r="T346" s="1">
        <v>0</v>
      </c>
      <c r="U346" s="28"/>
      <c r="V346" s="1"/>
      <c r="W346" s="1"/>
      <c r="X346" s="1"/>
      <c r="Y346" s="2"/>
      <c r="Z346" s="1"/>
      <c r="AB346" s="1"/>
      <c r="AC346" s="28">
        <f t="shared" si="25"/>
        <v>109480</v>
      </c>
      <c r="AD346" s="1"/>
      <c r="AE346" s="1">
        <f t="shared" si="24"/>
        <v>0</v>
      </c>
      <c r="AF346" s="1"/>
      <c r="AG346" s="1"/>
      <c r="AL346" s="1"/>
      <c r="AO346" s="1"/>
    </row>
    <row r="347" spans="1:41" x14ac:dyDescent="0.25">
      <c r="B347" s="1" t="s">
        <v>1037</v>
      </c>
      <c r="C347" s="4" t="s">
        <v>237</v>
      </c>
      <c r="E347" s="2"/>
      <c r="I347" s="4"/>
      <c r="J347" s="4"/>
      <c r="K347" s="1"/>
      <c r="L347" s="1"/>
      <c r="M347" s="1"/>
      <c r="N347" s="1"/>
      <c r="O347" s="2"/>
      <c r="P347" s="1"/>
      <c r="S347" s="1"/>
      <c r="T347" s="1">
        <v>0</v>
      </c>
      <c r="U347" s="28"/>
      <c r="V347" s="1"/>
      <c r="W347" s="1"/>
      <c r="X347" s="1"/>
      <c r="Y347" s="2"/>
      <c r="Z347" s="1"/>
      <c r="AB347" s="1"/>
      <c r="AC347" s="28">
        <f t="shared" si="25"/>
        <v>109480</v>
      </c>
      <c r="AD347" s="1"/>
      <c r="AE347" s="1">
        <f t="shared" si="24"/>
        <v>0</v>
      </c>
      <c r="AF347" s="1"/>
      <c r="AG347" s="1"/>
      <c r="AL347" s="1"/>
      <c r="AO347" s="1"/>
    </row>
    <row r="348" spans="1:41" x14ac:dyDescent="0.25">
      <c r="B348" s="1" t="s">
        <v>1037</v>
      </c>
      <c r="C348" s="4" t="s">
        <v>238</v>
      </c>
      <c r="E348" s="2"/>
      <c r="I348" s="4"/>
      <c r="J348" s="4"/>
      <c r="K348" s="1"/>
      <c r="L348" s="1"/>
      <c r="M348" s="1"/>
      <c r="N348" s="1"/>
      <c r="O348" s="2"/>
      <c r="P348" s="1"/>
      <c r="S348" s="1"/>
      <c r="T348" s="1">
        <v>0</v>
      </c>
      <c r="U348" s="28"/>
      <c r="V348" s="1"/>
      <c r="W348" s="1"/>
      <c r="X348" s="1"/>
      <c r="Y348" s="2"/>
      <c r="Z348" s="1"/>
      <c r="AB348" s="1"/>
      <c r="AC348" s="28">
        <f t="shared" si="25"/>
        <v>109480</v>
      </c>
      <c r="AD348" s="1"/>
      <c r="AE348" s="1">
        <f t="shared" si="24"/>
        <v>0</v>
      </c>
      <c r="AF348" s="1"/>
      <c r="AG348" s="1"/>
      <c r="AL348" s="1"/>
      <c r="AO348" s="1"/>
    </row>
    <row r="349" spans="1:41" x14ac:dyDescent="0.25">
      <c r="B349" s="1" t="s">
        <v>1037</v>
      </c>
      <c r="C349" s="4" t="s">
        <v>242</v>
      </c>
      <c r="H349" s="4" t="s">
        <v>223</v>
      </c>
      <c r="I349" s="4" t="s">
        <v>147</v>
      </c>
      <c r="J349" s="4"/>
      <c r="K349" s="1"/>
      <c r="L349" s="1"/>
      <c r="M349" s="1"/>
      <c r="N349" s="1"/>
      <c r="O349" s="2"/>
      <c r="P349" s="1"/>
      <c r="S349" s="1"/>
      <c r="T349" s="1">
        <v>0</v>
      </c>
      <c r="U349" s="28"/>
      <c r="V349" s="1"/>
      <c r="W349" s="1"/>
      <c r="X349" s="1"/>
      <c r="Y349" s="2"/>
      <c r="Z349" s="1"/>
      <c r="AB349" s="1"/>
      <c r="AC349" s="28">
        <f t="shared" si="25"/>
        <v>109480</v>
      </c>
      <c r="AD349" s="1"/>
      <c r="AE349" s="1">
        <f t="shared" si="24"/>
        <v>0</v>
      </c>
      <c r="AF349" s="1"/>
      <c r="AG349" s="1"/>
      <c r="AL349" s="1"/>
      <c r="AO349" s="1"/>
    </row>
    <row r="350" spans="1:41" x14ac:dyDescent="0.25">
      <c r="B350" s="1" t="s">
        <v>1037</v>
      </c>
      <c r="C350" s="4" t="s">
        <v>328</v>
      </c>
      <c r="H350" s="4" t="s">
        <v>322</v>
      </c>
      <c r="I350" s="4" t="s">
        <v>27</v>
      </c>
      <c r="J350" s="4"/>
      <c r="K350" s="1"/>
      <c r="L350" s="1"/>
      <c r="M350" s="1"/>
      <c r="N350" s="1"/>
      <c r="O350" s="2"/>
      <c r="P350" s="1"/>
      <c r="R350" s="1" t="s">
        <v>329</v>
      </c>
      <c r="S350" s="1"/>
      <c r="T350" s="1">
        <v>0</v>
      </c>
      <c r="U350" s="28"/>
      <c r="V350" s="1"/>
      <c r="W350" s="1"/>
      <c r="X350" s="1"/>
      <c r="Y350" s="2"/>
      <c r="Z350" s="1"/>
      <c r="AB350" s="1" t="s">
        <v>67</v>
      </c>
      <c r="AC350" s="28">
        <f t="shared" si="25"/>
        <v>109480</v>
      </c>
      <c r="AD350" s="1"/>
      <c r="AE350" s="1">
        <f t="shared" si="24"/>
        <v>0</v>
      </c>
      <c r="AF350" s="1"/>
      <c r="AG350" s="1"/>
      <c r="AL350" s="1"/>
      <c r="AO350" s="1"/>
    </row>
    <row r="351" spans="1:41" x14ac:dyDescent="0.25">
      <c r="B351" s="1" t="s">
        <v>1037</v>
      </c>
      <c r="C351" s="4" t="s">
        <v>334</v>
      </c>
      <c r="H351" s="4" t="s">
        <v>322</v>
      </c>
      <c r="I351" s="4" t="s">
        <v>335</v>
      </c>
      <c r="J351" s="4"/>
      <c r="K351" s="1"/>
      <c r="L351" s="1"/>
      <c r="M351" s="1"/>
      <c r="N351" s="1"/>
      <c r="O351" s="2"/>
      <c r="P351" s="1"/>
      <c r="S351" s="1"/>
      <c r="T351" s="1">
        <v>0</v>
      </c>
      <c r="U351" s="28"/>
      <c r="V351" s="1"/>
      <c r="W351" s="1"/>
      <c r="X351" s="1"/>
      <c r="Y351" s="2"/>
      <c r="Z351" s="1"/>
      <c r="AB351" s="1"/>
      <c r="AC351" s="28">
        <f t="shared" si="25"/>
        <v>109480</v>
      </c>
      <c r="AD351" s="1"/>
      <c r="AE351" s="1">
        <f t="shared" si="24"/>
        <v>0</v>
      </c>
      <c r="AF351" s="1"/>
      <c r="AG351" s="1"/>
      <c r="AL351" s="1"/>
      <c r="AO351" s="1"/>
    </row>
    <row r="352" spans="1:41" x14ac:dyDescent="0.25">
      <c r="B352" s="1" t="s">
        <v>1037</v>
      </c>
      <c r="C352" s="4" t="s">
        <v>336</v>
      </c>
      <c r="F352" s="2"/>
      <c r="G352" s="2"/>
      <c r="H352" s="4" t="s">
        <v>227</v>
      </c>
      <c r="I352" s="4" t="s">
        <v>337</v>
      </c>
      <c r="J352" s="3"/>
      <c r="K352" s="1"/>
      <c r="L352" s="1"/>
      <c r="M352" s="1"/>
      <c r="N352" s="1"/>
      <c r="P352" s="2"/>
      <c r="R352" s="1" t="s">
        <v>338</v>
      </c>
      <c r="S352" s="1"/>
      <c r="T352" s="1">
        <v>0</v>
      </c>
      <c r="U352" s="28"/>
      <c r="V352" s="1"/>
      <c r="W352" s="1"/>
      <c r="X352" s="1"/>
      <c r="Y352" s="2"/>
      <c r="Z352" s="1"/>
      <c r="AB352" s="1"/>
      <c r="AC352" s="28">
        <f t="shared" si="25"/>
        <v>109480</v>
      </c>
      <c r="AD352" s="1"/>
      <c r="AE352" s="1">
        <f t="shared" si="24"/>
        <v>0</v>
      </c>
      <c r="AF352" s="1"/>
      <c r="AG352" s="1"/>
      <c r="AL352" s="1"/>
      <c r="AO352" s="1"/>
    </row>
    <row r="353" spans="2:41" x14ac:dyDescent="0.25">
      <c r="B353" s="1" t="s">
        <v>1291</v>
      </c>
      <c r="C353" s="4" t="s">
        <v>1299</v>
      </c>
      <c r="E353" s="2"/>
      <c r="F353" s="1" t="s">
        <v>1290</v>
      </c>
      <c r="H353" s="4" t="s">
        <v>193</v>
      </c>
      <c r="I353" s="4"/>
      <c r="J353" s="3"/>
      <c r="K353" s="1"/>
      <c r="L353" s="1"/>
      <c r="M353" s="1"/>
      <c r="N353" s="1"/>
      <c r="P353" s="1"/>
      <c r="Q353" s="2" t="s">
        <v>1297</v>
      </c>
      <c r="R353" s="2" t="s">
        <v>1298</v>
      </c>
      <c r="S353" s="1"/>
      <c r="T353" s="1">
        <v>0</v>
      </c>
      <c r="U353" s="28"/>
      <c r="V353" s="1"/>
      <c r="W353" s="1"/>
      <c r="X353" s="1"/>
      <c r="Y353" s="2"/>
      <c r="Z353" s="1"/>
      <c r="AB353" s="1"/>
      <c r="AC353" s="28">
        <f t="shared" si="25"/>
        <v>109480</v>
      </c>
      <c r="AD353" s="1"/>
      <c r="AE353" s="1">
        <f t="shared" si="24"/>
        <v>0</v>
      </c>
      <c r="AF353" s="1"/>
      <c r="AG353" s="1"/>
      <c r="AL353" s="1"/>
      <c r="AO353" s="1"/>
    </row>
    <row r="354" spans="2:41" x14ac:dyDescent="0.25">
      <c r="B354" s="1" t="s">
        <v>1037</v>
      </c>
      <c r="C354" s="4" t="s">
        <v>423</v>
      </c>
      <c r="H354" s="4" t="s">
        <v>424</v>
      </c>
      <c r="I354" s="19" t="s">
        <v>151</v>
      </c>
      <c r="J354" s="3"/>
      <c r="K354" s="1"/>
      <c r="L354" s="1"/>
      <c r="M354" s="1"/>
      <c r="N354" s="1"/>
      <c r="P354" s="1"/>
      <c r="S354" s="1"/>
      <c r="T354" s="1">
        <v>0</v>
      </c>
      <c r="U354" s="28"/>
      <c r="V354" s="1"/>
      <c r="W354" s="1"/>
      <c r="X354" s="1"/>
      <c r="Y354" s="2"/>
      <c r="Z354" s="1"/>
      <c r="AB354" s="1"/>
      <c r="AC354" s="28">
        <f t="shared" si="25"/>
        <v>109480</v>
      </c>
      <c r="AD354" s="1"/>
      <c r="AE354" s="1">
        <f t="shared" si="24"/>
        <v>0</v>
      </c>
      <c r="AF354" s="1"/>
      <c r="AG354" s="1"/>
      <c r="AL354" s="1"/>
      <c r="AO354" s="1"/>
    </row>
    <row r="355" spans="2:41" ht="30" x14ac:dyDescent="0.25">
      <c r="B355" s="1" t="s">
        <v>1037</v>
      </c>
      <c r="C355" s="4" t="s">
        <v>440</v>
      </c>
      <c r="I355" s="4"/>
      <c r="J355" s="4"/>
      <c r="K355" s="1"/>
      <c r="L355" s="1"/>
      <c r="M355" s="1"/>
      <c r="N355" s="1"/>
      <c r="O355" s="2"/>
      <c r="P355" s="1"/>
      <c r="S355" s="1"/>
      <c r="T355" s="1">
        <v>0</v>
      </c>
      <c r="U355" s="28"/>
      <c r="V355" s="1"/>
      <c r="W355" s="1"/>
      <c r="X355" s="1"/>
      <c r="Y355" s="2"/>
      <c r="Z355" s="1"/>
      <c r="AB355" s="1"/>
      <c r="AC355" s="28">
        <f t="shared" si="25"/>
        <v>109480</v>
      </c>
      <c r="AD355" s="1"/>
      <c r="AE355" s="1">
        <f t="shared" si="24"/>
        <v>0</v>
      </c>
      <c r="AF355" s="1"/>
      <c r="AG355" s="1"/>
      <c r="AL355" s="1"/>
      <c r="AO355" s="1"/>
    </row>
    <row r="356" spans="2:41" ht="30" x14ac:dyDescent="0.25">
      <c r="B356" s="1" t="s">
        <v>1037</v>
      </c>
      <c r="C356" s="4" t="s">
        <v>487</v>
      </c>
      <c r="H356" s="4" t="s">
        <v>488</v>
      </c>
      <c r="I356" s="4" t="s">
        <v>372</v>
      </c>
      <c r="J356" s="3"/>
      <c r="K356" s="1"/>
      <c r="L356" s="1"/>
      <c r="M356" s="1"/>
      <c r="N356" s="1"/>
      <c r="P356" s="1"/>
      <c r="S356" s="1"/>
      <c r="T356" s="1">
        <v>0</v>
      </c>
      <c r="U356" s="28"/>
      <c r="V356" s="1"/>
      <c r="W356" s="1"/>
      <c r="X356" s="1"/>
      <c r="Y356" s="2"/>
      <c r="Z356" s="1"/>
      <c r="AB356" s="1"/>
      <c r="AC356" s="28">
        <f t="shared" si="25"/>
        <v>109480</v>
      </c>
      <c r="AD356" s="1"/>
      <c r="AE356" s="1">
        <f t="shared" si="24"/>
        <v>0</v>
      </c>
      <c r="AF356" s="1"/>
      <c r="AG356" s="1"/>
      <c r="AL356" s="1"/>
      <c r="AO356" s="1"/>
    </row>
    <row r="357" spans="2:41" x14ac:dyDescent="0.25">
      <c r="B357" s="1" t="s">
        <v>1037</v>
      </c>
      <c r="C357" s="4" t="s">
        <v>493</v>
      </c>
      <c r="H357" s="4" t="s">
        <v>490</v>
      </c>
      <c r="I357" s="4" t="s">
        <v>492</v>
      </c>
      <c r="J357" s="4"/>
      <c r="K357" s="1"/>
      <c r="L357" s="1"/>
      <c r="M357" s="1"/>
      <c r="N357" s="1"/>
      <c r="O357" s="2"/>
      <c r="P357" s="1"/>
      <c r="S357" s="1"/>
      <c r="T357" s="1">
        <v>0</v>
      </c>
      <c r="U357" s="28"/>
      <c r="V357" s="1"/>
      <c r="W357" s="1"/>
      <c r="X357" s="1"/>
      <c r="Y357" s="2"/>
      <c r="Z357" s="1"/>
      <c r="AB357" s="1"/>
      <c r="AC357" s="28">
        <f t="shared" si="25"/>
        <v>109480</v>
      </c>
      <c r="AD357" s="1"/>
      <c r="AE357" s="1">
        <f t="shared" si="24"/>
        <v>0</v>
      </c>
      <c r="AF357" s="1"/>
      <c r="AG357" s="1"/>
      <c r="AL357" s="1"/>
      <c r="AO357" s="1"/>
    </row>
    <row r="358" spans="2:41" x14ac:dyDescent="0.25">
      <c r="B358" s="1" t="s">
        <v>1037</v>
      </c>
      <c r="C358" s="4" t="s">
        <v>494</v>
      </c>
      <c r="H358" s="4" t="s">
        <v>490</v>
      </c>
      <c r="I358" s="4" t="s">
        <v>492</v>
      </c>
      <c r="J358" s="4"/>
      <c r="K358" s="1"/>
      <c r="L358" s="1"/>
      <c r="M358" s="1"/>
      <c r="N358" s="1"/>
      <c r="O358" s="2"/>
      <c r="P358" s="1"/>
      <c r="S358" s="1"/>
      <c r="T358" s="1">
        <v>0</v>
      </c>
      <c r="U358" s="28"/>
      <c r="V358" s="1"/>
      <c r="W358" s="1"/>
      <c r="X358" s="1"/>
      <c r="Y358" s="2"/>
      <c r="Z358" s="1"/>
      <c r="AB358" s="1"/>
      <c r="AC358" s="28">
        <f t="shared" si="25"/>
        <v>109480</v>
      </c>
      <c r="AD358" s="1"/>
      <c r="AE358" s="1">
        <f t="shared" si="24"/>
        <v>0</v>
      </c>
      <c r="AF358" s="1"/>
      <c r="AG358" s="1"/>
      <c r="AL358" s="1"/>
      <c r="AO358" s="1"/>
    </row>
    <row r="359" spans="2:41" x14ac:dyDescent="0.25">
      <c r="B359" s="1" t="s">
        <v>1037</v>
      </c>
      <c r="C359" s="4" t="s">
        <v>518</v>
      </c>
      <c r="H359" s="4" t="s">
        <v>322</v>
      </c>
      <c r="I359" s="4"/>
      <c r="J359" s="4"/>
      <c r="K359" s="1"/>
      <c r="L359" s="1"/>
      <c r="M359" s="1"/>
      <c r="N359" s="1"/>
      <c r="O359" s="2"/>
      <c r="P359" s="1"/>
      <c r="S359" s="1"/>
      <c r="T359" s="1">
        <v>0</v>
      </c>
      <c r="U359" s="28"/>
      <c r="V359" s="1"/>
      <c r="W359" s="1"/>
      <c r="X359" s="1"/>
      <c r="Y359" s="2"/>
      <c r="Z359" s="1"/>
      <c r="AB359" s="1"/>
      <c r="AC359" s="28">
        <f t="shared" si="25"/>
        <v>109480</v>
      </c>
      <c r="AD359" s="1"/>
      <c r="AE359" s="1">
        <f t="shared" si="24"/>
        <v>0</v>
      </c>
      <c r="AF359" s="1"/>
      <c r="AG359" s="1"/>
      <c r="AL359" s="1"/>
      <c r="AO359" s="1"/>
    </row>
    <row r="360" spans="2:41" x14ac:dyDescent="0.25">
      <c r="B360" s="1" t="s">
        <v>1037</v>
      </c>
      <c r="C360" s="4" t="s">
        <v>519</v>
      </c>
      <c r="H360" s="4" t="s">
        <v>322</v>
      </c>
      <c r="I360" s="4" t="s">
        <v>229</v>
      </c>
      <c r="J360" s="3"/>
      <c r="K360" s="1"/>
      <c r="L360" s="1"/>
      <c r="M360" s="1"/>
      <c r="N360" s="1"/>
      <c r="O360" s="2"/>
      <c r="P360" s="1"/>
      <c r="S360" s="1"/>
      <c r="T360" s="1">
        <v>0</v>
      </c>
      <c r="U360" s="28"/>
      <c r="V360" s="1"/>
      <c r="W360" s="1"/>
      <c r="X360" s="1"/>
      <c r="Y360" s="2"/>
      <c r="Z360" s="1"/>
      <c r="AB360" s="1"/>
      <c r="AC360" s="28">
        <f t="shared" si="25"/>
        <v>109480</v>
      </c>
      <c r="AD360" s="1"/>
      <c r="AE360" s="1">
        <f t="shared" si="24"/>
        <v>0</v>
      </c>
      <c r="AF360" s="1"/>
      <c r="AG360" s="1"/>
      <c r="AL360" s="1"/>
      <c r="AO360" s="1"/>
    </row>
    <row r="361" spans="2:41" x14ac:dyDescent="0.25">
      <c r="B361" s="1" t="s">
        <v>1037</v>
      </c>
      <c r="C361" s="4" t="s">
        <v>520</v>
      </c>
      <c r="H361" s="4" t="s">
        <v>322</v>
      </c>
      <c r="I361" s="4"/>
      <c r="J361" s="4"/>
      <c r="K361" s="1"/>
      <c r="L361" s="1"/>
      <c r="M361" s="1"/>
      <c r="N361" s="1"/>
      <c r="O361" s="2"/>
      <c r="P361" s="1"/>
      <c r="S361" s="1"/>
      <c r="T361" s="1">
        <v>0</v>
      </c>
      <c r="U361" s="28"/>
      <c r="V361" s="1"/>
      <c r="W361" s="1"/>
      <c r="X361" s="1"/>
      <c r="Y361" s="2"/>
      <c r="Z361" s="1"/>
      <c r="AB361" s="1"/>
      <c r="AC361" s="28">
        <f t="shared" ref="AC361:AC392" si="26">68000*1.61</f>
        <v>109480</v>
      </c>
      <c r="AD361" s="1"/>
      <c r="AE361" s="1">
        <f t="shared" si="24"/>
        <v>0</v>
      </c>
      <c r="AF361" s="1"/>
      <c r="AG361" s="1"/>
      <c r="AL361" s="1"/>
      <c r="AO361" s="1"/>
    </row>
    <row r="362" spans="2:41" x14ac:dyDescent="0.25">
      <c r="B362" s="1" t="s">
        <v>1037</v>
      </c>
      <c r="C362" s="4" t="s">
        <v>594</v>
      </c>
      <c r="E362" s="2"/>
      <c r="I362" s="4"/>
      <c r="J362" s="4"/>
      <c r="K362" s="1"/>
      <c r="L362" s="1"/>
      <c r="M362" s="1"/>
      <c r="N362" s="1"/>
      <c r="O362" s="2"/>
      <c r="P362" s="1"/>
      <c r="S362" s="1"/>
      <c r="T362" s="1">
        <v>0</v>
      </c>
      <c r="U362" s="28"/>
      <c r="V362" s="1"/>
      <c r="W362" s="1"/>
      <c r="X362" s="1"/>
      <c r="Y362" s="2"/>
      <c r="Z362" s="1"/>
      <c r="AB362" s="1"/>
      <c r="AC362" s="28">
        <f t="shared" si="26"/>
        <v>109480</v>
      </c>
      <c r="AD362" s="1"/>
      <c r="AE362" s="1">
        <f t="shared" si="24"/>
        <v>0</v>
      </c>
      <c r="AF362" s="1"/>
      <c r="AG362" s="1"/>
      <c r="AL362" s="1"/>
      <c r="AO362" s="1"/>
    </row>
    <row r="363" spans="2:41" x14ac:dyDescent="0.25">
      <c r="B363" s="1" t="s">
        <v>1037</v>
      </c>
      <c r="C363" s="4" t="s">
        <v>595</v>
      </c>
      <c r="E363" s="2"/>
      <c r="I363" s="4"/>
      <c r="J363" s="4"/>
      <c r="K363" s="1"/>
      <c r="L363" s="1"/>
      <c r="M363" s="1"/>
      <c r="N363" s="1"/>
      <c r="O363" s="2"/>
      <c r="P363" s="1"/>
      <c r="S363" s="1"/>
      <c r="T363" s="1">
        <v>0</v>
      </c>
      <c r="U363" s="28"/>
      <c r="V363" s="1"/>
      <c r="W363" s="1"/>
      <c r="X363" s="1"/>
      <c r="Y363" s="2"/>
      <c r="Z363" s="1"/>
      <c r="AB363" s="1"/>
      <c r="AC363" s="28">
        <f t="shared" si="26"/>
        <v>109480</v>
      </c>
      <c r="AD363" s="1"/>
      <c r="AE363" s="1">
        <f t="shared" si="24"/>
        <v>0</v>
      </c>
      <c r="AF363" s="1"/>
      <c r="AG363" s="1"/>
      <c r="AL363" s="1"/>
      <c r="AO363" s="1"/>
    </row>
    <row r="364" spans="2:41" x14ac:dyDescent="0.25">
      <c r="B364" s="1" t="s">
        <v>1037</v>
      </c>
      <c r="C364" s="4" t="s">
        <v>596</v>
      </c>
      <c r="E364" s="2"/>
      <c r="I364" s="4"/>
      <c r="J364" s="4"/>
      <c r="K364" s="1"/>
      <c r="L364" s="1"/>
      <c r="M364" s="1"/>
      <c r="N364" s="1"/>
      <c r="O364" s="2"/>
      <c r="P364" s="1"/>
      <c r="S364" s="1"/>
      <c r="T364" s="1">
        <v>0</v>
      </c>
      <c r="U364" s="28"/>
      <c r="V364" s="1"/>
      <c r="W364" s="1"/>
      <c r="X364" s="1"/>
      <c r="Y364" s="2"/>
      <c r="Z364" s="1"/>
      <c r="AB364" s="1"/>
      <c r="AC364" s="28">
        <f t="shared" si="26"/>
        <v>109480</v>
      </c>
      <c r="AD364" s="1"/>
      <c r="AE364" s="1">
        <f t="shared" si="24"/>
        <v>0</v>
      </c>
      <c r="AF364" s="1"/>
      <c r="AG364" s="1"/>
      <c r="AL364" s="1"/>
      <c r="AO364" s="1"/>
    </row>
    <row r="365" spans="2:41" x14ac:dyDescent="0.25">
      <c r="B365" s="1" t="s">
        <v>1291</v>
      </c>
      <c r="C365" s="4" t="s">
        <v>1303</v>
      </c>
      <c r="E365" s="2"/>
      <c r="F365" s="1" t="s">
        <v>1305</v>
      </c>
      <c r="G365" s="1" t="s">
        <v>1304</v>
      </c>
      <c r="H365" s="4" t="s">
        <v>227</v>
      </c>
      <c r="I365" s="4"/>
      <c r="J365" s="3"/>
      <c r="K365" s="1"/>
      <c r="L365" s="1"/>
      <c r="M365" s="1"/>
      <c r="N365" s="1"/>
      <c r="P365" s="1"/>
      <c r="Q365" s="2" t="s">
        <v>1301</v>
      </c>
      <c r="R365" s="2" t="s">
        <v>228</v>
      </c>
      <c r="S365" s="1"/>
      <c r="T365" s="1">
        <v>0</v>
      </c>
      <c r="U365" s="28"/>
      <c r="V365" s="1"/>
      <c r="W365" s="1"/>
      <c r="X365" s="1"/>
      <c r="Y365" s="2"/>
      <c r="Z365" s="1"/>
      <c r="AB365" s="1"/>
      <c r="AC365" s="28">
        <f t="shared" si="26"/>
        <v>109480</v>
      </c>
      <c r="AD365" s="1"/>
      <c r="AE365" s="1">
        <f t="shared" si="24"/>
        <v>0</v>
      </c>
      <c r="AF365" s="1"/>
      <c r="AG365" s="1"/>
      <c r="AL365" s="1"/>
      <c r="AO365" s="1"/>
    </row>
    <row r="366" spans="2:41" ht="30" x14ac:dyDescent="0.25">
      <c r="B366" s="1" t="s">
        <v>1291</v>
      </c>
      <c r="C366" s="4" t="s">
        <v>1302</v>
      </c>
      <c r="E366" s="2"/>
      <c r="F366" s="1" t="s">
        <v>1307</v>
      </c>
      <c r="G366" s="1" t="s">
        <v>1306</v>
      </c>
      <c r="H366" s="4" t="s">
        <v>227</v>
      </c>
      <c r="I366" s="4"/>
      <c r="J366" s="3"/>
      <c r="K366" s="1"/>
      <c r="L366" s="1"/>
      <c r="M366" s="1"/>
      <c r="N366" s="1"/>
      <c r="P366" s="1"/>
      <c r="Q366" s="2" t="s">
        <v>1300</v>
      </c>
      <c r="R366" s="2" t="s">
        <v>231</v>
      </c>
      <c r="S366" s="1"/>
      <c r="T366" s="1">
        <v>0</v>
      </c>
      <c r="U366" s="28"/>
      <c r="V366" s="1"/>
      <c r="W366" s="1"/>
      <c r="X366" s="1"/>
      <c r="Y366" s="2"/>
      <c r="Z366" s="1"/>
      <c r="AB366" s="1"/>
      <c r="AC366" s="28">
        <f t="shared" si="26"/>
        <v>109480</v>
      </c>
      <c r="AD366" s="1"/>
      <c r="AE366" s="1">
        <f t="shared" si="24"/>
        <v>0</v>
      </c>
      <c r="AF366" s="1"/>
      <c r="AG366" s="1"/>
      <c r="AL366" s="1"/>
      <c r="AO366" s="1"/>
    </row>
    <row r="367" spans="2:41" x14ac:dyDescent="0.25">
      <c r="B367" s="1" t="s">
        <v>1037</v>
      </c>
      <c r="C367" s="4" t="s">
        <v>612</v>
      </c>
      <c r="E367" s="2"/>
      <c r="F367" s="1">
        <v>0</v>
      </c>
      <c r="G367" s="1">
        <v>18107</v>
      </c>
      <c r="H367" s="4" t="s">
        <v>342</v>
      </c>
      <c r="I367" s="4" t="s">
        <v>344</v>
      </c>
      <c r="J367" s="4" t="s">
        <v>76</v>
      </c>
      <c r="K367" s="1" t="s">
        <v>29</v>
      </c>
      <c r="L367" s="1" t="s">
        <v>30</v>
      </c>
      <c r="M367" s="1" t="s">
        <v>109</v>
      </c>
      <c r="N367" s="1"/>
      <c r="O367" s="2" t="s">
        <v>613</v>
      </c>
      <c r="P367" s="1"/>
      <c r="S367" s="1"/>
      <c r="T367" s="1">
        <v>0</v>
      </c>
      <c r="U367" s="28"/>
      <c r="V367" s="1"/>
      <c r="W367" s="1"/>
      <c r="X367" s="1"/>
      <c r="Y367" s="2"/>
      <c r="Z367" s="1"/>
      <c r="AB367" s="1"/>
      <c r="AC367" s="28">
        <f t="shared" si="26"/>
        <v>109480</v>
      </c>
      <c r="AD367" s="1"/>
      <c r="AE367" s="1">
        <f t="shared" si="24"/>
        <v>0</v>
      </c>
      <c r="AF367" s="1"/>
      <c r="AG367" s="1"/>
      <c r="AL367" s="1"/>
      <c r="AO367" s="1"/>
    </row>
    <row r="368" spans="2:41" x14ac:dyDescent="0.25">
      <c r="B368" s="1" t="s">
        <v>1037</v>
      </c>
      <c r="C368" s="4" t="s">
        <v>612</v>
      </c>
      <c r="E368" s="2"/>
      <c r="F368" s="1">
        <v>0</v>
      </c>
      <c r="G368" s="1">
        <v>18107</v>
      </c>
      <c r="H368" s="4" t="s">
        <v>342</v>
      </c>
      <c r="I368" s="4" t="s">
        <v>344</v>
      </c>
      <c r="J368" s="4" t="s">
        <v>76</v>
      </c>
      <c r="K368" s="1" t="s">
        <v>29</v>
      </c>
      <c r="L368" s="1" t="s">
        <v>60</v>
      </c>
      <c r="M368" s="1" t="s">
        <v>109</v>
      </c>
      <c r="N368" s="1"/>
      <c r="O368" s="2" t="s">
        <v>613</v>
      </c>
      <c r="P368" s="1"/>
      <c r="S368" s="1"/>
      <c r="T368" s="1">
        <v>0</v>
      </c>
      <c r="U368" s="28"/>
      <c r="V368" s="1"/>
      <c r="W368" s="1"/>
      <c r="X368" s="1"/>
      <c r="Y368" s="2"/>
      <c r="Z368" s="1"/>
      <c r="AB368" s="1"/>
      <c r="AC368" s="28">
        <f t="shared" si="26"/>
        <v>109480</v>
      </c>
      <c r="AD368" s="1"/>
      <c r="AE368" s="1">
        <f t="shared" si="24"/>
        <v>0</v>
      </c>
      <c r="AF368" s="1"/>
      <c r="AG368" s="1"/>
      <c r="AL368" s="1"/>
      <c r="AO368" s="1"/>
    </row>
    <row r="369" spans="2:41" x14ac:dyDescent="0.25">
      <c r="B369" s="1" t="s">
        <v>1037</v>
      </c>
      <c r="C369" s="4" t="s">
        <v>628</v>
      </c>
      <c r="E369" s="2"/>
      <c r="F369" s="1">
        <v>0</v>
      </c>
      <c r="G369" s="1">
        <v>18107</v>
      </c>
      <c r="H369" s="4" t="s">
        <v>342</v>
      </c>
      <c r="I369" s="4" t="s">
        <v>344</v>
      </c>
      <c r="J369" s="4" t="s">
        <v>76</v>
      </c>
      <c r="K369" s="1" t="s">
        <v>29</v>
      </c>
      <c r="L369" s="1" t="s">
        <v>30</v>
      </c>
      <c r="M369" s="1" t="s">
        <v>109</v>
      </c>
      <c r="N369" s="1"/>
      <c r="O369" s="2"/>
      <c r="P369" s="1"/>
      <c r="S369" s="1"/>
      <c r="T369" s="1">
        <v>0</v>
      </c>
      <c r="U369" s="28"/>
      <c r="V369" s="1"/>
      <c r="W369" s="1"/>
      <c r="X369" s="1"/>
      <c r="Y369" s="2"/>
      <c r="Z369" s="1"/>
      <c r="AB369" s="1"/>
      <c r="AC369" s="28">
        <f t="shared" si="26"/>
        <v>109480</v>
      </c>
      <c r="AD369" s="1"/>
      <c r="AE369" s="1">
        <f t="shared" si="24"/>
        <v>0</v>
      </c>
      <c r="AF369" s="1"/>
      <c r="AG369" s="1"/>
      <c r="AL369" s="1"/>
      <c r="AO369" s="1"/>
    </row>
    <row r="370" spans="2:41" x14ac:dyDescent="0.25">
      <c r="B370" s="1" t="s">
        <v>1037</v>
      </c>
      <c r="C370" s="4" t="s">
        <v>628</v>
      </c>
      <c r="E370" s="2"/>
      <c r="F370" s="1">
        <v>18108</v>
      </c>
      <c r="G370" s="1" t="s">
        <v>616</v>
      </c>
      <c r="H370" s="4" t="s">
        <v>342</v>
      </c>
      <c r="I370" s="4" t="s">
        <v>344</v>
      </c>
      <c r="J370" s="4" t="s">
        <v>76</v>
      </c>
      <c r="K370" s="1" t="s">
        <v>29</v>
      </c>
      <c r="L370" s="1" t="s">
        <v>30</v>
      </c>
      <c r="M370" s="1" t="s">
        <v>109</v>
      </c>
      <c r="N370" s="1"/>
      <c r="O370" s="2"/>
      <c r="P370" s="1"/>
      <c r="S370" s="1"/>
      <c r="T370" s="1">
        <v>0</v>
      </c>
      <c r="U370" s="28"/>
      <c r="V370" s="1"/>
      <c r="W370" s="1"/>
      <c r="X370" s="1"/>
      <c r="Y370" s="2"/>
      <c r="Z370" s="1"/>
      <c r="AB370" s="1"/>
      <c r="AC370" s="28">
        <f t="shared" si="26"/>
        <v>109480</v>
      </c>
      <c r="AD370" s="1"/>
      <c r="AE370" s="1">
        <f t="shared" si="24"/>
        <v>0</v>
      </c>
      <c r="AF370" s="1"/>
      <c r="AG370" s="1"/>
      <c r="AL370" s="1"/>
      <c r="AO370" s="1"/>
    </row>
    <row r="371" spans="2:41" x14ac:dyDescent="0.25">
      <c r="B371" s="1" t="s">
        <v>1037</v>
      </c>
      <c r="C371" s="4" t="s">
        <v>628</v>
      </c>
      <c r="E371" s="2"/>
      <c r="F371" s="1">
        <v>0</v>
      </c>
      <c r="G371" s="1">
        <v>18107</v>
      </c>
      <c r="H371" s="4" t="s">
        <v>342</v>
      </c>
      <c r="I371" s="4" t="s">
        <v>344</v>
      </c>
      <c r="J371" s="4" t="s">
        <v>76</v>
      </c>
      <c r="K371" s="1" t="s">
        <v>29</v>
      </c>
      <c r="L371" s="1" t="s">
        <v>30</v>
      </c>
      <c r="M371" s="1" t="s">
        <v>109</v>
      </c>
      <c r="N371" s="1"/>
      <c r="O371" s="2"/>
      <c r="P371" s="1"/>
      <c r="S371" s="1"/>
      <c r="T371" s="1">
        <v>0</v>
      </c>
      <c r="U371" s="28"/>
      <c r="V371" s="1"/>
      <c r="W371" s="1"/>
      <c r="X371" s="1"/>
      <c r="Y371" s="2"/>
      <c r="Z371" s="1"/>
      <c r="AB371" s="1"/>
      <c r="AC371" s="28">
        <f t="shared" si="26"/>
        <v>109480</v>
      </c>
      <c r="AD371" s="1"/>
      <c r="AE371" s="1">
        <f t="shared" si="24"/>
        <v>0</v>
      </c>
      <c r="AF371" s="1"/>
      <c r="AG371" s="1"/>
      <c r="AL371" s="1"/>
      <c r="AO371" s="1"/>
    </row>
    <row r="372" spans="2:41" x14ac:dyDescent="0.25">
      <c r="B372" s="1" t="s">
        <v>1037</v>
      </c>
      <c r="C372" s="4" t="s">
        <v>628</v>
      </c>
      <c r="E372" s="2"/>
      <c r="F372" s="1">
        <v>18108</v>
      </c>
      <c r="G372" s="1" t="s">
        <v>616</v>
      </c>
      <c r="H372" s="4" t="s">
        <v>342</v>
      </c>
      <c r="I372" s="4" t="s">
        <v>344</v>
      </c>
      <c r="J372" s="4" t="s">
        <v>76</v>
      </c>
      <c r="K372" s="1" t="s">
        <v>29</v>
      </c>
      <c r="L372" s="1" t="s">
        <v>30</v>
      </c>
      <c r="M372" s="1" t="s">
        <v>109</v>
      </c>
      <c r="N372" s="1"/>
      <c r="O372" s="2"/>
      <c r="P372" s="1"/>
      <c r="S372" s="1"/>
      <c r="T372" s="1">
        <v>0</v>
      </c>
      <c r="U372" s="28"/>
      <c r="V372" s="1"/>
      <c r="W372" s="1"/>
      <c r="X372" s="1"/>
      <c r="Y372" s="2"/>
      <c r="Z372" s="1"/>
      <c r="AB372" s="1"/>
      <c r="AC372" s="28">
        <f t="shared" si="26"/>
        <v>109480</v>
      </c>
      <c r="AD372" s="1"/>
      <c r="AE372" s="1">
        <f t="shared" si="24"/>
        <v>0</v>
      </c>
      <c r="AF372" s="1"/>
      <c r="AG372" s="1"/>
      <c r="AL372" s="1"/>
      <c r="AO372" s="1"/>
    </row>
    <row r="373" spans="2:41" x14ac:dyDescent="0.25">
      <c r="B373" s="1" t="s">
        <v>1037</v>
      </c>
      <c r="C373" s="4" t="s">
        <v>628</v>
      </c>
      <c r="E373" s="2"/>
      <c r="F373" s="1">
        <v>0</v>
      </c>
      <c r="G373" s="1">
        <v>18107</v>
      </c>
      <c r="H373" s="4" t="s">
        <v>342</v>
      </c>
      <c r="I373" s="4" t="s">
        <v>344</v>
      </c>
      <c r="J373" s="4" t="s">
        <v>76</v>
      </c>
      <c r="K373" s="1" t="s">
        <v>29</v>
      </c>
      <c r="L373" s="1" t="s">
        <v>60</v>
      </c>
      <c r="M373" s="1" t="s">
        <v>109</v>
      </c>
      <c r="N373" s="1"/>
      <c r="O373" s="2"/>
      <c r="P373" s="1"/>
      <c r="S373" s="1"/>
      <c r="T373" s="1">
        <v>0</v>
      </c>
      <c r="U373" s="28"/>
      <c r="V373" s="1"/>
      <c r="W373" s="1"/>
      <c r="X373" s="1"/>
      <c r="Y373" s="2"/>
      <c r="Z373" s="1"/>
      <c r="AB373" s="1"/>
      <c r="AC373" s="28">
        <f t="shared" si="26"/>
        <v>109480</v>
      </c>
      <c r="AD373" s="1"/>
      <c r="AE373" s="1">
        <f t="shared" si="24"/>
        <v>0</v>
      </c>
      <c r="AF373" s="1"/>
      <c r="AG373" s="1"/>
      <c r="AL373" s="1"/>
      <c r="AO373" s="1"/>
    </row>
    <row r="374" spans="2:41" x14ac:dyDescent="0.25">
      <c r="B374" s="1" t="s">
        <v>1037</v>
      </c>
      <c r="C374" s="4" t="s">
        <v>628</v>
      </c>
      <c r="E374" s="2"/>
      <c r="F374" s="1">
        <v>18108</v>
      </c>
      <c r="G374" s="1" t="s">
        <v>616</v>
      </c>
      <c r="H374" s="4" t="s">
        <v>342</v>
      </c>
      <c r="I374" s="4" t="s">
        <v>344</v>
      </c>
      <c r="J374" s="4" t="s">
        <v>76</v>
      </c>
      <c r="K374" s="1" t="s">
        <v>29</v>
      </c>
      <c r="L374" s="1" t="s">
        <v>60</v>
      </c>
      <c r="M374" s="1" t="s">
        <v>109</v>
      </c>
      <c r="N374" s="1"/>
      <c r="O374" s="2"/>
      <c r="P374" s="1"/>
      <c r="S374" s="1"/>
      <c r="T374" s="1">
        <v>0</v>
      </c>
      <c r="U374" s="28"/>
      <c r="V374" s="1"/>
      <c r="W374" s="1"/>
      <c r="X374" s="1"/>
      <c r="Y374" s="2"/>
      <c r="Z374" s="1"/>
      <c r="AB374" s="1"/>
      <c r="AC374" s="28">
        <f t="shared" si="26"/>
        <v>109480</v>
      </c>
      <c r="AD374" s="1"/>
      <c r="AE374" s="1">
        <f t="shared" si="24"/>
        <v>0</v>
      </c>
      <c r="AF374" s="1"/>
      <c r="AG374" s="1"/>
      <c r="AL374" s="1"/>
      <c r="AO374" s="1"/>
    </row>
    <row r="375" spans="2:41" x14ac:dyDescent="0.25">
      <c r="B375" s="1" t="s">
        <v>1037</v>
      </c>
      <c r="C375" s="4" t="s">
        <v>628</v>
      </c>
      <c r="E375" s="2"/>
      <c r="F375" s="1">
        <v>0</v>
      </c>
      <c r="G375" s="1">
        <v>18107</v>
      </c>
      <c r="H375" s="4" t="s">
        <v>342</v>
      </c>
      <c r="I375" s="4" t="s">
        <v>344</v>
      </c>
      <c r="J375" s="4" t="s">
        <v>76</v>
      </c>
      <c r="K375" s="1" t="s">
        <v>29</v>
      </c>
      <c r="L375" s="1" t="s">
        <v>60</v>
      </c>
      <c r="M375" s="1" t="s">
        <v>109</v>
      </c>
      <c r="N375" s="1"/>
      <c r="O375" s="2"/>
      <c r="P375" s="1"/>
      <c r="S375" s="1"/>
      <c r="T375" s="1">
        <v>0</v>
      </c>
      <c r="U375" s="28"/>
      <c r="V375" s="1"/>
      <c r="W375" s="1"/>
      <c r="X375" s="1"/>
      <c r="Y375" s="2"/>
      <c r="Z375" s="1"/>
      <c r="AB375" s="1"/>
      <c r="AC375" s="28">
        <f t="shared" si="26"/>
        <v>109480</v>
      </c>
      <c r="AD375" s="1"/>
      <c r="AE375" s="1">
        <f t="shared" si="24"/>
        <v>0</v>
      </c>
      <c r="AF375" s="1"/>
      <c r="AG375" s="1"/>
      <c r="AL375" s="1"/>
      <c r="AO375" s="1"/>
    </row>
    <row r="376" spans="2:41" x14ac:dyDescent="0.25">
      <c r="B376" s="1" t="s">
        <v>1037</v>
      </c>
      <c r="C376" s="4" t="s">
        <v>628</v>
      </c>
      <c r="E376" s="2"/>
      <c r="F376" s="1">
        <v>18108</v>
      </c>
      <c r="G376" s="1" t="s">
        <v>616</v>
      </c>
      <c r="H376" s="4" t="s">
        <v>342</v>
      </c>
      <c r="I376" s="4" t="s">
        <v>344</v>
      </c>
      <c r="J376" s="4" t="s">
        <v>76</v>
      </c>
      <c r="K376" s="1" t="s">
        <v>29</v>
      </c>
      <c r="L376" s="1" t="s">
        <v>60</v>
      </c>
      <c r="M376" s="1" t="s">
        <v>109</v>
      </c>
      <c r="N376" s="1"/>
      <c r="O376" s="2"/>
      <c r="P376" s="1"/>
      <c r="S376" s="1"/>
      <c r="T376" s="1">
        <v>0</v>
      </c>
      <c r="U376" s="28"/>
      <c r="V376" s="1"/>
      <c r="W376" s="1"/>
      <c r="X376" s="1"/>
      <c r="Y376" s="2"/>
      <c r="Z376" s="1"/>
      <c r="AB376" s="1"/>
      <c r="AC376" s="28">
        <f t="shared" si="26"/>
        <v>109480</v>
      </c>
      <c r="AD376" s="1"/>
      <c r="AE376" s="1">
        <f t="shared" si="24"/>
        <v>0</v>
      </c>
      <c r="AF376" s="1"/>
      <c r="AG376" s="1"/>
      <c r="AL376" s="1"/>
      <c r="AO376" s="1"/>
    </row>
    <row r="377" spans="2:41" x14ac:dyDescent="0.25">
      <c r="B377" s="1" t="s">
        <v>1037</v>
      </c>
      <c r="C377" s="4" t="s">
        <v>629</v>
      </c>
      <c r="E377" s="2"/>
      <c r="F377" s="1">
        <v>0</v>
      </c>
      <c r="G377" s="1">
        <v>18107</v>
      </c>
      <c r="H377" s="4" t="s">
        <v>342</v>
      </c>
      <c r="I377" s="4" t="s">
        <v>344</v>
      </c>
      <c r="J377" s="4" t="s">
        <v>76</v>
      </c>
      <c r="K377" s="1" t="s">
        <v>29</v>
      </c>
      <c r="L377" s="1" t="s">
        <v>30</v>
      </c>
      <c r="M377" s="1" t="s">
        <v>109</v>
      </c>
      <c r="N377" s="1"/>
      <c r="O377" s="2"/>
      <c r="P377" s="1"/>
      <c r="S377" s="1"/>
      <c r="T377" s="1">
        <v>0</v>
      </c>
      <c r="U377" s="28"/>
      <c r="V377" s="1"/>
      <c r="W377" s="1"/>
      <c r="X377" s="1"/>
      <c r="Y377" s="2"/>
      <c r="Z377" s="1"/>
      <c r="AB377" s="1"/>
      <c r="AC377" s="28">
        <f t="shared" si="26"/>
        <v>109480</v>
      </c>
      <c r="AD377" s="1"/>
      <c r="AE377" s="1">
        <f t="shared" si="24"/>
        <v>0</v>
      </c>
      <c r="AF377" s="1"/>
      <c r="AG377" s="1"/>
      <c r="AL377" s="1"/>
      <c r="AO377" s="1"/>
    </row>
    <row r="378" spans="2:41" x14ac:dyDescent="0.25">
      <c r="B378" s="1" t="s">
        <v>1037</v>
      </c>
      <c r="C378" s="4" t="s">
        <v>629</v>
      </c>
      <c r="E378" s="2"/>
      <c r="F378" s="1">
        <v>18108</v>
      </c>
      <c r="G378" s="1" t="s">
        <v>616</v>
      </c>
      <c r="H378" s="4" t="s">
        <v>342</v>
      </c>
      <c r="I378" s="4" t="s">
        <v>344</v>
      </c>
      <c r="J378" s="4" t="s">
        <v>76</v>
      </c>
      <c r="K378" s="1" t="s">
        <v>29</v>
      </c>
      <c r="L378" s="1" t="s">
        <v>30</v>
      </c>
      <c r="M378" s="1" t="s">
        <v>109</v>
      </c>
      <c r="N378" s="1"/>
      <c r="O378" s="2"/>
      <c r="P378" s="1"/>
      <c r="S378" s="1"/>
      <c r="T378" s="1">
        <v>0</v>
      </c>
      <c r="U378" s="28"/>
      <c r="V378" s="1"/>
      <c r="W378" s="1"/>
      <c r="X378" s="1"/>
      <c r="Y378" s="2"/>
      <c r="Z378" s="1"/>
      <c r="AB378" s="1"/>
      <c r="AC378" s="28">
        <f t="shared" si="26"/>
        <v>109480</v>
      </c>
      <c r="AD378" s="1"/>
      <c r="AE378" s="1">
        <f t="shared" ref="AE378:AE431" si="27">S378*D378</f>
        <v>0</v>
      </c>
      <c r="AF378" s="1"/>
      <c r="AG378" s="1"/>
      <c r="AL378" s="1"/>
      <c r="AO378" s="1"/>
    </row>
    <row r="379" spans="2:41" x14ac:dyDescent="0.25">
      <c r="B379" s="1" t="s">
        <v>1037</v>
      </c>
      <c r="C379" s="4" t="s">
        <v>629</v>
      </c>
      <c r="E379" s="2"/>
      <c r="F379" s="1">
        <v>0</v>
      </c>
      <c r="G379" s="1">
        <v>18107</v>
      </c>
      <c r="H379" s="4" t="s">
        <v>342</v>
      </c>
      <c r="I379" s="4" t="s">
        <v>344</v>
      </c>
      <c r="J379" s="4" t="s">
        <v>76</v>
      </c>
      <c r="K379" s="1" t="s">
        <v>29</v>
      </c>
      <c r="L379" s="1" t="s">
        <v>30</v>
      </c>
      <c r="M379" s="1" t="s">
        <v>109</v>
      </c>
      <c r="N379" s="1"/>
      <c r="O379" s="2"/>
      <c r="P379" s="1"/>
      <c r="S379" s="1"/>
      <c r="T379" s="1">
        <v>0</v>
      </c>
      <c r="U379" s="28"/>
      <c r="V379" s="1"/>
      <c r="W379" s="1"/>
      <c r="X379" s="1"/>
      <c r="Y379" s="2"/>
      <c r="Z379" s="1"/>
      <c r="AB379" s="1"/>
      <c r="AC379" s="28">
        <f t="shared" si="26"/>
        <v>109480</v>
      </c>
      <c r="AD379" s="1"/>
      <c r="AE379" s="1">
        <f t="shared" si="27"/>
        <v>0</v>
      </c>
      <c r="AF379" s="1"/>
      <c r="AG379" s="1"/>
      <c r="AL379" s="1"/>
      <c r="AO379" s="1"/>
    </row>
    <row r="380" spans="2:41" x14ac:dyDescent="0.25">
      <c r="B380" s="1" t="s">
        <v>1037</v>
      </c>
      <c r="C380" s="4" t="s">
        <v>629</v>
      </c>
      <c r="E380" s="2"/>
      <c r="F380" s="1">
        <v>18108</v>
      </c>
      <c r="G380" s="1" t="s">
        <v>616</v>
      </c>
      <c r="H380" s="4" t="s">
        <v>342</v>
      </c>
      <c r="I380" s="4" t="s">
        <v>344</v>
      </c>
      <c r="J380" s="4" t="s">
        <v>76</v>
      </c>
      <c r="K380" s="1" t="s">
        <v>29</v>
      </c>
      <c r="L380" s="1" t="s">
        <v>30</v>
      </c>
      <c r="M380" s="1" t="s">
        <v>109</v>
      </c>
      <c r="N380" s="1"/>
      <c r="O380" s="2"/>
      <c r="P380" s="1"/>
      <c r="S380" s="1"/>
      <c r="T380" s="1">
        <v>0</v>
      </c>
      <c r="U380" s="28"/>
      <c r="V380" s="1"/>
      <c r="W380" s="1"/>
      <c r="X380" s="1"/>
      <c r="Y380" s="2"/>
      <c r="Z380" s="1"/>
      <c r="AB380" s="1"/>
      <c r="AC380" s="28">
        <f t="shared" si="26"/>
        <v>109480</v>
      </c>
      <c r="AD380" s="1"/>
      <c r="AE380" s="1">
        <f t="shared" si="27"/>
        <v>0</v>
      </c>
      <c r="AF380" s="1"/>
      <c r="AG380" s="1"/>
      <c r="AL380" s="1"/>
      <c r="AO380" s="1"/>
    </row>
    <row r="381" spans="2:41" x14ac:dyDescent="0.25">
      <c r="B381" s="1" t="s">
        <v>1037</v>
      </c>
      <c r="C381" s="4" t="s">
        <v>629</v>
      </c>
      <c r="E381" s="2"/>
      <c r="F381" s="1">
        <v>0</v>
      </c>
      <c r="G381" s="1">
        <v>18107</v>
      </c>
      <c r="H381" s="4" t="s">
        <v>342</v>
      </c>
      <c r="I381" s="4" t="s">
        <v>344</v>
      </c>
      <c r="J381" s="4" t="s">
        <v>76</v>
      </c>
      <c r="K381" s="1" t="s">
        <v>29</v>
      </c>
      <c r="L381" s="1" t="s">
        <v>60</v>
      </c>
      <c r="M381" s="1" t="s">
        <v>109</v>
      </c>
      <c r="N381" s="1"/>
      <c r="O381" s="2"/>
      <c r="P381" s="1"/>
      <c r="S381" s="1"/>
      <c r="T381" s="1">
        <v>0</v>
      </c>
      <c r="U381" s="28"/>
      <c r="V381" s="1"/>
      <c r="W381" s="1"/>
      <c r="X381" s="1"/>
      <c r="Y381" s="2"/>
      <c r="Z381" s="1"/>
      <c r="AB381" s="1"/>
      <c r="AC381" s="28">
        <f t="shared" si="26"/>
        <v>109480</v>
      </c>
      <c r="AD381" s="1"/>
      <c r="AE381" s="1">
        <f t="shared" si="27"/>
        <v>0</v>
      </c>
      <c r="AF381" s="1"/>
      <c r="AG381" s="1"/>
      <c r="AL381" s="1"/>
      <c r="AO381" s="1"/>
    </row>
    <row r="382" spans="2:41" x14ac:dyDescent="0.25">
      <c r="B382" s="1" t="s">
        <v>1037</v>
      </c>
      <c r="C382" s="4" t="s">
        <v>629</v>
      </c>
      <c r="E382" s="2"/>
      <c r="F382" s="1">
        <v>18108</v>
      </c>
      <c r="G382" s="1" t="s">
        <v>616</v>
      </c>
      <c r="H382" s="4" t="s">
        <v>342</v>
      </c>
      <c r="I382" s="4" t="s">
        <v>344</v>
      </c>
      <c r="J382" s="4" t="s">
        <v>76</v>
      </c>
      <c r="K382" s="1" t="s">
        <v>29</v>
      </c>
      <c r="L382" s="1" t="s">
        <v>60</v>
      </c>
      <c r="M382" s="1" t="s">
        <v>109</v>
      </c>
      <c r="N382" s="1"/>
      <c r="O382" s="2"/>
      <c r="P382" s="1"/>
      <c r="S382" s="1"/>
      <c r="T382" s="1">
        <v>0</v>
      </c>
      <c r="U382" s="28"/>
      <c r="V382" s="1"/>
      <c r="W382" s="1"/>
      <c r="X382" s="1"/>
      <c r="Y382" s="2"/>
      <c r="Z382" s="1"/>
      <c r="AB382" s="1"/>
      <c r="AC382" s="28">
        <f t="shared" si="26"/>
        <v>109480</v>
      </c>
      <c r="AD382" s="1"/>
      <c r="AE382" s="1">
        <f t="shared" si="27"/>
        <v>0</v>
      </c>
      <c r="AF382" s="1"/>
      <c r="AG382" s="1"/>
      <c r="AL382" s="1"/>
      <c r="AO382" s="1"/>
    </row>
    <row r="383" spans="2:41" x14ac:dyDescent="0.25">
      <c r="B383" s="1" t="s">
        <v>1037</v>
      </c>
      <c r="C383" s="4" t="s">
        <v>629</v>
      </c>
      <c r="E383" s="2"/>
      <c r="F383" s="1">
        <v>0</v>
      </c>
      <c r="G383" s="1">
        <v>18107</v>
      </c>
      <c r="H383" s="4" t="s">
        <v>342</v>
      </c>
      <c r="I383" s="4" t="s">
        <v>344</v>
      </c>
      <c r="J383" s="4" t="s">
        <v>76</v>
      </c>
      <c r="K383" s="1" t="s">
        <v>29</v>
      </c>
      <c r="L383" s="1" t="s">
        <v>60</v>
      </c>
      <c r="M383" s="1" t="s">
        <v>109</v>
      </c>
      <c r="N383" s="1"/>
      <c r="O383" s="2"/>
      <c r="P383" s="1"/>
      <c r="S383" s="1"/>
      <c r="T383" s="1">
        <v>0</v>
      </c>
      <c r="U383" s="28"/>
      <c r="V383" s="1"/>
      <c r="W383" s="1"/>
      <c r="X383" s="1"/>
      <c r="Y383" s="2"/>
      <c r="Z383" s="1"/>
      <c r="AB383" s="1"/>
      <c r="AC383" s="28">
        <f t="shared" si="26"/>
        <v>109480</v>
      </c>
      <c r="AD383" s="1"/>
      <c r="AE383" s="1">
        <f t="shared" si="27"/>
        <v>0</v>
      </c>
      <c r="AF383" s="1"/>
      <c r="AG383" s="1"/>
      <c r="AL383" s="1"/>
      <c r="AO383" s="1"/>
    </row>
    <row r="384" spans="2:41" x14ac:dyDescent="0.25">
      <c r="B384" s="1" t="s">
        <v>1037</v>
      </c>
      <c r="C384" s="4" t="s">
        <v>629</v>
      </c>
      <c r="E384" s="2"/>
      <c r="F384" s="1">
        <v>18108</v>
      </c>
      <c r="G384" s="1" t="s">
        <v>616</v>
      </c>
      <c r="H384" s="4" t="s">
        <v>342</v>
      </c>
      <c r="I384" s="4" t="s">
        <v>344</v>
      </c>
      <c r="J384" s="4" t="s">
        <v>76</v>
      </c>
      <c r="K384" s="1" t="s">
        <v>29</v>
      </c>
      <c r="L384" s="1" t="s">
        <v>60</v>
      </c>
      <c r="M384" s="1" t="s">
        <v>109</v>
      </c>
      <c r="N384" s="1"/>
      <c r="O384" s="2"/>
      <c r="P384" s="1"/>
      <c r="S384" s="1"/>
      <c r="T384" s="1">
        <v>0</v>
      </c>
      <c r="U384" s="28"/>
      <c r="V384" s="1"/>
      <c r="W384" s="1"/>
      <c r="X384" s="1"/>
      <c r="Y384" s="2"/>
      <c r="Z384" s="1"/>
      <c r="AB384" s="1"/>
      <c r="AC384" s="28">
        <f t="shared" si="26"/>
        <v>109480</v>
      </c>
      <c r="AD384" s="1"/>
      <c r="AE384" s="1">
        <f t="shared" si="27"/>
        <v>0</v>
      </c>
      <c r="AF384" s="1"/>
      <c r="AG384" s="1"/>
      <c r="AL384" s="1"/>
      <c r="AO384" s="1"/>
    </row>
    <row r="385" spans="2:41" x14ac:dyDescent="0.25">
      <c r="B385" s="1" t="s">
        <v>1037</v>
      </c>
      <c r="C385" s="4" t="s">
        <v>630</v>
      </c>
      <c r="E385" s="2"/>
      <c r="F385" s="1">
        <v>0</v>
      </c>
      <c r="G385" s="1">
        <v>18107</v>
      </c>
      <c r="H385" s="4" t="s">
        <v>342</v>
      </c>
      <c r="I385" s="4" t="s">
        <v>344</v>
      </c>
      <c r="J385" s="4" t="s">
        <v>76</v>
      </c>
      <c r="K385" s="1" t="s">
        <v>29</v>
      </c>
      <c r="L385" s="1" t="s">
        <v>30</v>
      </c>
      <c r="M385" s="1" t="s">
        <v>109</v>
      </c>
      <c r="N385" s="1"/>
      <c r="O385" s="2"/>
      <c r="P385" s="1"/>
      <c r="S385" s="1"/>
      <c r="T385" s="1">
        <v>0</v>
      </c>
      <c r="U385" s="28"/>
      <c r="V385" s="1"/>
      <c r="W385" s="1"/>
      <c r="X385" s="1"/>
      <c r="Y385" s="2"/>
      <c r="Z385" s="1"/>
      <c r="AB385" s="1"/>
      <c r="AC385" s="28">
        <f t="shared" si="26"/>
        <v>109480</v>
      </c>
      <c r="AD385" s="1"/>
      <c r="AE385" s="1">
        <f t="shared" si="27"/>
        <v>0</v>
      </c>
      <c r="AF385" s="1"/>
      <c r="AG385" s="1"/>
      <c r="AL385" s="1"/>
      <c r="AO385" s="1"/>
    </row>
    <row r="386" spans="2:41" x14ac:dyDescent="0.25">
      <c r="B386" s="1" t="s">
        <v>1037</v>
      </c>
      <c r="C386" s="4" t="s">
        <v>630</v>
      </c>
      <c r="E386" s="2"/>
      <c r="F386" s="1">
        <v>18108</v>
      </c>
      <c r="G386" s="1" t="s">
        <v>616</v>
      </c>
      <c r="H386" s="4" t="s">
        <v>342</v>
      </c>
      <c r="I386" s="4" t="s">
        <v>344</v>
      </c>
      <c r="J386" s="4" t="s">
        <v>76</v>
      </c>
      <c r="K386" s="1" t="s">
        <v>29</v>
      </c>
      <c r="L386" s="1" t="s">
        <v>30</v>
      </c>
      <c r="M386" s="1" t="s">
        <v>109</v>
      </c>
      <c r="N386" s="1"/>
      <c r="O386" s="2"/>
      <c r="P386" s="1"/>
      <c r="S386" s="1"/>
      <c r="T386" s="1">
        <v>0</v>
      </c>
      <c r="U386" s="28"/>
      <c r="V386" s="1"/>
      <c r="W386" s="1"/>
      <c r="X386" s="1"/>
      <c r="Y386" s="2"/>
      <c r="Z386" s="1"/>
      <c r="AB386" s="1"/>
      <c r="AC386" s="28">
        <f t="shared" si="26"/>
        <v>109480</v>
      </c>
      <c r="AD386" s="1"/>
      <c r="AE386" s="1">
        <f t="shared" si="27"/>
        <v>0</v>
      </c>
      <c r="AF386" s="1"/>
      <c r="AG386" s="1"/>
      <c r="AL386" s="1"/>
      <c r="AO386" s="1"/>
    </row>
    <row r="387" spans="2:41" x14ac:dyDescent="0.25">
      <c r="B387" s="1" t="s">
        <v>1037</v>
      </c>
      <c r="C387" s="4" t="s">
        <v>630</v>
      </c>
      <c r="E387" s="2"/>
      <c r="F387" s="1">
        <v>0</v>
      </c>
      <c r="G387" s="1">
        <v>18107</v>
      </c>
      <c r="H387" s="4" t="s">
        <v>342</v>
      </c>
      <c r="I387" s="4" t="s">
        <v>344</v>
      </c>
      <c r="J387" s="4" t="s">
        <v>76</v>
      </c>
      <c r="K387" s="1" t="s">
        <v>29</v>
      </c>
      <c r="L387" s="1" t="s">
        <v>30</v>
      </c>
      <c r="M387" s="1" t="s">
        <v>109</v>
      </c>
      <c r="N387" s="1"/>
      <c r="O387" s="2"/>
      <c r="P387" s="1"/>
      <c r="S387" s="1"/>
      <c r="T387" s="1">
        <v>0</v>
      </c>
      <c r="U387" s="28"/>
      <c r="V387" s="1"/>
      <c r="W387" s="1"/>
      <c r="X387" s="1"/>
      <c r="Y387" s="2"/>
      <c r="Z387" s="1"/>
      <c r="AB387" s="1"/>
      <c r="AC387" s="28">
        <f t="shared" si="26"/>
        <v>109480</v>
      </c>
      <c r="AD387" s="1"/>
      <c r="AE387" s="1">
        <f t="shared" si="27"/>
        <v>0</v>
      </c>
      <c r="AF387" s="1"/>
      <c r="AG387" s="1"/>
      <c r="AL387" s="1"/>
      <c r="AO387" s="1"/>
    </row>
    <row r="388" spans="2:41" x14ac:dyDescent="0.25">
      <c r="B388" s="1" t="s">
        <v>1037</v>
      </c>
      <c r="C388" s="4" t="s">
        <v>630</v>
      </c>
      <c r="E388" s="2"/>
      <c r="F388" s="1">
        <v>18108</v>
      </c>
      <c r="G388" s="1" t="s">
        <v>616</v>
      </c>
      <c r="H388" s="4" t="s">
        <v>342</v>
      </c>
      <c r="I388" s="4" t="s">
        <v>344</v>
      </c>
      <c r="J388" s="4" t="s">
        <v>76</v>
      </c>
      <c r="K388" s="1" t="s">
        <v>29</v>
      </c>
      <c r="L388" s="1" t="s">
        <v>30</v>
      </c>
      <c r="M388" s="1" t="s">
        <v>109</v>
      </c>
      <c r="N388" s="1"/>
      <c r="O388" s="2"/>
      <c r="P388" s="1"/>
      <c r="S388" s="1"/>
      <c r="T388" s="1">
        <v>0</v>
      </c>
      <c r="U388" s="28"/>
      <c r="V388" s="1"/>
      <c r="W388" s="1"/>
      <c r="X388" s="1"/>
      <c r="Y388" s="2"/>
      <c r="Z388" s="1"/>
      <c r="AB388" s="1"/>
      <c r="AC388" s="28">
        <f t="shared" si="26"/>
        <v>109480</v>
      </c>
      <c r="AD388" s="1"/>
      <c r="AE388" s="1">
        <f t="shared" si="27"/>
        <v>0</v>
      </c>
      <c r="AF388" s="1"/>
      <c r="AG388" s="1"/>
      <c r="AL388" s="1"/>
      <c r="AO388" s="1"/>
    </row>
    <row r="389" spans="2:41" x14ac:dyDescent="0.25">
      <c r="B389" s="1" t="s">
        <v>1037</v>
      </c>
      <c r="C389" s="4" t="s">
        <v>630</v>
      </c>
      <c r="E389" s="2"/>
      <c r="H389" s="4" t="s">
        <v>342</v>
      </c>
      <c r="I389" s="4" t="s">
        <v>344</v>
      </c>
      <c r="J389" s="4" t="s">
        <v>76</v>
      </c>
      <c r="K389" s="1" t="s">
        <v>29</v>
      </c>
      <c r="L389" s="1" t="s">
        <v>60</v>
      </c>
      <c r="M389" s="1" t="s">
        <v>109</v>
      </c>
      <c r="N389" s="1"/>
      <c r="O389" s="2"/>
      <c r="P389" s="1"/>
      <c r="S389" s="1"/>
      <c r="T389" s="1">
        <v>0</v>
      </c>
      <c r="U389" s="28"/>
      <c r="V389" s="1"/>
      <c r="W389" s="1"/>
      <c r="X389" s="1"/>
      <c r="Y389" s="2"/>
      <c r="Z389" s="1"/>
      <c r="AB389" s="1"/>
      <c r="AC389" s="28">
        <f t="shared" si="26"/>
        <v>109480</v>
      </c>
      <c r="AD389" s="1"/>
      <c r="AE389" s="1">
        <f t="shared" si="27"/>
        <v>0</v>
      </c>
      <c r="AF389" s="1"/>
      <c r="AG389" s="1"/>
      <c r="AL389" s="1"/>
      <c r="AO389" s="1"/>
    </row>
    <row r="390" spans="2:41" x14ac:dyDescent="0.25">
      <c r="B390" s="1" t="s">
        <v>1037</v>
      </c>
      <c r="C390" s="4" t="s">
        <v>630</v>
      </c>
      <c r="E390" s="2"/>
      <c r="H390" s="4" t="s">
        <v>342</v>
      </c>
      <c r="I390" s="4" t="s">
        <v>344</v>
      </c>
      <c r="J390" s="4" t="s">
        <v>76</v>
      </c>
      <c r="K390" s="1" t="s">
        <v>29</v>
      </c>
      <c r="L390" s="1" t="s">
        <v>60</v>
      </c>
      <c r="M390" s="1" t="s">
        <v>109</v>
      </c>
      <c r="N390" s="1"/>
      <c r="O390" s="2"/>
      <c r="P390" s="1"/>
      <c r="S390" s="1"/>
      <c r="T390" s="1">
        <v>0</v>
      </c>
      <c r="U390" s="28"/>
      <c r="V390" s="1"/>
      <c r="W390" s="1"/>
      <c r="X390" s="1"/>
      <c r="Y390" s="2"/>
      <c r="Z390" s="1"/>
      <c r="AB390" s="1"/>
      <c r="AC390" s="28">
        <f t="shared" si="26"/>
        <v>109480</v>
      </c>
      <c r="AD390" s="1"/>
      <c r="AE390" s="1">
        <f t="shared" si="27"/>
        <v>0</v>
      </c>
      <c r="AF390" s="1"/>
      <c r="AG390" s="1"/>
      <c r="AL390" s="1"/>
      <c r="AO390" s="1"/>
    </row>
    <row r="391" spans="2:41" x14ac:dyDescent="0.25">
      <c r="B391" s="1" t="s">
        <v>1037</v>
      </c>
      <c r="C391" s="4" t="s">
        <v>630</v>
      </c>
      <c r="E391" s="2"/>
      <c r="H391" s="4" t="s">
        <v>342</v>
      </c>
      <c r="I391" s="4" t="s">
        <v>344</v>
      </c>
      <c r="J391" s="4" t="s">
        <v>76</v>
      </c>
      <c r="K391" s="1" t="s">
        <v>29</v>
      </c>
      <c r="L391" s="1" t="s">
        <v>60</v>
      </c>
      <c r="M391" s="1" t="s">
        <v>109</v>
      </c>
      <c r="N391" s="1"/>
      <c r="O391" s="2"/>
      <c r="P391" s="1"/>
      <c r="S391" s="1"/>
      <c r="T391" s="1">
        <v>0</v>
      </c>
      <c r="U391" s="28"/>
      <c r="V391" s="1"/>
      <c r="W391" s="1"/>
      <c r="X391" s="1"/>
      <c r="Y391" s="2"/>
      <c r="Z391" s="1"/>
      <c r="AB391" s="1"/>
      <c r="AC391" s="28">
        <f t="shared" si="26"/>
        <v>109480</v>
      </c>
      <c r="AD391" s="1"/>
      <c r="AE391" s="1">
        <f t="shared" si="27"/>
        <v>0</v>
      </c>
      <c r="AF391" s="1"/>
      <c r="AG391" s="1"/>
      <c r="AL391" s="1"/>
      <c r="AO391" s="1"/>
    </row>
    <row r="392" spans="2:41" x14ac:dyDescent="0.25">
      <c r="B392" s="1" t="s">
        <v>1037</v>
      </c>
      <c r="C392" s="4" t="s">
        <v>630</v>
      </c>
      <c r="E392" s="2"/>
      <c r="H392" s="4" t="s">
        <v>342</v>
      </c>
      <c r="I392" s="4" t="s">
        <v>344</v>
      </c>
      <c r="J392" s="4" t="s">
        <v>76</v>
      </c>
      <c r="K392" s="1" t="s">
        <v>29</v>
      </c>
      <c r="L392" s="1" t="s">
        <v>60</v>
      </c>
      <c r="M392" s="1" t="s">
        <v>109</v>
      </c>
      <c r="N392" s="1"/>
      <c r="O392" s="2"/>
      <c r="P392" s="1"/>
      <c r="S392" s="1"/>
      <c r="T392" s="1">
        <v>0</v>
      </c>
      <c r="U392" s="28"/>
      <c r="V392" s="1"/>
      <c r="W392" s="1"/>
      <c r="X392" s="1"/>
      <c r="Y392" s="2"/>
      <c r="Z392" s="1"/>
      <c r="AB392" s="1"/>
      <c r="AC392" s="28">
        <f t="shared" si="26"/>
        <v>109480</v>
      </c>
      <c r="AD392" s="1"/>
      <c r="AE392" s="1">
        <f t="shared" si="27"/>
        <v>0</v>
      </c>
      <c r="AF392" s="1"/>
      <c r="AG392" s="1"/>
      <c r="AL392" s="1"/>
      <c r="AO392" s="1"/>
    </row>
    <row r="393" spans="2:41" x14ac:dyDescent="0.25">
      <c r="B393" s="1" t="s">
        <v>1037</v>
      </c>
      <c r="C393" s="4" t="s">
        <v>631</v>
      </c>
      <c r="E393" s="2"/>
      <c r="H393" s="4" t="s">
        <v>342</v>
      </c>
      <c r="I393" s="4" t="s">
        <v>344</v>
      </c>
      <c r="J393" s="4" t="s">
        <v>76</v>
      </c>
      <c r="K393" s="1" t="s">
        <v>29</v>
      </c>
      <c r="L393" s="1" t="s">
        <v>30</v>
      </c>
      <c r="M393" s="1" t="s">
        <v>109</v>
      </c>
      <c r="N393" s="1"/>
      <c r="O393" s="2"/>
      <c r="P393" s="1"/>
      <c r="S393" s="1"/>
      <c r="T393" s="1">
        <v>0</v>
      </c>
      <c r="U393" s="28"/>
      <c r="V393" s="1"/>
      <c r="W393" s="1"/>
      <c r="X393" s="1"/>
      <c r="Y393" s="2"/>
      <c r="Z393" s="1"/>
      <c r="AB393" s="1"/>
      <c r="AC393" s="28">
        <f t="shared" ref="AC393:AC424" si="28">68000*1.61</f>
        <v>109480</v>
      </c>
      <c r="AD393" s="1"/>
      <c r="AE393" s="1">
        <f t="shared" si="27"/>
        <v>0</v>
      </c>
      <c r="AF393" s="1"/>
      <c r="AG393" s="1"/>
      <c r="AL393" s="1"/>
      <c r="AO393" s="1"/>
    </row>
    <row r="394" spans="2:41" x14ac:dyDescent="0.25">
      <c r="B394" s="1" t="s">
        <v>1037</v>
      </c>
      <c r="C394" s="4" t="s">
        <v>631</v>
      </c>
      <c r="E394" s="2"/>
      <c r="H394" s="4" t="s">
        <v>342</v>
      </c>
      <c r="I394" s="4" t="s">
        <v>344</v>
      </c>
      <c r="J394" s="4" t="s">
        <v>76</v>
      </c>
      <c r="K394" s="1" t="s">
        <v>29</v>
      </c>
      <c r="L394" s="1" t="s">
        <v>30</v>
      </c>
      <c r="M394" s="1" t="s">
        <v>109</v>
      </c>
      <c r="N394" s="1"/>
      <c r="O394" s="2"/>
      <c r="P394" s="1"/>
      <c r="S394" s="1"/>
      <c r="T394" s="1">
        <v>0</v>
      </c>
      <c r="U394" s="28"/>
      <c r="V394" s="1"/>
      <c r="W394" s="1"/>
      <c r="X394" s="1"/>
      <c r="Y394" s="2"/>
      <c r="Z394" s="1"/>
      <c r="AB394" s="1"/>
      <c r="AC394" s="28">
        <f t="shared" si="28"/>
        <v>109480</v>
      </c>
      <c r="AD394" s="1"/>
      <c r="AE394" s="1">
        <f t="shared" si="27"/>
        <v>0</v>
      </c>
      <c r="AF394" s="1"/>
      <c r="AG394" s="1"/>
      <c r="AL394" s="1"/>
      <c r="AO394" s="1"/>
    </row>
    <row r="395" spans="2:41" x14ac:dyDescent="0.25">
      <c r="B395" s="1" t="s">
        <v>1037</v>
      </c>
      <c r="C395" s="4" t="s">
        <v>631</v>
      </c>
      <c r="E395" s="2"/>
      <c r="H395" s="4" t="s">
        <v>342</v>
      </c>
      <c r="I395" s="4" t="s">
        <v>344</v>
      </c>
      <c r="J395" s="4" t="s">
        <v>76</v>
      </c>
      <c r="K395" s="1" t="s">
        <v>29</v>
      </c>
      <c r="L395" s="1" t="s">
        <v>30</v>
      </c>
      <c r="M395" s="1" t="s">
        <v>109</v>
      </c>
      <c r="N395" s="1"/>
      <c r="O395" s="2"/>
      <c r="P395" s="1"/>
      <c r="S395" s="1"/>
      <c r="T395" s="1">
        <v>0</v>
      </c>
      <c r="U395" s="28"/>
      <c r="V395" s="1"/>
      <c r="W395" s="1"/>
      <c r="X395" s="1"/>
      <c r="Y395" s="2"/>
      <c r="Z395" s="1"/>
      <c r="AB395" s="1"/>
      <c r="AC395" s="28">
        <f t="shared" si="28"/>
        <v>109480</v>
      </c>
      <c r="AD395" s="1"/>
      <c r="AE395" s="1">
        <f t="shared" si="27"/>
        <v>0</v>
      </c>
      <c r="AF395" s="1"/>
      <c r="AG395" s="1"/>
      <c r="AL395" s="1"/>
      <c r="AO395" s="1"/>
    </row>
    <row r="396" spans="2:41" x14ac:dyDescent="0.25">
      <c r="B396" s="1" t="s">
        <v>1037</v>
      </c>
      <c r="C396" s="4" t="s">
        <v>631</v>
      </c>
      <c r="E396" s="2"/>
      <c r="H396" s="4" t="s">
        <v>342</v>
      </c>
      <c r="I396" s="4" t="s">
        <v>344</v>
      </c>
      <c r="J396" s="4" t="s">
        <v>76</v>
      </c>
      <c r="K396" s="1" t="s">
        <v>29</v>
      </c>
      <c r="L396" s="1" t="s">
        <v>30</v>
      </c>
      <c r="M396" s="1" t="s">
        <v>109</v>
      </c>
      <c r="N396" s="1"/>
      <c r="O396" s="2"/>
      <c r="P396" s="1"/>
      <c r="S396" s="1"/>
      <c r="T396" s="1">
        <v>0</v>
      </c>
      <c r="U396" s="28"/>
      <c r="V396" s="1"/>
      <c r="W396" s="1"/>
      <c r="X396" s="1"/>
      <c r="Y396" s="2"/>
      <c r="Z396" s="1"/>
      <c r="AB396" s="1"/>
      <c r="AC396" s="28">
        <f t="shared" si="28"/>
        <v>109480</v>
      </c>
      <c r="AD396" s="1"/>
      <c r="AE396" s="1">
        <f t="shared" si="27"/>
        <v>0</v>
      </c>
      <c r="AF396" s="1"/>
      <c r="AG396" s="1"/>
      <c r="AL396" s="1"/>
      <c r="AO396" s="1"/>
    </row>
    <row r="397" spans="2:41" x14ac:dyDescent="0.25">
      <c r="B397" s="1" t="s">
        <v>1037</v>
      </c>
      <c r="C397" s="4" t="s">
        <v>631</v>
      </c>
      <c r="E397" s="2"/>
      <c r="H397" s="4" t="s">
        <v>342</v>
      </c>
      <c r="I397" s="4" t="s">
        <v>344</v>
      </c>
      <c r="J397" s="4" t="s">
        <v>76</v>
      </c>
      <c r="K397" s="1" t="s">
        <v>29</v>
      </c>
      <c r="L397" s="1" t="s">
        <v>60</v>
      </c>
      <c r="M397" s="1" t="s">
        <v>109</v>
      </c>
      <c r="N397" s="1"/>
      <c r="O397" s="2"/>
      <c r="P397" s="1"/>
      <c r="S397" s="1"/>
      <c r="T397" s="1">
        <v>0</v>
      </c>
      <c r="U397" s="28"/>
      <c r="V397" s="1"/>
      <c r="W397" s="1"/>
      <c r="X397" s="1"/>
      <c r="Y397" s="2"/>
      <c r="Z397" s="1"/>
      <c r="AB397" s="1"/>
      <c r="AC397" s="28">
        <f t="shared" si="28"/>
        <v>109480</v>
      </c>
      <c r="AD397" s="1"/>
      <c r="AE397" s="1">
        <f t="shared" si="27"/>
        <v>0</v>
      </c>
      <c r="AF397" s="1"/>
      <c r="AG397" s="1"/>
      <c r="AL397" s="1"/>
      <c r="AO397" s="1"/>
    </row>
    <row r="398" spans="2:41" x14ac:dyDescent="0.25">
      <c r="B398" s="1" t="s">
        <v>1037</v>
      </c>
      <c r="C398" s="4" t="s">
        <v>631</v>
      </c>
      <c r="E398" s="2"/>
      <c r="H398" s="4" t="s">
        <v>342</v>
      </c>
      <c r="I398" s="4" t="s">
        <v>344</v>
      </c>
      <c r="J398" s="4" t="s">
        <v>76</v>
      </c>
      <c r="K398" s="1" t="s">
        <v>29</v>
      </c>
      <c r="L398" s="1" t="s">
        <v>60</v>
      </c>
      <c r="M398" s="1" t="s">
        <v>109</v>
      </c>
      <c r="N398" s="1"/>
      <c r="O398" s="2"/>
      <c r="P398" s="1"/>
      <c r="S398" s="1"/>
      <c r="T398" s="1">
        <v>0</v>
      </c>
      <c r="U398" s="28"/>
      <c r="V398" s="1"/>
      <c r="W398" s="1"/>
      <c r="X398" s="1"/>
      <c r="Y398" s="2"/>
      <c r="Z398" s="1"/>
      <c r="AB398" s="1"/>
      <c r="AC398" s="28">
        <f t="shared" si="28"/>
        <v>109480</v>
      </c>
      <c r="AD398" s="1"/>
      <c r="AE398" s="1">
        <f t="shared" si="27"/>
        <v>0</v>
      </c>
      <c r="AF398" s="1"/>
      <c r="AG398" s="1"/>
      <c r="AL398" s="1"/>
      <c r="AO398" s="1"/>
    </row>
    <row r="399" spans="2:41" x14ac:dyDescent="0.25">
      <c r="B399" s="1" t="s">
        <v>1037</v>
      </c>
      <c r="C399" s="4" t="s">
        <v>631</v>
      </c>
      <c r="E399" s="2"/>
      <c r="H399" s="4" t="s">
        <v>342</v>
      </c>
      <c r="I399" s="4" t="s">
        <v>344</v>
      </c>
      <c r="J399" s="4" t="s">
        <v>76</v>
      </c>
      <c r="K399" s="1" t="s">
        <v>29</v>
      </c>
      <c r="L399" s="1" t="s">
        <v>60</v>
      </c>
      <c r="M399" s="1" t="s">
        <v>109</v>
      </c>
      <c r="N399" s="1"/>
      <c r="O399" s="2"/>
      <c r="P399" s="1"/>
      <c r="S399" s="1"/>
      <c r="T399" s="1">
        <v>0</v>
      </c>
      <c r="U399" s="28"/>
      <c r="V399" s="1"/>
      <c r="W399" s="1"/>
      <c r="X399" s="1"/>
      <c r="Y399" s="2"/>
      <c r="Z399" s="1"/>
      <c r="AB399" s="1"/>
      <c r="AC399" s="28">
        <f t="shared" si="28"/>
        <v>109480</v>
      </c>
      <c r="AD399" s="1"/>
      <c r="AE399" s="1">
        <f t="shared" si="27"/>
        <v>0</v>
      </c>
      <c r="AF399" s="1"/>
      <c r="AG399" s="1"/>
      <c r="AL399" s="1"/>
      <c r="AO399" s="1"/>
    </row>
    <row r="400" spans="2:41" x14ac:dyDescent="0.25">
      <c r="B400" s="1" t="s">
        <v>1037</v>
      </c>
      <c r="C400" s="4" t="s">
        <v>631</v>
      </c>
      <c r="E400" s="2"/>
      <c r="H400" s="4" t="s">
        <v>342</v>
      </c>
      <c r="I400" s="4" t="s">
        <v>344</v>
      </c>
      <c r="J400" s="4" t="s">
        <v>76</v>
      </c>
      <c r="K400" s="1" t="s">
        <v>29</v>
      </c>
      <c r="L400" s="1" t="s">
        <v>60</v>
      </c>
      <c r="M400" s="1" t="s">
        <v>109</v>
      </c>
      <c r="N400" s="1"/>
      <c r="O400" s="2"/>
      <c r="P400" s="1"/>
      <c r="S400" s="1"/>
      <c r="T400" s="1">
        <v>0</v>
      </c>
      <c r="U400" s="28"/>
      <c r="V400" s="1"/>
      <c r="W400" s="1"/>
      <c r="X400" s="1"/>
      <c r="Y400" s="2"/>
      <c r="Z400" s="1"/>
      <c r="AB400" s="1"/>
      <c r="AC400" s="28">
        <f t="shared" si="28"/>
        <v>109480</v>
      </c>
      <c r="AD400" s="1"/>
      <c r="AE400" s="1">
        <f t="shared" si="27"/>
        <v>0</v>
      </c>
      <c r="AF400" s="1"/>
      <c r="AG400" s="1"/>
      <c r="AL400" s="1"/>
      <c r="AO400" s="1"/>
    </row>
    <row r="401" spans="2:41" x14ac:dyDescent="0.25">
      <c r="B401" s="1" t="s">
        <v>1037</v>
      </c>
      <c r="C401" s="4" t="s">
        <v>632</v>
      </c>
      <c r="E401" s="2"/>
      <c r="H401" s="4" t="s">
        <v>342</v>
      </c>
      <c r="I401" s="4" t="s">
        <v>344</v>
      </c>
      <c r="J401" s="4" t="s">
        <v>76</v>
      </c>
      <c r="K401" s="1"/>
      <c r="L401" s="1"/>
      <c r="M401" s="1"/>
      <c r="N401" s="1"/>
      <c r="O401" s="2" t="s">
        <v>619</v>
      </c>
      <c r="P401" s="1"/>
      <c r="S401" s="1"/>
      <c r="T401" s="1">
        <v>0</v>
      </c>
      <c r="U401" s="28"/>
      <c r="V401" s="1"/>
      <c r="W401" s="1"/>
      <c r="X401" s="1"/>
      <c r="Y401" s="2"/>
      <c r="Z401" s="1"/>
      <c r="AB401" s="1"/>
      <c r="AC401" s="28">
        <f t="shared" si="28"/>
        <v>109480</v>
      </c>
      <c r="AD401" s="1"/>
      <c r="AE401" s="1">
        <f t="shared" si="27"/>
        <v>0</v>
      </c>
      <c r="AF401" s="1"/>
      <c r="AG401" s="1"/>
      <c r="AL401" s="1"/>
      <c r="AO401" s="1"/>
    </row>
    <row r="402" spans="2:41" x14ac:dyDescent="0.25">
      <c r="B402" s="1" t="s">
        <v>1037</v>
      </c>
      <c r="C402" s="4" t="s">
        <v>633</v>
      </c>
      <c r="E402" s="2"/>
      <c r="H402" s="4" t="s">
        <v>342</v>
      </c>
      <c r="I402" s="4" t="s">
        <v>344</v>
      </c>
      <c r="J402" s="4" t="s">
        <v>76</v>
      </c>
      <c r="K402" s="1" t="s">
        <v>29</v>
      </c>
      <c r="L402" s="1" t="s">
        <v>30</v>
      </c>
      <c r="M402" s="1" t="s">
        <v>109</v>
      </c>
      <c r="N402" s="1"/>
      <c r="O402" s="2"/>
      <c r="P402" s="1"/>
      <c r="S402" s="1"/>
      <c r="T402" s="1">
        <v>0</v>
      </c>
      <c r="U402" s="28"/>
      <c r="V402" s="1"/>
      <c r="W402" s="1"/>
      <c r="X402" s="1"/>
      <c r="Y402" s="2"/>
      <c r="Z402" s="1"/>
      <c r="AB402" s="1"/>
      <c r="AC402" s="28">
        <f t="shared" si="28"/>
        <v>109480</v>
      </c>
      <c r="AD402" s="1"/>
      <c r="AE402" s="1">
        <f t="shared" si="27"/>
        <v>0</v>
      </c>
      <c r="AF402" s="1"/>
      <c r="AG402" s="1"/>
      <c r="AL402" s="1"/>
      <c r="AO402" s="1"/>
    </row>
    <row r="403" spans="2:41" x14ac:dyDescent="0.25">
      <c r="B403" s="1" t="s">
        <v>1037</v>
      </c>
      <c r="C403" s="4" t="s">
        <v>633</v>
      </c>
      <c r="E403" s="2"/>
      <c r="H403" s="4" t="s">
        <v>342</v>
      </c>
      <c r="I403" s="4" t="s">
        <v>344</v>
      </c>
      <c r="J403" s="4" t="s">
        <v>76</v>
      </c>
      <c r="K403" s="1" t="s">
        <v>29</v>
      </c>
      <c r="L403" s="1" t="s">
        <v>30</v>
      </c>
      <c r="M403" s="1" t="s">
        <v>109</v>
      </c>
      <c r="N403" s="1"/>
      <c r="O403" s="2"/>
      <c r="P403" s="1"/>
      <c r="S403" s="1"/>
      <c r="T403" s="1">
        <v>0</v>
      </c>
      <c r="U403" s="28"/>
      <c r="V403" s="1"/>
      <c r="W403" s="1"/>
      <c r="X403" s="1"/>
      <c r="Y403" s="2"/>
      <c r="Z403" s="1"/>
      <c r="AB403" s="1"/>
      <c r="AC403" s="28">
        <f t="shared" si="28"/>
        <v>109480</v>
      </c>
      <c r="AD403" s="1"/>
      <c r="AE403" s="1">
        <f t="shared" si="27"/>
        <v>0</v>
      </c>
      <c r="AF403" s="1"/>
      <c r="AG403" s="1"/>
      <c r="AL403" s="1"/>
      <c r="AO403" s="1"/>
    </row>
    <row r="404" spans="2:41" x14ac:dyDescent="0.25">
      <c r="B404" s="1" t="s">
        <v>1037</v>
      </c>
      <c r="C404" s="4" t="s">
        <v>633</v>
      </c>
      <c r="E404" s="2"/>
      <c r="H404" s="4" t="s">
        <v>342</v>
      </c>
      <c r="I404" s="4" t="s">
        <v>344</v>
      </c>
      <c r="J404" s="4" t="s">
        <v>76</v>
      </c>
      <c r="K404" s="1" t="s">
        <v>29</v>
      </c>
      <c r="L404" s="1" t="s">
        <v>30</v>
      </c>
      <c r="M404" s="1" t="s">
        <v>109</v>
      </c>
      <c r="N404" s="1"/>
      <c r="O404" s="2"/>
      <c r="P404" s="1"/>
      <c r="S404" s="1"/>
      <c r="T404" s="1">
        <v>0</v>
      </c>
      <c r="U404" s="28"/>
      <c r="V404" s="1"/>
      <c r="W404" s="1"/>
      <c r="X404" s="1"/>
      <c r="Y404" s="2"/>
      <c r="Z404" s="1"/>
      <c r="AB404" s="1"/>
      <c r="AC404" s="28">
        <f t="shared" si="28"/>
        <v>109480</v>
      </c>
      <c r="AD404" s="1"/>
      <c r="AE404" s="1">
        <f t="shared" si="27"/>
        <v>0</v>
      </c>
      <c r="AF404" s="1"/>
      <c r="AG404" s="1"/>
      <c r="AL404" s="1"/>
      <c r="AO404" s="1"/>
    </row>
    <row r="405" spans="2:41" x14ac:dyDescent="0.25">
      <c r="B405" s="1" t="s">
        <v>1037</v>
      </c>
      <c r="C405" s="4" t="s">
        <v>683</v>
      </c>
      <c r="D405" s="28">
        <v>0</v>
      </c>
      <c r="H405" s="4" t="s">
        <v>211</v>
      </c>
      <c r="I405" s="4" t="s">
        <v>75</v>
      </c>
      <c r="J405" s="3" t="s">
        <v>101</v>
      </c>
      <c r="K405" s="1" t="s">
        <v>29</v>
      </c>
      <c r="L405" s="1" t="s">
        <v>55</v>
      </c>
      <c r="M405" s="1"/>
      <c r="N405" s="1"/>
      <c r="O405" s="2"/>
      <c r="P405" s="1"/>
      <c r="S405" s="13"/>
      <c r="T405" s="1">
        <v>0</v>
      </c>
      <c r="U405" s="36">
        <v>10</v>
      </c>
      <c r="V405" s="13"/>
      <c r="W405" s="13"/>
      <c r="X405" s="13"/>
      <c r="Y405" s="2"/>
      <c r="Z405" s="1"/>
      <c r="AB405" s="11" t="s">
        <v>216</v>
      </c>
      <c r="AC405" s="32">
        <f t="shared" si="28"/>
        <v>109480</v>
      </c>
      <c r="AD405" s="1"/>
      <c r="AE405" s="1">
        <f t="shared" si="27"/>
        <v>0</v>
      </c>
      <c r="AF405" s="1"/>
      <c r="AG405" s="1"/>
      <c r="AL405" s="1"/>
      <c r="AO405" s="1"/>
    </row>
    <row r="406" spans="2:41" x14ac:dyDescent="0.25">
      <c r="B406" s="1" t="s">
        <v>1037</v>
      </c>
      <c r="C406" s="4" t="s">
        <v>633</v>
      </c>
      <c r="E406" s="2"/>
      <c r="H406" s="4" t="s">
        <v>342</v>
      </c>
      <c r="I406" s="4" t="s">
        <v>344</v>
      </c>
      <c r="J406" s="4" t="s">
        <v>76</v>
      </c>
      <c r="K406" s="1" t="s">
        <v>29</v>
      </c>
      <c r="L406" s="1" t="s">
        <v>30</v>
      </c>
      <c r="M406" s="1" t="s">
        <v>109</v>
      </c>
      <c r="N406" s="1"/>
      <c r="O406" s="2"/>
      <c r="P406" s="1"/>
      <c r="S406" s="1"/>
      <c r="T406" s="1">
        <v>0</v>
      </c>
      <c r="U406" s="28"/>
      <c r="V406" s="1"/>
      <c r="W406" s="1"/>
      <c r="X406" s="1"/>
      <c r="Y406" s="2"/>
      <c r="Z406" s="1"/>
      <c r="AB406" s="1"/>
      <c r="AC406" s="28">
        <f t="shared" si="28"/>
        <v>109480</v>
      </c>
      <c r="AD406" s="1"/>
      <c r="AE406" s="1">
        <f t="shared" si="27"/>
        <v>0</v>
      </c>
      <c r="AF406" s="1"/>
      <c r="AG406" s="1"/>
      <c r="AL406" s="1"/>
      <c r="AO406" s="1"/>
    </row>
    <row r="407" spans="2:41" x14ac:dyDescent="0.25">
      <c r="B407" s="1" t="s">
        <v>1037</v>
      </c>
      <c r="C407" s="4" t="s">
        <v>633</v>
      </c>
      <c r="E407" s="2"/>
      <c r="H407" s="4" t="s">
        <v>342</v>
      </c>
      <c r="I407" s="4" t="s">
        <v>344</v>
      </c>
      <c r="J407" s="4" t="s">
        <v>76</v>
      </c>
      <c r="K407" s="1" t="s">
        <v>29</v>
      </c>
      <c r="L407" s="1" t="s">
        <v>60</v>
      </c>
      <c r="M407" s="1" t="s">
        <v>109</v>
      </c>
      <c r="N407" s="1"/>
      <c r="O407" s="2"/>
      <c r="P407" s="1"/>
      <c r="S407" s="1"/>
      <c r="T407" s="1">
        <v>0</v>
      </c>
      <c r="U407" s="28"/>
      <c r="V407" s="1"/>
      <c r="W407" s="1"/>
      <c r="X407" s="1"/>
      <c r="Y407" s="2"/>
      <c r="Z407" s="1"/>
      <c r="AB407" s="1"/>
      <c r="AC407" s="28">
        <f t="shared" si="28"/>
        <v>109480</v>
      </c>
      <c r="AD407" s="1"/>
      <c r="AE407" s="1">
        <f t="shared" si="27"/>
        <v>0</v>
      </c>
      <c r="AF407" s="1"/>
      <c r="AG407" s="1"/>
      <c r="AL407" s="1"/>
      <c r="AO407" s="1"/>
    </row>
    <row r="408" spans="2:41" x14ac:dyDescent="0.25">
      <c r="B408" s="1" t="s">
        <v>1037</v>
      </c>
      <c r="C408" s="4" t="s">
        <v>633</v>
      </c>
      <c r="E408" s="2"/>
      <c r="H408" s="4" t="s">
        <v>342</v>
      </c>
      <c r="I408" s="4" t="s">
        <v>344</v>
      </c>
      <c r="J408" s="4" t="s">
        <v>76</v>
      </c>
      <c r="K408" s="1" t="s">
        <v>29</v>
      </c>
      <c r="L408" s="1" t="s">
        <v>60</v>
      </c>
      <c r="M408" s="1" t="s">
        <v>109</v>
      </c>
      <c r="N408" s="1"/>
      <c r="O408" s="2"/>
      <c r="P408" s="1"/>
      <c r="S408" s="1"/>
      <c r="T408" s="1">
        <v>0</v>
      </c>
      <c r="U408" s="28"/>
      <c r="V408" s="1"/>
      <c r="W408" s="1"/>
      <c r="X408" s="1"/>
      <c r="Y408" s="2"/>
      <c r="Z408" s="1"/>
      <c r="AB408" s="1"/>
      <c r="AC408" s="28">
        <f t="shared" si="28"/>
        <v>109480</v>
      </c>
      <c r="AD408" s="1"/>
      <c r="AE408" s="1">
        <f t="shared" si="27"/>
        <v>0</v>
      </c>
      <c r="AF408" s="1"/>
      <c r="AG408" s="1"/>
      <c r="AL408" s="1"/>
      <c r="AO408" s="1"/>
    </row>
    <row r="409" spans="2:41" x14ac:dyDescent="0.25">
      <c r="B409" s="1" t="s">
        <v>1037</v>
      </c>
      <c r="C409" s="4" t="s">
        <v>633</v>
      </c>
      <c r="E409" s="2"/>
      <c r="H409" s="4" t="s">
        <v>342</v>
      </c>
      <c r="I409" s="4" t="s">
        <v>344</v>
      </c>
      <c r="J409" s="4" t="s">
        <v>76</v>
      </c>
      <c r="K409" s="1" t="s">
        <v>29</v>
      </c>
      <c r="L409" s="1" t="s">
        <v>60</v>
      </c>
      <c r="M409" s="1" t="s">
        <v>109</v>
      </c>
      <c r="N409" s="1"/>
      <c r="O409" s="2"/>
      <c r="P409" s="1"/>
      <c r="S409" s="1"/>
      <c r="T409" s="1">
        <v>0</v>
      </c>
      <c r="U409" s="28"/>
      <c r="V409" s="1"/>
      <c r="W409" s="1"/>
      <c r="X409" s="1"/>
      <c r="Y409" s="2"/>
      <c r="Z409" s="1"/>
      <c r="AB409" s="1"/>
      <c r="AC409" s="28">
        <f t="shared" si="28"/>
        <v>109480</v>
      </c>
      <c r="AD409" s="1"/>
      <c r="AE409" s="1">
        <f t="shared" si="27"/>
        <v>0</v>
      </c>
      <c r="AF409" s="1"/>
      <c r="AG409" s="1"/>
      <c r="AL409" s="1"/>
      <c r="AO409" s="1"/>
    </row>
    <row r="410" spans="2:41" x14ac:dyDescent="0.25">
      <c r="B410" s="1" t="s">
        <v>1037</v>
      </c>
      <c r="C410" s="4" t="s">
        <v>633</v>
      </c>
      <c r="E410" s="2"/>
      <c r="H410" s="4" t="s">
        <v>342</v>
      </c>
      <c r="I410" s="4" t="s">
        <v>344</v>
      </c>
      <c r="J410" s="4" t="s">
        <v>76</v>
      </c>
      <c r="K410" s="1" t="s">
        <v>29</v>
      </c>
      <c r="L410" s="1" t="s">
        <v>60</v>
      </c>
      <c r="M410" s="1" t="s">
        <v>109</v>
      </c>
      <c r="N410" s="1"/>
      <c r="O410" s="2"/>
      <c r="P410" s="1"/>
      <c r="S410" s="1"/>
      <c r="T410" s="1">
        <v>0</v>
      </c>
      <c r="U410" s="28"/>
      <c r="V410" s="1"/>
      <c r="W410" s="1"/>
      <c r="X410" s="1"/>
      <c r="Y410" s="2"/>
      <c r="Z410" s="1"/>
      <c r="AB410" s="1"/>
      <c r="AC410" s="28">
        <f t="shared" si="28"/>
        <v>109480</v>
      </c>
      <c r="AD410" s="1"/>
      <c r="AE410" s="1">
        <f t="shared" si="27"/>
        <v>0</v>
      </c>
      <c r="AF410" s="1"/>
      <c r="AG410" s="1"/>
      <c r="AL410" s="1"/>
      <c r="AO410" s="1"/>
    </row>
    <row r="411" spans="2:41" x14ac:dyDescent="0.25">
      <c r="B411" s="1" t="s">
        <v>1037</v>
      </c>
      <c r="C411" s="4" t="s">
        <v>682</v>
      </c>
      <c r="H411" s="4" t="s">
        <v>211</v>
      </c>
      <c r="I411" s="4" t="s">
        <v>75</v>
      </c>
      <c r="J411" s="3" t="s">
        <v>101</v>
      </c>
      <c r="K411" s="1" t="s">
        <v>29</v>
      </c>
      <c r="L411" s="1"/>
      <c r="M411" s="1"/>
      <c r="N411" s="1"/>
      <c r="O411" s="2"/>
      <c r="P411" s="1"/>
      <c r="S411" s="1"/>
      <c r="T411" s="1">
        <v>0</v>
      </c>
      <c r="U411" s="28"/>
      <c r="V411" s="1"/>
      <c r="W411" s="1"/>
      <c r="X411" s="1"/>
      <c r="Y411" s="2"/>
      <c r="Z411" s="1"/>
      <c r="AB411" s="1"/>
      <c r="AC411" s="28">
        <f t="shared" si="28"/>
        <v>109480</v>
      </c>
      <c r="AD411" s="1"/>
      <c r="AE411" s="1">
        <f t="shared" si="27"/>
        <v>0</v>
      </c>
      <c r="AF411" s="1"/>
      <c r="AG411" s="1"/>
      <c r="AL411" s="1"/>
      <c r="AO411" s="1"/>
    </row>
    <row r="412" spans="2:41" x14ac:dyDescent="0.25">
      <c r="B412" s="1" t="s">
        <v>1037</v>
      </c>
      <c r="C412" s="4" t="s">
        <v>689</v>
      </c>
      <c r="I412" s="4" t="s">
        <v>685</v>
      </c>
      <c r="J412" s="3"/>
      <c r="K412" s="1"/>
      <c r="L412" s="1"/>
      <c r="M412" s="1"/>
      <c r="N412" s="1"/>
      <c r="O412" s="2"/>
      <c r="P412" s="1"/>
      <c r="S412" s="1"/>
      <c r="T412" s="1">
        <v>0</v>
      </c>
      <c r="U412" s="28"/>
      <c r="V412" s="1"/>
      <c r="W412" s="1"/>
      <c r="X412" s="1"/>
      <c r="Y412" s="2"/>
      <c r="Z412" s="1"/>
      <c r="AB412" s="1"/>
      <c r="AC412" s="28">
        <f t="shared" si="28"/>
        <v>109480</v>
      </c>
      <c r="AD412" s="1"/>
      <c r="AE412" s="1">
        <f t="shared" si="27"/>
        <v>0</v>
      </c>
      <c r="AF412" s="1"/>
      <c r="AG412" s="1"/>
      <c r="AL412" s="1"/>
      <c r="AO412" s="1"/>
    </row>
    <row r="413" spans="2:41" x14ac:dyDescent="0.25">
      <c r="B413" s="1" t="s">
        <v>1037</v>
      </c>
      <c r="C413" s="4" t="s">
        <v>694</v>
      </c>
      <c r="H413" s="4" t="s">
        <v>227</v>
      </c>
      <c r="I413" s="4" t="s">
        <v>695</v>
      </c>
      <c r="J413" s="3"/>
      <c r="K413" s="1"/>
      <c r="L413" s="1"/>
      <c r="M413" s="1"/>
      <c r="N413" s="1"/>
      <c r="O413" s="2"/>
      <c r="P413" s="1"/>
      <c r="S413" s="1"/>
      <c r="T413" s="1">
        <v>0</v>
      </c>
      <c r="U413" s="28"/>
      <c r="V413" s="1"/>
      <c r="W413" s="1"/>
      <c r="X413" s="1"/>
      <c r="Y413" s="2"/>
      <c r="Z413" s="1"/>
      <c r="AB413" s="1"/>
      <c r="AC413" s="28">
        <f t="shared" si="28"/>
        <v>109480</v>
      </c>
      <c r="AD413" s="1"/>
      <c r="AE413" s="1">
        <f t="shared" si="27"/>
        <v>0</v>
      </c>
      <c r="AF413" s="1"/>
      <c r="AG413" s="1"/>
      <c r="AL413" s="1"/>
      <c r="AO413" s="1"/>
    </row>
    <row r="414" spans="2:41" x14ac:dyDescent="0.25">
      <c r="B414" s="1" t="s">
        <v>1037</v>
      </c>
      <c r="C414" s="4" t="s">
        <v>696</v>
      </c>
      <c r="H414" s="4" t="s">
        <v>193</v>
      </c>
      <c r="I414" s="4" t="s">
        <v>603</v>
      </c>
      <c r="J414" s="3"/>
      <c r="K414" s="1"/>
      <c r="L414" s="1"/>
      <c r="M414" s="1"/>
      <c r="N414" s="1"/>
      <c r="P414" s="1"/>
      <c r="Q414" s="2" t="s">
        <v>697</v>
      </c>
      <c r="R414" s="1" t="s">
        <v>698</v>
      </c>
      <c r="S414" s="1"/>
      <c r="T414" s="1">
        <v>0</v>
      </c>
      <c r="U414" s="28"/>
      <c r="V414" s="1"/>
      <c r="W414" s="1"/>
      <c r="X414" s="1"/>
      <c r="Y414" s="2"/>
      <c r="Z414" s="1"/>
      <c r="AB414" s="1" t="s">
        <v>67</v>
      </c>
      <c r="AC414" s="28">
        <f t="shared" si="28"/>
        <v>109480</v>
      </c>
      <c r="AD414" s="1"/>
      <c r="AE414" s="1">
        <f t="shared" si="27"/>
        <v>0</v>
      </c>
      <c r="AF414" s="1"/>
      <c r="AG414" s="1"/>
      <c r="AL414" s="1"/>
      <c r="AO414" s="1"/>
    </row>
    <row r="415" spans="2:41" ht="75" x14ac:dyDescent="0.25">
      <c r="B415" s="1" t="s">
        <v>1037</v>
      </c>
      <c r="C415" s="4" t="s">
        <v>768</v>
      </c>
      <c r="D415" s="28">
        <v>0</v>
      </c>
      <c r="H415" s="4" t="s">
        <v>532</v>
      </c>
      <c r="I415" s="4" t="s">
        <v>295</v>
      </c>
      <c r="J415" s="4"/>
      <c r="K415" s="1"/>
      <c r="L415" s="1"/>
      <c r="M415" s="1"/>
      <c r="N415" s="1"/>
      <c r="O415" s="2"/>
      <c r="P415" s="1"/>
      <c r="S415" s="13"/>
      <c r="T415" s="1">
        <v>0</v>
      </c>
      <c r="U415" s="36">
        <v>69</v>
      </c>
      <c r="V415" s="13"/>
      <c r="W415" s="13"/>
      <c r="X415" s="13"/>
      <c r="Y415" s="2" t="s">
        <v>769</v>
      </c>
      <c r="Z415" s="1"/>
      <c r="AB415" s="1" t="s">
        <v>94</v>
      </c>
      <c r="AC415" s="28">
        <f t="shared" si="28"/>
        <v>109480</v>
      </c>
      <c r="AD415" s="1"/>
      <c r="AE415" s="1">
        <f t="shared" si="27"/>
        <v>0</v>
      </c>
      <c r="AF415" s="1"/>
      <c r="AG415" s="1"/>
      <c r="AL415" s="1"/>
      <c r="AO415" s="1"/>
    </row>
    <row r="416" spans="2:41" ht="75" x14ac:dyDescent="0.25">
      <c r="B416" s="1" t="s">
        <v>1037</v>
      </c>
      <c r="C416" s="4" t="s">
        <v>770</v>
      </c>
      <c r="D416" s="33">
        <v>0</v>
      </c>
      <c r="H416" s="4" t="s">
        <v>532</v>
      </c>
      <c r="I416" s="4" t="s">
        <v>295</v>
      </c>
      <c r="J416" s="4"/>
      <c r="K416" s="1"/>
      <c r="L416" s="1"/>
      <c r="M416" s="1"/>
      <c r="N416" s="1"/>
      <c r="O416" s="2"/>
      <c r="P416" s="1"/>
      <c r="S416" s="2"/>
      <c r="T416" s="1">
        <v>0</v>
      </c>
      <c r="U416" s="33">
        <v>133</v>
      </c>
      <c r="W416" s="2"/>
      <c r="X416" s="2"/>
      <c r="Y416" s="2" t="s">
        <v>771</v>
      </c>
      <c r="Z416" s="1"/>
      <c r="AB416" s="1" t="s">
        <v>94</v>
      </c>
      <c r="AC416" s="28">
        <f t="shared" si="28"/>
        <v>109480</v>
      </c>
      <c r="AD416" s="1"/>
      <c r="AE416" s="1">
        <f t="shared" si="27"/>
        <v>0</v>
      </c>
      <c r="AF416" s="1"/>
      <c r="AG416" s="1"/>
      <c r="AL416" s="1"/>
      <c r="AO416" s="1"/>
    </row>
    <row r="417" spans="1:41" x14ac:dyDescent="0.25">
      <c r="B417" s="1" t="s">
        <v>1037</v>
      </c>
      <c r="C417" s="4" t="s">
        <v>696</v>
      </c>
      <c r="H417" s="4" t="s">
        <v>193</v>
      </c>
      <c r="I417" s="4" t="s">
        <v>680</v>
      </c>
      <c r="J417" s="4"/>
      <c r="K417" s="1"/>
      <c r="L417" s="1"/>
      <c r="M417" s="1"/>
      <c r="N417" s="1"/>
      <c r="O417" s="2"/>
      <c r="P417" s="1"/>
      <c r="Q417" s="2" t="s">
        <v>1341</v>
      </c>
      <c r="R417" s="1" t="s">
        <v>729</v>
      </c>
      <c r="S417" s="1"/>
      <c r="T417" s="1">
        <v>0</v>
      </c>
      <c r="U417" s="28"/>
      <c r="V417" s="1"/>
      <c r="W417" s="1"/>
      <c r="X417" s="1"/>
      <c r="Y417" s="2"/>
      <c r="Z417" s="1"/>
      <c r="AB417" s="1"/>
      <c r="AC417" s="28">
        <f t="shared" si="28"/>
        <v>109480</v>
      </c>
      <c r="AD417" s="1"/>
      <c r="AE417" s="1">
        <f t="shared" si="27"/>
        <v>0</v>
      </c>
      <c r="AF417" s="1"/>
      <c r="AG417" s="1"/>
      <c r="AL417" s="1"/>
      <c r="AO417" s="1"/>
    </row>
    <row r="418" spans="1:41" x14ac:dyDescent="0.25">
      <c r="B418" s="1" t="s">
        <v>1291</v>
      </c>
      <c r="C418" s="4" t="s">
        <v>1320</v>
      </c>
      <c r="E418" s="2"/>
      <c r="F418" s="1" t="s">
        <v>1307</v>
      </c>
      <c r="G418" s="1" t="s">
        <v>1322</v>
      </c>
      <c r="H418" s="4" t="s">
        <v>193</v>
      </c>
      <c r="I418" s="4" t="s">
        <v>1334</v>
      </c>
      <c r="J418" s="3"/>
      <c r="K418" s="1"/>
      <c r="L418" s="1"/>
      <c r="M418" s="1"/>
      <c r="N418" s="1"/>
      <c r="P418" s="1"/>
      <c r="Q418" s="2" t="s">
        <v>1320</v>
      </c>
      <c r="R418" s="2" t="s">
        <v>1321</v>
      </c>
      <c r="S418" s="1"/>
      <c r="T418" s="1">
        <v>0</v>
      </c>
      <c r="U418" s="28"/>
      <c r="V418" s="1"/>
      <c r="W418" s="1"/>
      <c r="X418" s="1"/>
      <c r="Y418" s="2"/>
      <c r="Z418" s="1"/>
      <c r="AB418" s="1"/>
      <c r="AC418" s="28">
        <f t="shared" si="28"/>
        <v>109480</v>
      </c>
      <c r="AD418" s="1"/>
      <c r="AE418" s="1">
        <f t="shared" si="27"/>
        <v>0</v>
      </c>
      <c r="AF418" s="1"/>
      <c r="AG418" s="1"/>
      <c r="AL418" s="1"/>
      <c r="AO418" s="1"/>
    </row>
    <row r="419" spans="1:41" x14ac:dyDescent="0.25">
      <c r="B419" s="1" t="s">
        <v>1291</v>
      </c>
      <c r="C419" s="4" t="s">
        <v>1320</v>
      </c>
      <c r="E419" s="2"/>
      <c r="F419" s="1" t="s">
        <v>1307</v>
      </c>
      <c r="G419" s="1" t="s">
        <v>1322</v>
      </c>
      <c r="H419" s="4" t="s">
        <v>193</v>
      </c>
      <c r="I419" s="4" t="s">
        <v>1334</v>
      </c>
      <c r="J419" s="3"/>
      <c r="K419" s="1"/>
      <c r="L419" s="1"/>
      <c r="M419" s="1"/>
      <c r="N419" s="1"/>
      <c r="P419" s="1"/>
      <c r="Q419" s="2" t="s">
        <v>1320</v>
      </c>
      <c r="R419" s="2" t="s">
        <v>1323</v>
      </c>
      <c r="S419" s="1"/>
      <c r="T419" s="1">
        <v>0</v>
      </c>
      <c r="U419" s="28"/>
      <c r="V419" s="1"/>
      <c r="W419" s="1"/>
      <c r="X419" s="1"/>
      <c r="Y419" s="2"/>
      <c r="Z419" s="1"/>
      <c r="AB419" s="1"/>
      <c r="AC419" s="28">
        <f t="shared" si="28"/>
        <v>109480</v>
      </c>
      <c r="AD419" s="1"/>
      <c r="AE419" s="1">
        <f t="shared" si="27"/>
        <v>0</v>
      </c>
      <c r="AF419" s="1"/>
      <c r="AG419" s="1"/>
      <c r="AL419" s="1"/>
      <c r="AO419" s="1"/>
    </row>
    <row r="420" spans="1:41" x14ac:dyDescent="0.25">
      <c r="B420" s="1" t="s">
        <v>1291</v>
      </c>
      <c r="C420" s="4" t="s">
        <v>1330</v>
      </c>
      <c r="F420" s="1" t="s">
        <v>1307</v>
      </c>
      <c r="G420" s="1" t="s">
        <v>1306</v>
      </c>
      <c r="H420" s="4" t="s">
        <v>193</v>
      </c>
      <c r="I420" s="4"/>
      <c r="J420" s="4"/>
      <c r="K420" s="1"/>
      <c r="L420" s="1"/>
      <c r="M420" s="1"/>
      <c r="N420" s="1"/>
      <c r="P420" s="1"/>
      <c r="Q420" s="2" t="s">
        <v>1328</v>
      </c>
      <c r="R420" s="1" t="s">
        <v>1329</v>
      </c>
      <c r="S420" s="1"/>
      <c r="T420" s="1">
        <v>0</v>
      </c>
      <c r="U420" s="28"/>
      <c r="V420" s="1"/>
      <c r="W420" s="1"/>
      <c r="X420" s="1"/>
      <c r="Y420" s="2"/>
      <c r="Z420" s="1"/>
      <c r="AB420" s="1"/>
      <c r="AC420" s="28">
        <f t="shared" si="28"/>
        <v>109480</v>
      </c>
      <c r="AD420" s="1"/>
      <c r="AE420" s="1">
        <f t="shared" si="27"/>
        <v>0</v>
      </c>
      <c r="AF420" s="1"/>
      <c r="AG420" s="1"/>
      <c r="AL420" s="1"/>
      <c r="AO420" s="1"/>
    </row>
    <row r="421" spans="1:41" x14ac:dyDescent="0.25">
      <c r="B421" s="1" t="s">
        <v>1291</v>
      </c>
      <c r="C421" s="4" t="s">
        <v>1337</v>
      </c>
      <c r="E421" s="2"/>
      <c r="F421" s="1" t="s">
        <v>1307</v>
      </c>
      <c r="G421" s="1" t="s">
        <v>1306</v>
      </c>
      <c r="H421" s="4" t="s">
        <v>227</v>
      </c>
      <c r="I421" s="4" t="s">
        <v>1334</v>
      </c>
      <c r="J421" s="3"/>
      <c r="K421" s="1"/>
      <c r="L421" s="1"/>
      <c r="M421" s="1"/>
      <c r="N421" s="1"/>
      <c r="P421" s="1"/>
      <c r="Q421" s="2" t="s">
        <v>1337</v>
      </c>
      <c r="R421" s="2" t="s">
        <v>1338</v>
      </c>
      <c r="S421" s="1"/>
      <c r="T421" s="1">
        <v>0</v>
      </c>
      <c r="U421" s="28"/>
      <c r="V421" s="1"/>
      <c r="W421" s="1"/>
      <c r="X421" s="1"/>
      <c r="Y421" s="2"/>
      <c r="Z421" s="1"/>
      <c r="AB421" s="1"/>
      <c r="AC421" s="28">
        <f t="shared" si="28"/>
        <v>109480</v>
      </c>
      <c r="AD421" s="1"/>
      <c r="AE421" s="1">
        <f t="shared" si="27"/>
        <v>0</v>
      </c>
      <c r="AF421" s="1"/>
      <c r="AG421" s="1"/>
      <c r="AL421" s="1"/>
      <c r="AO421" s="1"/>
    </row>
    <row r="422" spans="1:41" x14ac:dyDescent="0.25">
      <c r="B422" s="1" t="s">
        <v>1291</v>
      </c>
      <c r="C422" s="4" t="s">
        <v>1335</v>
      </c>
      <c r="E422" s="2"/>
      <c r="F422" s="1" t="s">
        <v>1318</v>
      </c>
      <c r="G422" s="1" t="s">
        <v>1336</v>
      </c>
      <c r="H422" s="4" t="s">
        <v>227</v>
      </c>
      <c r="I422" s="4" t="s">
        <v>680</v>
      </c>
      <c r="J422" s="3"/>
      <c r="K422" s="1"/>
      <c r="L422" s="1"/>
      <c r="M422" s="1"/>
      <c r="N422" s="1"/>
      <c r="P422" s="1"/>
      <c r="Q422" s="2" t="s">
        <v>1335</v>
      </c>
      <c r="R422" s="2" t="s">
        <v>746</v>
      </c>
      <c r="S422" s="1"/>
      <c r="T422" s="1">
        <v>0</v>
      </c>
      <c r="U422" s="28"/>
      <c r="V422" s="1"/>
      <c r="W422" s="1"/>
      <c r="X422" s="1"/>
      <c r="Y422" s="2"/>
      <c r="Z422" s="1"/>
      <c r="AB422" s="1"/>
      <c r="AC422" s="28">
        <f t="shared" si="28"/>
        <v>109480</v>
      </c>
      <c r="AD422" s="1"/>
      <c r="AE422" s="1">
        <f t="shared" si="27"/>
        <v>0</v>
      </c>
      <c r="AF422" s="1"/>
      <c r="AG422" s="1"/>
      <c r="AL422" s="1"/>
      <c r="AO422" s="1"/>
    </row>
    <row r="423" spans="1:41" x14ac:dyDescent="0.25">
      <c r="B423" s="1" t="s">
        <v>1037</v>
      </c>
      <c r="C423" s="4" t="s">
        <v>779</v>
      </c>
      <c r="H423" s="4" t="s">
        <v>25</v>
      </c>
      <c r="I423" s="4" t="s">
        <v>335</v>
      </c>
      <c r="J423" s="3"/>
      <c r="K423" s="1"/>
      <c r="L423" s="1"/>
      <c r="M423" s="1"/>
      <c r="N423" s="1"/>
      <c r="O423" s="2"/>
      <c r="P423" s="1"/>
      <c r="S423" s="1"/>
      <c r="T423" s="1">
        <v>0</v>
      </c>
      <c r="U423" s="28"/>
      <c r="V423" s="1"/>
      <c r="W423" s="1"/>
      <c r="X423" s="1"/>
      <c r="Y423" s="2"/>
      <c r="Z423" s="1"/>
      <c r="AA423" s="1" t="s">
        <v>780</v>
      </c>
      <c r="AB423" s="1"/>
      <c r="AC423" s="28">
        <f t="shared" si="28"/>
        <v>109480</v>
      </c>
      <c r="AD423" s="1"/>
      <c r="AE423" s="1">
        <f t="shared" si="27"/>
        <v>0</v>
      </c>
    </row>
    <row r="424" spans="1:41" x14ac:dyDescent="0.25">
      <c r="B424" s="1" t="s">
        <v>1220</v>
      </c>
      <c r="C424" s="4" t="s">
        <v>791</v>
      </c>
      <c r="H424" s="4" t="s">
        <v>223</v>
      </c>
      <c r="I424" s="4" t="s">
        <v>344</v>
      </c>
      <c r="J424" s="4" t="s">
        <v>101</v>
      </c>
      <c r="K424" s="1"/>
      <c r="L424" s="1"/>
      <c r="M424" s="1"/>
      <c r="N424" s="1"/>
      <c r="P424" s="1"/>
      <c r="S424" s="1"/>
      <c r="T424" s="1">
        <v>0</v>
      </c>
      <c r="U424" s="28"/>
      <c r="V424" s="1"/>
      <c r="W424" s="1"/>
      <c r="X424" s="1"/>
      <c r="Y424" s="2"/>
      <c r="Z424" s="1"/>
      <c r="AB424" s="1" t="s">
        <v>792</v>
      </c>
      <c r="AC424" s="28">
        <f t="shared" si="28"/>
        <v>109480</v>
      </c>
      <c r="AD424" s="1"/>
      <c r="AE424" s="1">
        <f t="shared" si="27"/>
        <v>0</v>
      </c>
    </row>
    <row r="425" spans="1:41" x14ac:dyDescent="0.25">
      <c r="B425" s="1" t="s">
        <v>1220</v>
      </c>
      <c r="C425" s="4" t="s">
        <v>803</v>
      </c>
      <c r="H425" s="4" t="s">
        <v>223</v>
      </c>
      <c r="I425" s="19" t="s">
        <v>151</v>
      </c>
      <c r="J425" s="3"/>
      <c r="K425" s="1"/>
      <c r="L425" s="1"/>
      <c r="M425" s="1"/>
      <c r="N425" s="1"/>
      <c r="O425" s="2"/>
      <c r="P425" s="1"/>
      <c r="S425" s="7"/>
      <c r="T425" s="1">
        <v>0</v>
      </c>
      <c r="U425" s="38">
        <v>5</v>
      </c>
      <c r="V425" s="7"/>
      <c r="W425" s="7"/>
      <c r="X425" s="7"/>
      <c r="Y425" s="2"/>
      <c r="Z425" s="1"/>
      <c r="AB425" s="11" t="s">
        <v>216</v>
      </c>
      <c r="AC425" s="32">
        <f t="shared" ref="AC425:AC432" si="29">68000*1.61</f>
        <v>109480</v>
      </c>
      <c r="AD425" s="1"/>
      <c r="AE425" s="1">
        <f t="shared" si="27"/>
        <v>0</v>
      </c>
    </row>
    <row r="426" spans="1:41" ht="60" x14ac:dyDescent="0.25">
      <c r="B426" s="1" t="s">
        <v>1220</v>
      </c>
      <c r="C426" s="4" t="s">
        <v>804</v>
      </c>
      <c r="H426" s="4" t="s">
        <v>805</v>
      </c>
      <c r="I426" s="4" t="s">
        <v>783</v>
      </c>
      <c r="J426" s="3"/>
      <c r="K426" s="1"/>
      <c r="L426" s="1"/>
      <c r="M426" s="1"/>
      <c r="N426" s="1"/>
      <c r="P426" s="1"/>
      <c r="S426" s="1"/>
      <c r="T426" s="1">
        <v>0</v>
      </c>
      <c r="U426" s="28" t="s">
        <v>806</v>
      </c>
      <c r="V426" s="1"/>
      <c r="W426" s="1"/>
      <c r="X426" s="1"/>
      <c r="Y426" s="12" t="s">
        <v>1039</v>
      </c>
      <c r="Z426" s="1"/>
      <c r="AB426" s="1" t="s">
        <v>94</v>
      </c>
      <c r="AC426" s="28">
        <f t="shared" si="29"/>
        <v>109480</v>
      </c>
      <c r="AD426" s="1"/>
      <c r="AE426" s="1">
        <f t="shared" si="27"/>
        <v>0</v>
      </c>
    </row>
    <row r="427" spans="1:41" ht="60" x14ac:dyDescent="0.25">
      <c r="B427" s="1" t="s">
        <v>1037</v>
      </c>
      <c r="C427" s="4" t="s">
        <v>804</v>
      </c>
      <c r="H427" s="4" t="s">
        <v>805</v>
      </c>
      <c r="I427" s="4" t="s">
        <v>783</v>
      </c>
      <c r="J427" s="3"/>
      <c r="K427" s="1"/>
      <c r="L427" s="1"/>
      <c r="M427" s="1"/>
      <c r="N427" s="1"/>
      <c r="O427" s="2"/>
      <c r="P427" s="1"/>
      <c r="S427" s="1"/>
      <c r="T427" s="1">
        <v>0</v>
      </c>
      <c r="U427" s="28"/>
      <c r="V427" s="1"/>
      <c r="W427" s="1"/>
      <c r="X427" s="1"/>
      <c r="Y427" s="2" t="s">
        <v>1040</v>
      </c>
      <c r="Z427" s="1"/>
      <c r="AB427" s="1" t="s">
        <v>94</v>
      </c>
      <c r="AC427" s="28">
        <f t="shared" si="29"/>
        <v>109480</v>
      </c>
      <c r="AD427" s="1"/>
      <c r="AE427" s="1">
        <f t="shared" si="27"/>
        <v>0</v>
      </c>
    </row>
    <row r="428" spans="1:41" x14ac:dyDescent="0.25">
      <c r="B428" s="1" t="s">
        <v>1037</v>
      </c>
      <c r="C428" s="4" t="s">
        <v>804</v>
      </c>
      <c r="H428" s="4" t="s">
        <v>805</v>
      </c>
      <c r="I428" s="4" t="s">
        <v>783</v>
      </c>
      <c r="J428" s="3"/>
      <c r="K428" s="1"/>
      <c r="L428" s="1"/>
      <c r="M428" s="1"/>
      <c r="N428" s="1"/>
      <c r="O428" s="2"/>
      <c r="P428" s="1"/>
      <c r="S428" s="13"/>
      <c r="T428" s="1">
        <v>0</v>
      </c>
      <c r="U428" s="36">
        <v>30</v>
      </c>
      <c r="V428" s="13"/>
      <c r="W428" s="13"/>
      <c r="X428" s="13"/>
      <c r="Y428" s="2"/>
      <c r="Z428" s="1"/>
      <c r="AB428" s="11" t="s">
        <v>216</v>
      </c>
      <c r="AC428" s="32">
        <f t="shared" si="29"/>
        <v>109480</v>
      </c>
      <c r="AD428" s="1"/>
      <c r="AE428" s="1">
        <f t="shared" si="27"/>
        <v>0</v>
      </c>
    </row>
    <row r="429" spans="1:41" x14ac:dyDescent="0.25">
      <c r="B429" s="1" t="s">
        <v>1037</v>
      </c>
      <c r="C429" s="4" t="s">
        <v>807</v>
      </c>
      <c r="H429" s="4" t="s">
        <v>342</v>
      </c>
      <c r="I429" s="4" t="s">
        <v>344</v>
      </c>
      <c r="J429" s="4" t="s">
        <v>101</v>
      </c>
      <c r="K429" s="1" t="s">
        <v>59</v>
      </c>
      <c r="L429" s="1" t="s">
        <v>60</v>
      </c>
      <c r="M429" s="1"/>
      <c r="N429" s="1"/>
      <c r="P429" s="1"/>
      <c r="Q429" s="19"/>
      <c r="S429" s="1"/>
      <c r="T429" s="1">
        <v>0</v>
      </c>
      <c r="U429" s="28"/>
      <c r="V429" s="1"/>
      <c r="W429" s="1"/>
      <c r="X429" s="1"/>
      <c r="Y429" s="2"/>
      <c r="Z429" s="1"/>
      <c r="AB429" s="1" t="s">
        <v>792</v>
      </c>
      <c r="AC429" s="28">
        <f t="shared" si="29"/>
        <v>109480</v>
      </c>
      <c r="AD429" s="1"/>
      <c r="AE429" s="1">
        <f t="shared" si="27"/>
        <v>0</v>
      </c>
    </row>
    <row r="430" spans="1:41" ht="60" x14ac:dyDescent="0.25">
      <c r="B430" s="1" t="s">
        <v>1037</v>
      </c>
      <c r="C430" s="4" t="s">
        <v>807</v>
      </c>
      <c r="H430" s="4" t="s">
        <v>342</v>
      </c>
      <c r="I430" s="4" t="s">
        <v>344</v>
      </c>
      <c r="J430" s="4" t="s">
        <v>101</v>
      </c>
      <c r="K430" s="1" t="s">
        <v>29</v>
      </c>
      <c r="L430" s="1" t="s">
        <v>60</v>
      </c>
      <c r="M430" s="1"/>
      <c r="N430" s="1"/>
      <c r="O430" s="2"/>
      <c r="P430" s="1"/>
      <c r="S430" s="13"/>
      <c r="T430" s="1">
        <v>0</v>
      </c>
      <c r="U430" s="36">
        <v>30</v>
      </c>
      <c r="V430" s="13"/>
      <c r="W430" s="13"/>
      <c r="X430" s="13"/>
      <c r="Y430" s="12" t="s">
        <v>808</v>
      </c>
      <c r="Z430" s="1"/>
      <c r="AB430" s="1" t="s">
        <v>94</v>
      </c>
      <c r="AC430" s="28">
        <f t="shared" si="29"/>
        <v>109480</v>
      </c>
      <c r="AD430" s="1"/>
      <c r="AE430" s="1">
        <f t="shared" si="27"/>
        <v>0</v>
      </c>
    </row>
    <row r="431" spans="1:41" ht="60" x14ac:dyDescent="0.25">
      <c r="B431" s="1" t="s">
        <v>1037</v>
      </c>
      <c r="C431" s="4" t="s">
        <v>807</v>
      </c>
      <c r="H431" s="4" t="s">
        <v>342</v>
      </c>
      <c r="I431" s="4" t="s">
        <v>344</v>
      </c>
      <c r="J431" s="4" t="s">
        <v>101</v>
      </c>
      <c r="K431" s="1" t="s">
        <v>29</v>
      </c>
      <c r="L431" s="1" t="s">
        <v>60</v>
      </c>
      <c r="M431" s="1"/>
      <c r="N431" s="1"/>
      <c r="O431" s="2"/>
      <c r="P431" s="1"/>
      <c r="S431" s="13"/>
      <c r="T431" s="1">
        <v>0</v>
      </c>
      <c r="U431" s="36">
        <v>30</v>
      </c>
      <c r="V431" s="13"/>
      <c r="W431" s="13"/>
      <c r="X431" s="13"/>
      <c r="Y431" s="12" t="s">
        <v>808</v>
      </c>
      <c r="Z431" s="1"/>
      <c r="AB431" s="1" t="s">
        <v>94</v>
      </c>
      <c r="AC431" s="28">
        <f t="shared" si="29"/>
        <v>109480</v>
      </c>
      <c r="AD431" s="1"/>
      <c r="AE431" s="1">
        <f t="shared" si="27"/>
        <v>0</v>
      </c>
    </row>
    <row r="432" spans="1:41" ht="30" x14ac:dyDescent="0.25">
      <c r="A432" s="1" t="s">
        <v>1627</v>
      </c>
      <c r="B432" s="1" t="s">
        <v>1037</v>
      </c>
      <c r="C432" s="4" t="s">
        <v>1628</v>
      </c>
      <c r="D432" s="31">
        <v>0</v>
      </c>
      <c r="E432" s="2" t="s">
        <v>1624</v>
      </c>
      <c r="F432" s="1" t="s">
        <v>110</v>
      </c>
      <c r="H432" s="4" t="s">
        <v>141</v>
      </c>
      <c r="I432" s="4" t="s">
        <v>372</v>
      </c>
      <c r="J432" s="3" t="s">
        <v>76</v>
      </c>
      <c r="K432" s="1" t="s">
        <v>29</v>
      </c>
      <c r="L432" s="1" t="s">
        <v>83</v>
      </c>
      <c r="M432" s="1" t="s">
        <v>646</v>
      </c>
      <c r="N432" s="1" t="s">
        <v>1625</v>
      </c>
      <c r="O432" s="1" t="s">
        <v>870</v>
      </c>
      <c r="P432" s="1"/>
      <c r="R432" s="2"/>
      <c r="S432" s="13"/>
      <c r="T432" s="28">
        <v>1</v>
      </c>
      <c r="U432" s="36">
        <v>50</v>
      </c>
      <c r="V432" s="13">
        <v>40</v>
      </c>
      <c r="W432" s="13" t="s">
        <v>1513</v>
      </c>
      <c r="X432" s="13" t="s">
        <v>78</v>
      </c>
      <c r="Y432" s="12"/>
      <c r="Z432" s="1"/>
      <c r="AB432" s="1" t="s">
        <v>1241</v>
      </c>
      <c r="AC432" s="28">
        <f t="shared" si="29"/>
        <v>109480</v>
      </c>
      <c r="AD432" s="1" t="s">
        <v>41</v>
      </c>
      <c r="AE432" s="1">
        <v>25</v>
      </c>
    </row>
    <row r="433" spans="1:41" ht="30" x14ac:dyDescent="0.25">
      <c r="A433" s="1" t="s">
        <v>1629</v>
      </c>
      <c r="B433" s="1" t="s">
        <v>1037</v>
      </c>
      <c r="C433" s="4" t="s">
        <v>1631</v>
      </c>
      <c r="D433" s="31">
        <v>2</v>
      </c>
      <c r="E433" s="2" t="s">
        <v>1630</v>
      </c>
      <c r="F433" s="1" t="s">
        <v>110</v>
      </c>
      <c r="G433" s="1">
        <v>42775</v>
      </c>
      <c r="H433" s="4" t="s">
        <v>691</v>
      </c>
      <c r="I433" s="4" t="s">
        <v>691</v>
      </c>
      <c r="J433" s="3" t="s">
        <v>76</v>
      </c>
      <c r="K433" s="1" t="s">
        <v>29</v>
      </c>
      <c r="L433" s="1" t="s">
        <v>55</v>
      </c>
      <c r="M433" s="1" t="s">
        <v>646</v>
      </c>
      <c r="N433" s="1" t="s">
        <v>1632</v>
      </c>
      <c r="P433" s="1"/>
      <c r="R433" s="2"/>
      <c r="S433" s="13"/>
      <c r="T433" s="28">
        <v>0</v>
      </c>
      <c r="U433" s="36">
        <v>25</v>
      </c>
      <c r="V433" s="13"/>
      <c r="W433" s="13" t="s">
        <v>1399</v>
      </c>
      <c r="X433" s="13"/>
      <c r="Y433" s="12"/>
      <c r="Z433" s="1"/>
      <c r="AB433" s="1" t="s">
        <v>1596</v>
      </c>
      <c r="AC433" s="28">
        <f>68000*1.61</f>
        <v>109480</v>
      </c>
      <c r="AD433" s="1" t="s">
        <v>41</v>
      </c>
      <c r="AE433" s="13">
        <f>Parts[[#This Row],[Price Euro]]*Parts[[#This Row],[Stock]]</f>
        <v>50</v>
      </c>
    </row>
    <row r="434" spans="1:41" x14ac:dyDescent="0.25">
      <c r="A434" s="1" t="s">
        <v>1635</v>
      </c>
      <c r="B434" s="1" t="s">
        <v>1037</v>
      </c>
      <c r="C434" s="4" t="s">
        <v>1636</v>
      </c>
      <c r="D434" s="31">
        <v>1</v>
      </c>
      <c r="E434" s="2" t="s">
        <v>1633</v>
      </c>
      <c r="F434" s="1" t="s">
        <v>110</v>
      </c>
      <c r="G434" s="1">
        <v>42775</v>
      </c>
      <c r="H434" s="4" t="s">
        <v>463</v>
      </c>
      <c r="I434" s="4" t="s">
        <v>463</v>
      </c>
      <c r="J434" s="3" t="s">
        <v>76</v>
      </c>
      <c r="K434" s="1" t="s">
        <v>29</v>
      </c>
      <c r="L434" s="1" t="s">
        <v>60</v>
      </c>
      <c r="M434" s="1" t="s">
        <v>646</v>
      </c>
      <c r="N434" s="1" t="s">
        <v>1632</v>
      </c>
      <c r="O434" s="1" t="s">
        <v>1637</v>
      </c>
      <c r="P434" s="1"/>
      <c r="R434" s="2"/>
      <c r="S434" s="13"/>
      <c r="T434" s="28">
        <v>0</v>
      </c>
      <c r="U434" s="36">
        <v>10</v>
      </c>
      <c r="V434" s="13"/>
      <c r="W434" s="13"/>
      <c r="X434" s="13"/>
      <c r="Y434" s="12"/>
      <c r="Z434" s="1"/>
      <c r="AB434" s="1" t="s">
        <v>1596</v>
      </c>
      <c r="AC434" s="28">
        <f>68000*1.61</f>
        <v>109480</v>
      </c>
      <c r="AD434" s="1" t="s">
        <v>41</v>
      </c>
      <c r="AE434" s="13">
        <f>Parts[[#This Row],[Price Euro]]*Parts[[#This Row],[Stock]]</f>
        <v>10</v>
      </c>
    </row>
    <row r="435" spans="1:41" x14ac:dyDescent="0.25">
      <c r="A435" s="1" t="s">
        <v>1634</v>
      </c>
      <c r="B435" s="1" t="s">
        <v>1037</v>
      </c>
      <c r="C435" s="4" t="s">
        <v>1636</v>
      </c>
      <c r="D435" s="31">
        <v>1</v>
      </c>
      <c r="E435" s="2" t="s">
        <v>1633</v>
      </c>
      <c r="F435" s="1" t="s">
        <v>110</v>
      </c>
      <c r="G435" s="1">
        <v>42775</v>
      </c>
      <c r="H435" s="4" t="s">
        <v>463</v>
      </c>
      <c r="I435" s="4" t="s">
        <v>463</v>
      </c>
      <c r="J435" s="3" t="s">
        <v>76</v>
      </c>
      <c r="K435" s="1" t="s">
        <v>29</v>
      </c>
      <c r="L435" s="1" t="s">
        <v>30</v>
      </c>
      <c r="M435" s="1" t="s">
        <v>646</v>
      </c>
      <c r="N435" s="1" t="s">
        <v>1632</v>
      </c>
      <c r="O435" s="1" t="s">
        <v>1637</v>
      </c>
      <c r="P435" s="1"/>
      <c r="R435" s="2"/>
      <c r="S435" s="13"/>
      <c r="T435" s="28">
        <v>0</v>
      </c>
      <c r="U435" s="36">
        <v>10</v>
      </c>
      <c r="V435" s="13"/>
      <c r="W435" s="13"/>
      <c r="X435" s="13"/>
      <c r="Y435" s="12"/>
      <c r="Z435" s="1"/>
      <c r="AB435" s="1" t="s">
        <v>1596</v>
      </c>
      <c r="AC435" s="28">
        <f>68000*1.61</f>
        <v>109480</v>
      </c>
      <c r="AD435" s="1" t="s">
        <v>41</v>
      </c>
      <c r="AE435" s="13">
        <f>Parts[[#This Row],[Price Euro]]*Parts[[#This Row],[Stock]]</f>
        <v>10</v>
      </c>
    </row>
    <row r="436" spans="1:41" ht="30" x14ac:dyDescent="0.25">
      <c r="A436" s="1" t="s">
        <v>1638</v>
      </c>
      <c r="B436" s="1" t="s">
        <v>1291</v>
      </c>
      <c r="C436" s="4" t="s">
        <v>1639</v>
      </c>
      <c r="D436" s="31">
        <v>24</v>
      </c>
      <c r="E436" s="2" t="s">
        <v>1640</v>
      </c>
      <c r="F436" s="1" t="s">
        <v>1573</v>
      </c>
      <c r="G436" s="1" t="s">
        <v>1581</v>
      </c>
      <c r="H436" s="4" t="s">
        <v>988</v>
      </c>
      <c r="I436" s="4" t="s">
        <v>783</v>
      </c>
      <c r="J436" s="3" t="s">
        <v>101</v>
      </c>
      <c r="K436" s="1" t="s">
        <v>1574</v>
      </c>
      <c r="L436" s="1" t="s">
        <v>1508</v>
      </c>
      <c r="M436" s="1"/>
      <c r="N436" s="1"/>
      <c r="P436" s="1"/>
      <c r="Q436" s="25"/>
      <c r="R436" s="2"/>
      <c r="S436" s="13">
        <v>5</v>
      </c>
      <c r="T436" s="28"/>
      <c r="U436" s="36">
        <f>Parts[[#This Row],[Stock]]*Parts[[#This Row],[Price EU euro]]</f>
        <v>120</v>
      </c>
      <c r="V436" s="13"/>
      <c r="W436" s="13" t="s">
        <v>1513</v>
      </c>
      <c r="X436" s="13"/>
      <c r="Y436" s="12" t="s">
        <v>1641</v>
      </c>
      <c r="Z436" s="1"/>
      <c r="AA436" s="1" t="s">
        <v>1583</v>
      </c>
      <c r="AB436" s="1"/>
      <c r="AC436" s="28"/>
      <c r="AD436" s="1"/>
      <c r="AE436" s="1">
        <f t="shared" ref="AE436" si="30">S436*D436</f>
        <v>120</v>
      </c>
      <c r="AF436" s="1"/>
      <c r="AG436" s="1"/>
      <c r="AL436" s="1"/>
      <c r="AO436" s="1"/>
    </row>
    <row r="437" spans="1:41" x14ac:dyDescent="0.25">
      <c r="A437" s="1" t="s">
        <v>1642</v>
      </c>
      <c r="B437" s="1" t="s">
        <v>1291</v>
      </c>
      <c r="C437" s="4" t="s">
        <v>1643</v>
      </c>
      <c r="D437" s="31">
        <v>1</v>
      </c>
      <c r="E437" s="2"/>
      <c r="I437" s="4"/>
      <c r="J437" s="3"/>
      <c r="K437" s="1"/>
      <c r="L437" s="1"/>
      <c r="M437" s="1"/>
      <c r="N437" s="1"/>
      <c r="P437" s="1"/>
      <c r="Q437" s="25"/>
      <c r="R437" s="2"/>
      <c r="S437" s="13"/>
      <c r="T437" s="28"/>
      <c r="U437" s="36"/>
      <c r="V437" s="13"/>
      <c r="W437" s="13"/>
      <c r="X437" s="13"/>
      <c r="Y437" s="12"/>
      <c r="Z437" s="1"/>
      <c r="AB437" s="1"/>
      <c r="AC437" s="28">
        <f>68000*1.61</f>
        <v>109480</v>
      </c>
      <c r="AD437" s="1"/>
    </row>
    <row r="438" spans="1:41" x14ac:dyDescent="0.25">
      <c r="A438" s="1" t="s">
        <v>1644</v>
      </c>
      <c r="B438" s="1" t="s">
        <v>1291</v>
      </c>
      <c r="C438" s="4" t="s">
        <v>1645</v>
      </c>
      <c r="D438" s="31">
        <v>4</v>
      </c>
      <c r="E438" s="2"/>
      <c r="I438" s="4"/>
      <c r="J438" s="3"/>
      <c r="K438" s="1"/>
      <c r="L438" s="1"/>
      <c r="M438" s="1"/>
      <c r="N438" s="1"/>
      <c r="P438" s="1"/>
      <c r="Q438" s="25"/>
      <c r="R438" s="2"/>
      <c r="S438" s="13"/>
      <c r="T438" s="28"/>
      <c r="U438" s="36"/>
      <c r="V438" s="13"/>
      <c r="W438" s="13"/>
      <c r="X438" s="13"/>
      <c r="Y438" s="12"/>
      <c r="Z438" s="1"/>
      <c r="AB438" s="1"/>
      <c r="AC438" s="28">
        <f>68000*1.61</f>
        <v>109480</v>
      </c>
      <c r="AD438" s="1"/>
    </row>
    <row r="439" spans="1:41" x14ac:dyDescent="0.25">
      <c r="A439" s="1" t="s">
        <v>173</v>
      </c>
      <c r="B439" s="1" t="s">
        <v>1037</v>
      </c>
      <c r="C439" s="4" t="s">
        <v>1655</v>
      </c>
      <c r="D439" s="31">
        <v>0</v>
      </c>
      <c r="E439" s="2" t="s">
        <v>1652</v>
      </c>
      <c r="G439" s="1">
        <v>42775</v>
      </c>
      <c r="H439" s="4" t="s">
        <v>114</v>
      </c>
      <c r="I439" s="4" t="s">
        <v>1653</v>
      </c>
      <c r="J439" s="3" t="s">
        <v>101</v>
      </c>
      <c r="K439" s="1" t="s">
        <v>59</v>
      </c>
      <c r="L439" s="1" t="s">
        <v>30</v>
      </c>
      <c r="M439" s="3"/>
      <c r="P439" s="1"/>
      <c r="R439" s="2"/>
      <c r="S439" s="1"/>
      <c r="T439" s="28"/>
      <c r="U439" s="28"/>
      <c r="V439" s="1"/>
      <c r="W439" s="1"/>
      <c r="X439" s="1"/>
      <c r="Y439" s="2"/>
      <c r="Z439" s="1"/>
      <c r="AB439" s="1" t="s">
        <v>1596</v>
      </c>
      <c r="AC439" s="28">
        <f>68000*1.61</f>
        <v>109480</v>
      </c>
      <c r="AD439" s="1"/>
    </row>
    <row r="440" spans="1:41" x14ac:dyDescent="0.25">
      <c r="A440" s="1" t="s">
        <v>1654</v>
      </c>
      <c r="B440" s="1" t="s">
        <v>1037</v>
      </c>
      <c r="C440" s="4" t="s">
        <v>1656</v>
      </c>
      <c r="D440" s="31">
        <v>0</v>
      </c>
      <c r="E440" s="2" t="s">
        <v>1652</v>
      </c>
      <c r="F440" s="1" t="s">
        <v>1657</v>
      </c>
      <c r="H440" s="4" t="s">
        <v>114</v>
      </c>
      <c r="I440" s="4" t="s">
        <v>1653</v>
      </c>
      <c r="J440" s="3" t="s">
        <v>101</v>
      </c>
      <c r="K440" s="1" t="s">
        <v>59</v>
      </c>
      <c r="L440" s="1" t="s">
        <v>60</v>
      </c>
      <c r="M440" s="3"/>
      <c r="P440" s="1"/>
      <c r="R440" s="2"/>
      <c r="S440" s="1"/>
      <c r="T440" s="28"/>
      <c r="U440" s="28"/>
      <c r="V440" s="1"/>
      <c r="W440" s="1"/>
      <c r="X440" s="1"/>
      <c r="Y440" s="2"/>
      <c r="Z440" s="1"/>
      <c r="AB440" s="1"/>
      <c r="AC440" s="28">
        <f>68000*1.61</f>
        <v>109480</v>
      </c>
      <c r="AD440" s="1"/>
    </row>
    <row r="441" spans="1:41" x14ac:dyDescent="0.25">
      <c r="A441" s="1" t="s">
        <v>53</v>
      </c>
      <c r="B441" s="1" t="s">
        <v>1291</v>
      </c>
      <c r="C441" s="4" t="s">
        <v>51</v>
      </c>
      <c r="D441" s="31">
        <v>0</v>
      </c>
      <c r="E441" s="2" t="s">
        <v>1650</v>
      </c>
      <c r="F441" s="1" t="s">
        <v>110</v>
      </c>
      <c r="H441" s="4" t="s">
        <v>52</v>
      </c>
      <c r="I441" s="4" t="s">
        <v>783</v>
      </c>
      <c r="J441" s="3" t="s">
        <v>101</v>
      </c>
      <c r="K441" s="1" t="s">
        <v>54</v>
      </c>
      <c r="L441" s="1" t="s">
        <v>55</v>
      </c>
      <c r="M441" s="3"/>
      <c r="O441" s="1" t="s">
        <v>1658</v>
      </c>
      <c r="P441" s="1" t="s">
        <v>1651</v>
      </c>
      <c r="R441" s="2"/>
      <c r="S441" s="1"/>
      <c r="T441" s="28"/>
      <c r="U441" s="28"/>
      <c r="V441" s="1"/>
      <c r="W441" s="1"/>
      <c r="X441" s="1"/>
      <c r="Y441" s="2"/>
      <c r="Z441" s="1"/>
      <c r="AB441" s="1"/>
      <c r="AC441" s="28"/>
      <c r="AD441" s="1"/>
      <c r="AE441" s="1">
        <v>50</v>
      </c>
    </row>
    <row r="442" spans="1:41" x14ac:dyDescent="0.25">
      <c r="A442" s="1" t="s">
        <v>1660</v>
      </c>
      <c r="B442" s="1" t="s">
        <v>1291</v>
      </c>
      <c r="C442" s="4" t="s">
        <v>1664</v>
      </c>
      <c r="D442" s="31">
        <v>2</v>
      </c>
      <c r="E442" s="2" t="s">
        <v>1664</v>
      </c>
      <c r="H442" s="4" t="s">
        <v>1023</v>
      </c>
      <c r="I442" s="4" t="s">
        <v>1661</v>
      </c>
      <c r="J442" s="3" t="s">
        <v>101</v>
      </c>
      <c r="K442" s="1" t="s">
        <v>59</v>
      </c>
      <c r="L442" s="1" t="s">
        <v>55</v>
      </c>
      <c r="M442" s="3"/>
      <c r="N442" s="1" t="s">
        <v>1662</v>
      </c>
      <c r="P442" s="1"/>
      <c r="R442" s="2"/>
      <c r="S442" s="1">
        <v>10</v>
      </c>
      <c r="T442" s="28"/>
      <c r="U442" s="36">
        <v>10</v>
      </c>
      <c r="V442" s="1"/>
      <c r="W442" s="1" t="s">
        <v>1552</v>
      </c>
      <c r="X442" s="1"/>
      <c r="Y442" s="2"/>
      <c r="Z442" s="1"/>
      <c r="AB442" s="1" t="s">
        <v>1663</v>
      </c>
      <c r="AC442" s="28">
        <f>163641</f>
        <v>163641</v>
      </c>
      <c r="AD442" s="1" t="s">
        <v>175</v>
      </c>
      <c r="AE442" s="13">
        <f>Parts[[#This Row],[Price Euro]]*Parts[[#This Row],[Stock]]</f>
        <v>20</v>
      </c>
    </row>
  </sheetData>
  <hyperlinks>
    <hyperlink ref="Y204" r:id="rId1" display="http://www.ebay.co.uk/itm/Jaguar-XK8-XKR-X100-DRIVERS-SEAT-SWITCH-/321386272636?pt=UK_CarsParts_Vehicles_CarParts_SM&amp;hash=item4ad41d577c " xr:uid="{00000000-0004-0000-0000-000000000000}"/>
    <hyperlink ref="Y222" r:id="rId2" display="http://www.ebay.co.uk/itm/Genuine-Jaguar-Xk8-Rear-Bumper-Reflectors-LJA5024AC-Pair-AWJ-5a-/161173990208?pt=UK_CarsParts_Vehicles_CarParts_SM&amp;fits=Model%3AXK+8&amp;hash=item2586b7eb40" xr:uid="{00000000-0004-0000-0000-000001000000}"/>
    <hyperlink ref="Y426" r:id="rId3" display="http://www.ebay.co.uk/itm/SPACE-SAVER-WHEEL-AND-TYRE-Jaguar-XK8-XKR-1996-2006-X100-/281115864198?fits=Car+Make%3AJaguar" xr:uid="{00000000-0004-0000-0000-000002000000}"/>
    <hyperlink ref="Y48" r:id="rId4" display="http://www.ebay.co.uk/itm/Jaguar-XK8-XKR-WIPER-SCUTTLE-1996-2003-/171309576013?pt=UK_CarsParts_Vehicles_CarParts_SM&amp;hash=item27e2d8af4d_x000a_" xr:uid="{00000000-0004-0000-0000-000003000000}"/>
    <hyperlink ref="Y430" r:id="rId5" xr:uid="{00000000-0004-0000-0000-000004000000}"/>
    <hyperlink ref="Y344" r:id="rId6" xr:uid="{00000000-0004-0000-0000-000005000000}"/>
    <hyperlink ref="Y209" r:id="rId7" xr:uid="{00000000-0004-0000-0000-000006000000}"/>
    <hyperlink ref="AB425" r:id="rId8" xr:uid="{00000000-0004-0000-0000-000007000000}"/>
    <hyperlink ref="AB428" r:id="rId9" xr:uid="{00000000-0004-0000-0000-000008000000}"/>
    <hyperlink ref="AB55" r:id="rId10" xr:uid="{00000000-0004-0000-0000-000009000000}"/>
    <hyperlink ref="AB405" r:id="rId11" xr:uid="{00000000-0004-0000-0000-00000A000000}"/>
    <hyperlink ref="AB222" r:id="rId12" xr:uid="{00000000-0004-0000-0000-00000B000000}"/>
    <hyperlink ref="Y431" r:id="rId13" xr:uid="{00000000-0004-0000-0000-00000C000000}"/>
    <hyperlink ref="Y232" r:id="rId14" xr:uid="{00000000-0004-0000-0000-00000D000000}"/>
    <hyperlink ref="Y231" r:id="rId15" xr:uid="{00000000-0004-0000-0000-00000E000000}"/>
    <hyperlink ref="Y122" r:id="rId16" xr:uid="{00000000-0004-0000-0000-00000F000000}"/>
    <hyperlink ref="Y123" r:id="rId17" xr:uid="{00000000-0004-0000-0000-000010000000}"/>
    <hyperlink ref="Y113" r:id="rId18" xr:uid="{00000000-0004-0000-0000-000011000000}"/>
    <hyperlink ref="Y114" r:id="rId19" xr:uid="{00000000-0004-0000-0000-000012000000}"/>
    <hyperlink ref="Y224" r:id="rId20" xr:uid="{00000000-0004-0000-0000-000013000000}"/>
    <hyperlink ref="Y223" r:id="rId21" xr:uid="{00000000-0004-0000-0000-000014000000}"/>
    <hyperlink ref="Y225" r:id="rId22" xr:uid="{00000000-0004-0000-0000-000015000000}"/>
    <hyperlink ref="Y264" r:id="rId23" xr:uid="{00000000-0004-0000-0000-000016000000}"/>
    <hyperlink ref="Y282" r:id="rId24" xr:uid="{00000000-0004-0000-0000-000017000000}"/>
    <hyperlink ref="Y229" r:id="rId25" xr:uid="{00000000-0004-0000-0000-000018000000}"/>
    <hyperlink ref="Y234" r:id="rId26" xr:uid="{00000000-0004-0000-0000-000019000000}"/>
    <hyperlink ref="Y284" r:id="rId27" xr:uid="{00000000-0004-0000-0000-00001A000000}"/>
    <hyperlink ref="Y269" r:id="rId28" xr:uid="{00000000-0004-0000-0000-00001B000000}"/>
    <hyperlink ref="Y186" r:id="rId29" xr:uid="{00000000-0004-0000-0000-00001C000000}"/>
    <hyperlink ref="Y278" r:id="rId30" xr:uid="{00000000-0004-0000-0000-00001D000000}"/>
    <hyperlink ref="Y277" r:id="rId31" xr:uid="{00000000-0004-0000-0000-00001E000000}"/>
    <hyperlink ref="Y280" r:id="rId32" xr:uid="{00000000-0004-0000-0000-00001F000000}"/>
    <hyperlink ref="Y251" r:id="rId33" xr:uid="{00000000-0004-0000-0000-000020000000}"/>
    <hyperlink ref="Z211" r:id="rId34" xr:uid="{00000000-0004-0000-0000-000021000000}"/>
    <hyperlink ref="Y211" r:id="rId35" xr:uid="{00000000-0004-0000-0000-000022000000}"/>
    <hyperlink ref="Y256" r:id="rId36" xr:uid="{00000000-0004-0000-0000-000023000000}"/>
    <hyperlink ref="Y253" r:id="rId37" xr:uid="{00000000-0004-0000-0000-000024000000}"/>
    <hyperlink ref="AA93" r:id="rId38" xr:uid="{00000000-0004-0000-0000-000025000000}"/>
    <hyperlink ref="Z219" r:id="rId39" xr:uid="{8C812265-8666-456E-8F13-CF7A2D098959}"/>
    <hyperlink ref="Z145" r:id="rId40" xr:uid="{8224C185-BA4F-464F-BE0D-1BDBDD3D90D1}"/>
    <hyperlink ref="Y217" r:id="rId41" display="https://parts.jaguarlandroverclassic.com/gja1246af-loudspeaker-bracket.html" xr:uid="{A75DD8FF-E743-4D6A-96C9-63AF3E900E62}"/>
    <hyperlink ref="Y216" r:id="rId42" xr:uid="{543B9194-0AD8-43F6-B47F-B432277DA3D5}"/>
    <hyperlink ref="Y171" r:id="rId43" xr:uid="{61B9C8F2-D628-4551-9670-CA2875651ABD}"/>
    <hyperlink ref="Y252" r:id="rId44" xr:uid="{288D2B44-B70E-433A-8627-1F3367C20394}"/>
    <hyperlink ref="Y298" r:id="rId45" xr:uid="{FA7F2BDA-DB4B-4077-AB6E-A62E3D47BE7E}"/>
    <hyperlink ref="Y46" r:id="rId46" xr:uid="{17C5BBCB-AACC-49C3-B810-B7246B884C86}"/>
    <hyperlink ref="Y103" r:id="rId47" xr:uid="{390661B5-5721-4115-A0FF-0A9801DAF9CD}"/>
    <hyperlink ref="Y102" r:id="rId48" xr:uid="{CBDEAFC5-328D-4297-9E43-8AE571670164}"/>
    <hyperlink ref="Y436" r:id="rId49" xr:uid="{09144202-80D1-44FC-95F9-6809B1749353}"/>
  </hyperlinks>
  <pageMargins left="0.70866141732283472" right="0.70866141732283472" top="0.74803149606299213" bottom="0.74803149606299213" header="0.31496062992125984" footer="0.31496062992125984"/>
  <pageSetup paperSize="9" scale="10" fitToHeight="2" orientation="portrait" r:id="rId50"/>
  <tableParts count="1">
    <tablePart r:id="rId5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U414"/>
  <sheetViews>
    <sheetView zoomScaleNormal="100" workbookViewId="0"/>
  </sheetViews>
  <sheetFormatPr defaultColWidth="9.140625" defaultRowHeight="15" x14ac:dyDescent="0.25"/>
  <cols>
    <col min="1" max="1" width="20.28515625" style="20" bestFit="1" customWidth="1"/>
    <col min="2" max="2" width="8.5703125" style="20" bestFit="1" customWidth="1"/>
    <col min="3" max="3" width="14.5703125" style="20" bestFit="1" customWidth="1"/>
    <col min="4" max="4" width="98.7109375" style="21" bestFit="1" customWidth="1"/>
    <col min="5" max="5" width="12" style="20" bestFit="1" customWidth="1"/>
    <col min="6" max="6" width="22.5703125" style="20" bestFit="1" customWidth="1"/>
    <col min="7" max="7" width="10.5703125" style="1" bestFit="1" customWidth="1"/>
    <col min="8" max="8" width="92.28515625" style="21" bestFit="1" customWidth="1"/>
    <col min="9" max="9" width="11.140625" style="20" bestFit="1" customWidth="1"/>
    <col min="10" max="10" width="12.140625" style="1" bestFit="1" customWidth="1"/>
    <col min="11" max="11" width="16" style="20" bestFit="1" customWidth="1"/>
    <col min="12" max="12" width="17" style="20" bestFit="1" customWidth="1"/>
    <col min="13" max="13" width="11" style="21" bestFit="1" customWidth="1"/>
    <col min="14" max="14" width="9.5703125" style="1" bestFit="1" customWidth="1"/>
    <col min="15" max="15" width="11.140625" style="20" bestFit="1" customWidth="1"/>
    <col min="16" max="16" width="11.85546875" style="22" bestFit="1" customWidth="1"/>
    <col min="17" max="17" width="16.5703125" style="1" bestFit="1" customWidth="1"/>
    <col min="18" max="18" width="14.85546875" style="1" bestFit="1" customWidth="1"/>
    <col min="19" max="19" width="11" style="20" bestFit="1" customWidth="1"/>
    <col min="20" max="20" width="16.5703125" style="20" bestFit="1" customWidth="1"/>
    <col min="21" max="21" width="10.28515625" style="20" bestFit="1" customWidth="1"/>
    <col min="22" max="22" width="16.42578125" style="1" bestFit="1" customWidth="1"/>
    <col min="23" max="23" width="17.28515625" style="1" bestFit="1" customWidth="1"/>
    <col min="24" max="24" width="29.140625" style="1" bestFit="1" customWidth="1"/>
    <col min="25" max="25" width="9.28515625" style="1" bestFit="1" customWidth="1"/>
    <col min="26" max="26" width="214" style="21" bestFit="1" customWidth="1"/>
    <col min="27" max="27" width="13" style="20" bestFit="1" customWidth="1"/>
    <col min="28" max="28" width="9.140625" style="1" bestFit="1" customWidth="1"/>
    <col min="29" max="30" width="11.28515625" style="20" bestFit="1" customWidth="1"/>
    <col min="31" max="31" width="13.85546875" style="20" bestFit="1" customWidth="1"/>
    <col min="32" max="32" width="23.140625" style="20" bestFit="1" customWidth="1"/>
    <col min="33" max="33" width="11.28515625" style="20" bestFit="1" customWidth="1"/>
    <col min="34" max="34" width="9.28515625" style="20" bestFit="1" customWidth="1"/>
    <col min="35" max="35" width="21.140625" style="20" bestFit="1" customWidth="1"/>
    <col min="36" max="36" width="25.42578125" style="20" bestFit="1" customWidth="1"/>
    <col min="37" max="37" width="10.28515625" style="20" bestFit="1" customWidth="1"/>
    <col min="38" max="40" width="15.7109375" style="1" bestFit="1" customWidth="1"/>
    <col min="41" max="41" width="17.85546875" style="20" bestFit="1" customWidth="1"/>
    <col min="42" max="42" width="15.5703125" style="1" bestFit="1" customWidth="1"/>
    <col min="43" max="43" width="15.85546875" style="1" bestFit="1" customWidth="1"/>
    <col min="44" max="44" width="14.42578125" style="20" bestFit="1" customWidth="1"/>
    <col min="45" max="45" width="13.28515625" style="20" bestFit="1" customWidth="1"/>
    <col min="46" max="46" width="12.42578125" style="1" bestFit="1" customWidth="1"/>
    <col min="47" max="47" width="13.7109375" style="1" bestFit="1" customWidth="1"/>
    <col min="48" max="48" width="10.7109375" style="20" bestFit="1" customWidth="1"/>
    <col min="49" max="49" width="6.85546875" style="1" bestFit="1" customWidth="1"/>
    <col min="50" max="50" width="18.140625" style="20" bestFit="1" customWidth="1"/>
    <col min="51" max="51" width="18.28515625" style="20" bestFit="1" customWidth="1"/>
    <col min="52" max="52" width="16.42578125" style="20" bestFit="1" customWidth="1"/>
    <col min="53" max="53" width="22.7109375" style="20" bestFit="1" customWidth="1"/>
    <col min="54" max="54" width="22" style="20" bestFit="1" customWidth="1"/>
    <col min="55" max="55" width="20.140625" style="20" bestFit="1" customWidth="1"/>
    <col min="56" max="56" width="25" style="20" bestFit="1" customWidth="1"/>
    <col min="57" max="57" width="23.42578125" style="20" bestFit="1" customWidth="1"/>
    <col min="58" max="58" width="26.7109375" style="20" bestFit="1" customWidth="1"/>
    <col min="59" max="59" width="11.28515625" style="20" bestFit="1" customWidth="1"/>
    <col min="60" max="60" width="19.140625" style="1" bestFit="1" customWidth="1"/>
    <col min="61" max="61" width="18.7109375" style="1" bestFit="1" customWidth="1"/>
    <col min="62" max="62" width="18.28515625" style="1" bestFit="1" customWidth="1"/>
    <col min="63" max="63" width="14.85546875" style="1" bestFit="1" customWidth="1"/>
    <col min="64" max="64" width="15" style="1" bestFit="1" customWidth="1"/>
    <col min="65" max="65" width="13.42578125" style="1" bestFit="1" customWidth="1"/>
    <col min="66" max="66" width="19.7109375" style="20" bestFit="1" customWidth="1"/>
    <col min="67" max="67" width="16.5703125" style="1" bestFit="1" customWidth="1"/>
    <col min="68" max="69" width="16" style="1" bestFit="1" customWidth="1"/>
    <col min="70" max="70" width="11.42578125" style="1" bestFit="1" customWidth="1"/>
    <col min="71" max="71" width="14.85546875" style="1" bestFit="1" customWidth="1"/>
    <col min="72" max="72" width="18.42578125" style="1" bestFit="1" customWidth="1"/>
    <col min="73" max="73" width="25.85546875" style="1" bestFit="1" customWidth="1"/>
    <col min="74" max="74" width="18.85546875" style="20" bestFit="1" customWidth="1"/>
    <col min="75" max="75" width="20.5703125" style="1" bestFit="1" customWidth="1"/>
    <col min="76" max="76" width="19.140625" style="1" bestFit="1" customWidth="1"/>
    <col min="77" max="77" width="13.5703125" style="1" bestFit="1" customWidth="1"/>
    <col min="78" max="78" width="27" style="1" bestFit="1" customWidth="1"/>
    <col min="79" max="79" width="14.28515625" style="1" bestFit="1" customWidth="1"/>
    <col min="80" max="80" width="25.28515625" style="1" bestFit="1" customWidth="1"/>
    <col min="81" max="81" width="25.5703125" style="1" bestFit="1" customWidth="1"/>
    <col min="82" max="82" width="21.28515625" style="1" bestFit="1" customWidth="1"/>
    <col min="83" max="83" width="38.7109375" style="1" bestFit="1" customWidth="1"/>
    <col min="84" max="84" width="39.7109375" style="1" bestFit="1" customWidth="1"/>
    <col min="85" max="85" width="39.140625" style="1" bestFit="1" customWidth="1"/>
    <col min="86" max="86" width="42.85546875" style="1" bestFit="1" customWidth="1"/>
    <col min="87" max="87" width="43.42578125" style="1" bestFit="1" customWidth="1"/>
    <col min="88" max="88" width="35.42578125" style="1" bestFit="1" customWidth="1"/>
    <col min="89" max="89" width="42.28515625" style="1" bestFit="1" customWidth="1"/>
    <col min="90" max="90" width="41.42578125" style="20" bestFit="1" customWidth="1"/>
    <col min="91" max="91" width="33.5703125" style="1" bestFit="1" customWidth="1"/>
    <col min="92" max="92" width="38.5703125" style="1" bestFit="1" customWidth="1"/>
    <col min="93" max="93" width="39.5703125" style="1" bestFit="1" customWidth="1"/>
    <col min="94" max="94" width="40.28515625" style="1" bestFit="1" customWidth="1"/>
    <col min="95" max="95" width="28.28515625" style="1" bestFit="1" customWidth="1"/>
    <col min="96" max="96" width="30.5703125" style="1" bestFit="1" customWidth="1"/>
    <col min="97" max="97" width="28.7109375" style="1" bestFit="1" customWidth="1"/>
    <col min="98" max="98" width="32.5703125" style="1" bestFit="1" customWidth="1"/>
    <col min="99" max="99" width="29.140625" style="1" bestFit="1" customWidth="1"/>
    <col min="100" max="100" width="26.5703125" style="1" bestFit="1" customWidth="1"/>
    <col min="101" max="101" width="28.7109375" style="1" bestFit="1" customWidth="1"/>
    <col min="102" max="102" width="32.5703125" style="1" bestFit="1" customWidth="1"/>
    <col min="103" max="103" width="29.140625" style="1" bestFit="1" customWidth="1"/>
    <col min="104" max="104" width="26.5703125" style="1" bestFit="1" customWidth="1"/>
    <col min="105" max="105" width="29.140625" style="1" bestFit="1" customWidth="1"/>
    <col min="106" max="106" width="25.5703125" style="1" bestFit="1" customWidth="1"/>
    <col min="107" max="107" width="25.85546875" style="1" bestFit="1" customWidth="1"/>
    <col min="108" max="108" width="27" style="20" bestFit="1" customWidth="1"/>
    <col min="109" max="109" width="39" style="20" bestFit="1" customWidth="1"/>
    <col min="110" max="110" width="14.28515625" style="1" bestFit="1" customWidth="1"/>
    <col min="111" max="111" width="14.7109375" style="1" bestFit="1" customWidth="1"/>
    <col min="112" max="112" width="23.28515625" style="1" bestFit="1" customWidth="1"/>
    <col min="113" max="113" width="25.7109375" style="20" bestFit="1" customWidth="1"/>
    <col min="114" max="114" width="18.7109375" style="1" bestFit="1" customWidth="1"/>
    <col min="115" max="115" width="22.42578125" style="1" bestFit="1" customWidth="1"/>
    <col min="116" max="116" width="18.28515625" style="1" bestFit="1" customWidth="1"/>
    <col min="117" max="117" width="21.7109375" style="1" bestFit="1" customWidth="1"/>
    <col min="118" max="118" width="17.140625" style="1" bestFit="1" customWidth="1"/>
    <col min="119" max="119" width="20.140625" style="1" bestFit="1" customWidth="1"/>
    <col min="120" max="120" width="10.140625" style="21" bestFit="1" customWidth="1"/>
    <col min="121" max="121" width="76.28515625" style="21" bestFit="1" customWidth="1"/>
    <col min="122" max="122" width="18.28515625" style="21" bestFit="1" customWidth="1"/>
    <col min="123" max="123" width="32.140625" style="21" bestFit="1" customWidth="1"/>
    <col min="124" max="124" width="14.42578125" style="1" bestFit="1" customWidth="1"/>
    <col min="125" max="125" width="20.85546875" style="1" bestFit="1" customWidth="1"/>
    <col min="126" max="16384" width="9.140625" style="1"/>
  </cols>
  <sheetData>
    <row r="1" spans="1:125" x14ac:dyDescent="0.25">
      <c r="A1" s="20" t="s">
        <v>1041</v>
      </c>
      <c r="B1" s="20" t="s">
        <v>1042</v>
      </c>
      <c r="C1" s="20" t="s">
        <v>1043</v>
      </c>
      <c r="D1" s="21" t="s">
        <v>1044</v>
      </c>
      <c r="E1" s="20" t="s">
        <v>1045</v>
      </c>
      <c r="F1" s="20" t="s">
        <v>1046</v>
      </c>
      <c r="G1" s="1" t="s">
        <v>1047</v>
      </c>
      <c r="H1" s="21" t="s">
        <v>1048</v>
      </c>
      <c r="I1" s="20" t="s">
        <v>1049</v>
      </c>
      <c r="J1" s="1" t="s">
        <v>1050</v>
      </c>
      <c r="K1" s="20" t="s">
        <v>1051</v>
      </c>
      <c r="L1" s="20" t="s">
        <v>1052</v>
      </c>
      <c r="M1" s="21" t="s">
        <v>1053</v>
      </c>
      <c r="N1" s="1" t="s">
        <v>1054</v>
      </c>
      <c r="O1" s="20" t="s">
        <v>1055</v>
      </c>
      <c r="P1" s="22" t="s">
        <v>1056</v>
      </c>
      <c r="Q1" s="1" t="s">
        <v>1057</v>
      </c>
      <c r="R1" s="1" t="s">
        <v>1058</v>
      </c>
      <c r="S1" s="20" t="s">
        <v>1059</v>
      </c>
      <c r="T1" s="20" t="s">
        <v>1060</v>
      </c>
      <c r="U1" s="20" t="s">
        <v>1061</v>
      </c>
      <c r="V1" s="1" t="s">
        <v>1062</v>
      </c>
      <c r="W1" s="1" t="s">
        <v>1063</v>
      </c>
      <c r="X1" s="1" t="s">
        <v>1064</v>
      </c>
      <c r="Y1" s="1" t="s">
        <v>1065</v>
      </c>
      <c r="Z1" s="21" t="s">
        <v>1066</v>
      </c>
      <c r="AA1" s="20" t="s">
        <v>1067</v>
      </c>
      <c r="AB1" s="1" t="s">
        <v>1068</v>
      </c>
      <c r="AC1" s="20" t="s">
        <v>1069</v>
      </c>
      <c r="AD1" s="20" t="s">
        <v>1070</v>
      </c>
      <c r="AE1" s="20" t="s">
        <v>1071</v>
      </c>
      <c r="AF1" s="20" t="s">
        <v>1072</v>
      </c>
      <c r="AG1" s="20" t="s">
        <v>1073</v>
      </c>
      <c r="AH1" s="20" t="s">
        <v>1074</v>
      </c>
      <c r="AI1" s="20" t="s">
        <v>1075</v>
      </c>
      <c r="AJ1" s="20" t="s">
        <v>1076</v>
      </c>
      <c r="AK1" s="20" t="s">
        <v>1077</v>
      </c>
      <c r="AL1" s="1" t="s">
        <v>1078</v>
      </c>
      <c r="AM1" s="1" t="s">
        <v>1079</v>
      </c>
      <c r="AN1" s="1" t="s">
        <v>1080</v>
      </c>
      <c r="AO1" s="20" t="s">
        <v>1081</v>
      </c>
      <c r="AP1" s="1" t="s">
        <v>1082</v>
      </c>
      <c r="AQ1" s="1" t="s">
        <v>1083</v>
      </c>
      <c r="AR1" s="20" t="s">
        <v>1084</v>
      </c>
      <c r="AS1" s="20" t="s">
        <v>1085</v>
      </c>
      <c r="AT1" s="1" t="s">
        <v>1086</v>
      </c>
      <c r="AU1" s="1" t="s">
        <v>1087</v>
      </c>
      <c r="AV1" s="20" t="s">
        <v>1088</v>
      </c>
      <c r="AW1" s="1" t="s">
        <v>1089</v>
      </c>
      <c r="AX1" s="20" t="s">
        <v>1090</v>
      </c>
      <c r="AY1" s="20" t="s">
        <v>1091</v>
      </c>
      <c r="AZ1" s="20" t="s">
        <v>1092</v>
      </c>
      <c r="BA1" s="20" t="s">
        <v>1093</v>
      </c>
      <c r="BB1" s="20" t="s">
        <v>1094</v>
      </c>
      <c r="BC1" s="20" t="s">
        <v>1095</v>
      </c>
      <c r="BD1" s="20" t="s">
        <v>1096</v>
      </c>
      <c r="BE1" s="20" t="s">
        <v>1097</v>
      </c>
      <c r="BF1" s="20" t="s">
        <v>1098</v>
      </c>
      <c r="BG1" s="20" t="s">
        <v>1099</v>
      </c>
      <c r="BH1" s="1" t="s">
        <v>1100</v>
      </c>
      <c r="BI1" s="1" t="s">
        <v>1101</v>
      </c>
      <c r="BJ1" s="1" t="s">
        <v>1102</v>
      </c>
      <c r="BK1" s="1" t="s">
        <v>1103</v>
      </c>
      <c r="BL1" s="1" t="s">
        <v>1104</v>
      </c>
      <c r="BM1" s="1" t="s">
        <v>1105</v>
      </c>
      <c r="BN1" s="20" t="s">
        <v>1106</v>
      </c>
      <c r="BO1" s="1" t="s">
        <v>1107</v>
      </c>
      <c r="BP1" s="1" t="s">
        <v>1108</v>
      </c>
      <c r="BQ1" s="1" t="s">
        <v>1109</v>
      </c>
      <c r="BR1" s="1" t="s">
        <v>1110</v>
      </c>
      <c r="BS1" s="1" t="s">
        <v>1111</v>
      </c>
      <c r="BT1" s="1" t="s">
        <v>1112</v>
      </c>
      <c r="BU1" s="1" t="s">
        <v>1113</v>
      </c>
      <c r="BV1" s="20" t="s">
        <v>1114</v>
      </c>
      <c r="BW1" s="1" t="s">
        <v>1115</v>
      </c>
      <c r="BX1" s="1" t="s">
        <v>1116</v>
      </c>
      <c r="BY1" s="1" t="s">
        <v>1117</v>
      </c>
      <c r="BZ1" s="1" t="s">
        <v>1118</v>
      </c>
      <c r="CA1" s="1" t="s">
        <v>1119</v>
      </c>
      <c r="CB1" s="1" t="s">
        <v>1120</v>
      </c>
      <c r="CC1" s="1" t="s">
        <v>1121</v>
      </c>
      <c r="CD1" s="1" t="s">
        <v>1122</v>
      </c>
      <c r="CE1" s="1" t="s">
        <v>1123</v>
      </c>
      <c r="CF1" s="1" t="s">
        <v>1124</v>
      </c>
      <c r="CG1" s="1" t="s">
        <v>1125</v>
      </c>
      <c r="CH1" s="1" t="s">
        <v>1126</v>
      </c>
      <c r="CI1" s="1" t="s">
        <v>1127</v>
      </c>
      <c r="CJ1" s="1" t="s">
        <v>1128</v>
      </c>
      <c r="CK1" s="1" t="s">
        <v>1129</v>
      </c>
      <c r="CL1" s="20" t="s">
        <v>1130</v>
      </c>
      <c r="CM1" s="1" t="s">
        <v>1131</v>
      </c>
      <c r="CN1" s="1" t="s">
        <v>1132</v>
      </c>
      <c r="CO1" s="1" t="s">
        <v>1133</v>
      </c>
      <c r="CP1" s="1" t="s">
        <v>1134</v>
      </c>
      <c r="CQ1" s="1" t="s">
        <v>1135</v>
      </c>
      <c r="CR1" s="1" t="s">
        <v>1136</v>
      </c>
      <c r="CS1" s="1" t="s">
        <v>1137</v>
      </c>
      <c r="CT1" s="1" t="s">
        <v>1138</v>
      </c>
      <c r="CU1" s="1" t="s">
        <v>1139</v>
      </c>
      <c r="CV1" s="1" t="s">
        <v>1140</v>
      </c>
      <c r="CW1" s="1" t="s">
        <v>1141</v>
      </c>
      <c r="CX1" s="1" t="s">
        <v>1142</v>
      </c>
      <c r="CY1" s="1" t="s">
        <v>1143</v>
      </c>
      <c r="CZ1" s="1" t="s">
        <v>1144</v>
      </c>
      <c r="DA1" s="1" t="s">
        <v>1145</v>
      </c>
      <c r="DB1" s="1" t="s">
        <v>1146</v>
      </c>
      <c r="DC1" s="1" t="s">
        <v>1147</v>
      </c>
      <c r="DD1" s="20" t="s">
        <v>1148</v>
      </c>
      <c r="DE1" s="20" t="s">
        <v>1149</v>
      </c>
      <c r="DF1" s="1" t="s">
        <v>1150</v>
      </c>
      <c r="DG1" s="1" t="s">
        <v>1151</v>
      </c>
      <c r="DH1" s="1" t="s">
        <v>1152</v>
      </c>
      <c r="DI1" s="20" t="s">
        <v>1153</v>
      </c>
      <c r="DJ1" s="1" t="s">
        <v>1154</v>
      </c>
      <c r="DK1" s="1" t="s">
        <v>1155</v>
      </c>
      <c r="DL1" s="1" t="s">
        <v>1156</v>
      </c>
      <c r="DM1" s="1" t="s">
        <v>1157</v>
      </c>
      <c r="DN1" s="1" t="s">
        <v>1158</v>
      </c>
      <c r="DO1" s="1" t="s">
        <v>1159</v>
      </c>
      <c r="DP1" s="21" t="s">
        <v>1160</v>
      </c>
      <c r="DQ1" s="21" t="s">
        <v>1161</v>
      </c>
      <c r="DR1" s="21" t="s">
        <v>1162</v>
      </c>
      <c r="DS1" s="21" t="s">
        <v>1163</v>
      </c>
      <c r="DT1" s="1" t="s">
        <v>1164</v>
      </c>
      <c r="DU1" s="1" t="s">
        <v>1165</v>
      </c>
    </row>
    <row r="2" spans="1:125" hidden="1" x14ac:dyDescent="0.25">
      <c r="A2" s="20" t="s">
        <v>1166</v>
      </c>
      <c r="B2" s="20" t="s">
        <v>1167</v>
      </c>
      <c r="C2" s="20" t="s">
        <v>1168</v>
      </c>
      <c r="D2" s="21" t="str">
        <f>PartsMaster!B406&amp;" "&amp;PartsMaster!$C406</f>
        <v>Jaguar XK8 XKR X100 Seat - Mechanism cover - Warm Charcoal</v>
      </c>
      <c r="E2" s="20">
        <v>3000</v>
      </c>
      <c r="F2" s="20" t="s">
        <v>1182</v>
      </c>
      <c r="H2" s="21">
        <f>PartsMaster!$Q406</f>
        <v>0</v>
      </c>
      <c r="I2" s="20">
        <v>9886</v>
      </c>
      <c r="K2" s="20">
        <v>0</v>
      </c>
      <c r="L2" s="20">
        <v>0</v>
      </c>
      <c r="M2" s="21">
        <f>PartsMaster!$D406</f>
        <v>0</v>
      </c>
      <c r="O2" s="20" t="s">
        <v>1169</v>
      </c>
      <c r="P2" s="23">
        <f>PartsMaster!$S406/1.45</f>
        <v>0</v>
      </c>
      <c r="S2" s="20">
        <v>30</v>
      </c>
      <c r="T2" s="20">
        <v>0</v>
      </c>
      <c r="U2" s="20" t="s">
        <v>1170</v>
      </c>
      <c r="Z2" s="26" t="str">
        <f>"&lt;P&gt;"&amp;PartsMaster!$I406&amp;" "&amp;PartsMaster!$H406&amp;"&lt;/P&gt;"&amp;"&lt;P&gt;Jaguar part name "&amp;PartsMaster!$E406&amp;"&lt;/P&gt;&lt;P&gt;Product numbers "&amp;PartsMaster!R406&amp;" "&amp;DQ2&amp;"&lt;/P&gt;&lt;P&gt;Fits starting from VIN/ModelYear "&amp;PartsMaster!$F406&amp;" until VIN/ModelYear "&amp;PartsMaster!$G406&amp;"&lt;/P&gt;&lt;P&gt;Condition: "&amp;PartsMaster!AB406&amp;"&lt;/P&gt;&lt;P&gt; (part source "&amp;PartsMaster!AD406&amp;")&lt;/P&gt;&lt;P&gt;Notes: "&amp;PartsMaster!AA406&amp;"&lt;/P&gt;"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2" s="20" t="s">
        <v>1171</v>
      </c>
      <c r="AC2" s="20">
        <v>0</v>
      </c>
      <c r="AD2" s="20">
        <v>0</v>
      </c>
      <c r="AE2" s="20" t="s">
        <v>1172</v>
      </c>
      <c r="AF2" s="20">
        <v>7</v>
      </c>
      <c r="AG2" s="20">
        <v>0</v>
      </c>
      <c r="AH2" s="20">
        <v>0</v>
      </c>
      <c r="AI2" s="20">
        <v>0</v>
      </c>
      <c r="AJ2" s="20">
        <v>0</v>
      </c>
      <c r="AK2" s="20">
        <v>0</v>
      </c>
      <c r="AO2" s="20" t="s">
        <v>1173</v>
      </c>
      <c r="AR2" s="20">
        <v>0</v>
      </c>
      <c r="AS2" s="20">
        <v>10112</v>
      </c>
      <c r="AV2" s="20" t="s">
        <v>1174</v>
      </c>
      <c r="AX2" s="20">
        <v>62128510024</v>
      </c>
      <c r="AY2" s="20">
        <v>62035811024</v>
      </c>
      <c r="AZ2" s="20">
        <v>55187694024</v>
      </c>
      <c r="BA2" s="20" t="s">
        <v>1175</v>
      </c>
      <c r="BB2" s="20" t="s">
        <v>1176</v>
      </c>
      <c r="BC2" s="20" t="s">
        <v>1177</v>
      </c>
      <c r="BD2" s="20">
        <v>1</v>
      </c>
      <c r="BE2" s="20">
        <v>0</v>
      </c>
      <c r="BF2" s="20">
        <v>0</v>
      </c>
      <c r="BG2" s="20">
        <v>0</v>
      </c>
      <c r="BN2" s="20" t="s">
        <v>1178</v>
      </c>
      <c r="BV2" s="20">
        <v>0</v>
      </c>
      <c r="CL2" s="20">
        <v>0</v>
      </c>
      <c r="DD2" s="20" t="s">
        <v>1179</v>
      </c>
      <c r="DE2" s="20" t="s">
        <v>1179</v>
      </c>
      <c r="DI2" s="20">
        <v>0</v>
      </c>
      <c r="DP2" s="21" t="s">
        <v>1180</v>
      </c>
      <c r="DQ2" s="21">
        <f>PartsMaster!$A406</f>
        <v>0</v>
      </c>
      <c r="DR2" s="21" t="s">
        <v>1181</v>
      </c>
      <c r="DS2" s="21" t="str">
        <f>PartsMaster!$K407&amp;" "&amp;PartsMaster!L407&amp;" "&amp;PartsMaster!$M407</f>
        <v>Front Right Low</v>
      </c>
    </row>
    <row r="3" spans="1:125" hidden="1" x14ac:dyDescent="0.25">
      <c r="A3" s="20" t="s">
        <v>1166</v>
      </c>
      <c r="B3" s="20" t="s">
        <v>1167</v>
      </c>
      <c r="C3" s="20" t="s">
        <v>1168</v>
      </c>
      <c r="D3" s="21" t="str">
        <f>PartsMaster!B407&amp;" "&amp;PartsMaster!$C407</f>
        <v>Jaguar XK8 XKR X100 Seat - Mechanism cover - Warm Charcoal</v>
      </c>
      <c r="E3" s="20">
        <v>3000</v>
      </c>
      <c r="F3" s="20" t="s">
        <v>1182</v>
      </c>
      <c r="H3" s="21">
        <f>PartsMaster!$Q407</f>
        <v>0</v>
      </c>
      <c r="I3" s="20">
        <v>9886</v>
      </c>
      <c r="K3" s="20">
        <v>0</v>
      </c>
      <c r="L3" s="20">
        <v>0</v>
      </c>
      <c r="M3" s="21">
        <f>PartsMaster!$D407</f>
        <v>0</v>
      </c>
      <c r="O3" s="20" t="s">
        <v>1169</v>
      </c>
      <c r="P3" s="23">
        <f>PartsMaster!$S407/1.45</f>
        <v>0</v>
      </c>
      <c r="S3" s="20">
        <v>30</v>
      </c>
      <c r="T3" s="20">
        <v>0</v>
      </c>
      <c r="U3" s="20" t="s">
        <v>1170</v>
      </c>
      <c r="Z3" s="26" t="str">
        <f>"&lt;P&gt;"&amp;PartsMaster!$I407&amp;" "&amp;PartsMaster!$H407&amp;"&lt;/P&gt;"&amp;"&lt;P&gt;Jaguar part name "&amp;PartsMaster!$E407&amp;"&lt;/P&gt;&lt;P&gt;Product numbers "&amp;PartsMaster!R407&amp;" "&amp;DQ3&amp;"&lt;/P&gt;&lt;P&gt;Fits starting from VIN/ModelYear "&amp;PartsMaster!$F407&amp;" until VIN/ModelYear "&amp;PartsMaster!$G407&amp;"&lt;/P&gt;&lt;P&gt;Condition: "&amp;PartsMaster!AB407&amp;"&lt;/P&gt;&lt;P&gt; (part source "&amp;PartsMaster!AD407&amp;")&lt;/P&gt;&lt;P&gt;Notes: "&amp;PartsMaster!AA407&amp;"&lt;/P&gt;"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3" s="20" t="s">
        <v>1171</v>
      </c>
      <c r="AC3" s="20">
        <v>0</v>
      </c>
      <c r="AD3" s="20">
        <v>0</v>
      </c>
      <c r="AE3" s="20" t="s">
        <v>1172</v>
      </c>
      <c r="AF3" s="20">
        <v>7</v>
      </c>
      <c r="AG3" s="20">
        <v>0</v>
      </c>
      <c r="AH3" s="20">
        <v>0</v>
      </c>
      <c r="AI3" s="20">
        <v>0</v>
      </c>
      <c r="AJ3" s="20">
        <v>0</v>
      </c>
      <c r="AK3" s="20">
        <v>0</v>
      </c>
      <c r="AO3" s="20" t="s">
        <v>1173</v>
      </c>
      <c r="AR3" s="20">
        <v>0</v>
      </c>
      <c r="AS3" s="20">
        <v>10112</v>
      </c>
      <c r="AV3" s="20" t="s">
        <v>1174</v>
      </c>
      <c r="AX3" s="20">
        <v>62128510024</v>
      </c>
      <c r="AY3" s="20">
        <v>62035811024</v>
      </c>
      <c r="AZ3" s="20">
        <v>55187694024</v>
      </c>
      <c r="BA3" s="20" t="s">
        <v>1175</v>
      </c>
      <c r="BB3" s="20" t="s">
        <v>1176</v>
      </c>
      <c r="BC3" s="20" t="s">
        <v>1177</v>
      </c>
      <c r="BD3" s="20">
        <v>1</v>
      </c>
      <c r="BE3" s="20">
        <v>0</v>
      </c>
      <c r="BF3" s="20">
        <v>0</v>
      </c>
      <c r="BG3" s="20">
        <v>0</v>
      </c>
      <c r="BN3" s="20" t="s">
        <v>1178</v>
      </c>
      <c r="BV3" s="20">
        <v>0</v>
      </c>
      <c r="CL3" s="20">
        <v>0</v>
      </c>
      <c r="DD3" s="20" t="s">
        <v>1179</v>
      </c>
      <c r="DE3" s="20" t="s">
        <v>1179</v>
      </c>
      <c r="DI3" s="20">
        <v>0</v>
      </c>
      <c r="DP3" s="21" t="s">
        <v>1180</v>
      </c>
      <c r="DQ3" s="21">
        <f>PartsMaster!$A407</f>
        <v>0</v>
      </c>
      <c r="DR3" s="21" t="s">
        <v>1181</v>
      </c>
      <c r="DS3" s="21" t="str">
        <f>PartsMaster!$K408&amp;" "&amp;PartsMaster!L408&amp;" "&amp;PartsMaster!$M408</f>
        <v>Front Right Low</v>
      </c>
    </row>
    <row r="4" spans="1:125" x14ac:dyDescent="0.25">
      <c r="A4" s="20" t="s">
        <v>1166</v>
      </c>
      <c r="B4" s="20" t="s">
        <v>1167</v>
      </c>
      <c r="C4" s="20" t="s">
        <v>1168</v>
      </c>
      <c r="D4" s="21" t="str">
        <f>PartsMaster!B2&amp;" "&amp;PartsMaster!$C2</f>
        <v>Jaguar XK8 XKR X100 Timing Chain Service Kit (no Crank Bold)</v>
      </c>
      <c r="E4" s="20">
        <v>3000</v>
      </c>
      <c r="F4" s="20" t="s">
        <v>1182</v>
      </c>
      <c r="H4" s="21" t="str">
        <f>PartsMaster!$Q2</f>
        <v>TIMING GEAR SERVICE KIT</v>
      </c>
      <c r="I4" s="20">
        <v>9886</v>
      </c>
      <c r="K4" s="20">
        <v>0</v>
      </c>
      <c r="L4" s="20">
        <v>0</v>
      </c>
      <c r="M4" s="21">
        <f>PartsMaster!$D2</f>
        <v>0</v>
      </c>
      <c r="O4" s="20" t="s">
        <v>1169</v>
      </c>
      <c r="P4" s="23">
        <f>PartsMaster!$S2/1.45</f>
        <v>0</v>
      </c>
      <c r="S4" s="20">
        <v>30</v>
      </c>
      <c r="T4" s="20">
        <v>0</v>
      </c>
      <c r="U4" s="20" t="s">
        <v>1170</v>
      </c>
      <c r="Z4" s="26" t="str">
        <f>"&lt;P&gt;"&amp;PartsMaster!$I2&amp;" "&amp;PartsMaster!$H2&amp;"&lt;/P&gt;"&amp;"&lt;P&gt;Jaguar part name "&amp;PartsMaster!$E2&amp;"&lt;/P&gt;&lt;P&gt;Product numbers "&amp;PartsMaster!R2&amp;" "&amp;DQ4&amp;"&lt;/P&gt;&lt;P&gt;Fits starting from VIN/ModelYear "&amp;PartsMaster!$F2&amp;" until VIN/ModelYear "&amp;PartsMaster!$G2&amp;"&lt;/P&gt;&lt;P&gt;Condition: "&amp;PartsMaster!AB2&amp;"&lt;/P&gt;&lt;P&gt; (part source "&amp;PartsMaster!AD2&amp;")&lt;/P&gt;&lt;P&gt;Notes: "&amp;PartsMaster!AA2&amp;"&lt;/P&gt;"</f>
        <v>&lt;P&gt;Engine Timing Kit&lt;/P&gt;&lt;P&gt;Jaguar part name &lt;/P&gt;&lt;P&gt;Product numbers ACC1269KIT ACC1269KIT&lt;/P&gt;&lt;P&gt;Fits starting from VIN/ModelYear  until VIN/ModelYear &lt;/P&gt;&lt;P&gt;Condition: British Parts&lt;/P&gt;&lt;P&gt; (part source )&lt;/P&gt;&lt;P&gt;Notes: &lt;/P&gt;</v>
      </c>
      <c r="AA4" s="20" t="s">
        <v>1171</v>
      </c>
      <c r="AC4" s="20">
        <v>0</v>
      </c>
      <c r="AD4" s="20">
        <v>0</v>
      </c>
      <c r="AE4" s="20" t="s">
        <v>1172</v>
      </c>
      <c r="AF4" s="20">
        <v>7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O4" s="20" t="s">
        <v>1173</v>
      </c>
      <c r="AR4" s="20">
        <v>0</v>
      </c>
      <c r="AS4" s="20">
        <v>10112</v>
      </c>
      <c r="AV4" s="20" t="s">
        <v>1174</v>
      </c>
      <c r="AX4" s="20">
        <v>62128510024</v>
      </c>
      <c r="AY4" s="20">
        <v>62035811024</v>
      </c>
      <c r="AZ4" s="20">
        <v>55187694024</v>
      </c>
      <c r="BA4" s="20" t="s">
        <v>1175</v>
      </c>
      <c r="BB4" s="20" t="s">
        <v>1176</v>
      </c>
      <c r="BC4" s="20" t="s">
        <v>1177</v>
      </c>
      <c r="BD4" s="20">
        <v>1</v>
      </c>
      <c r="BE4" s="20">
        <v>0</v>
      </c>
      <c r="BF4" s="20">
        <v>0</v>
      </c>
      <c r="BG4" s="20">
        <v>0</v>
      </c>
      <c r="BN4" s="20" t="s">
        <v>1178</v>
      </c>
      <c r="BV4" s="20">
        <v>0</v>
      </c>
      <c r="CL4" s="20">
        <v>0</v>
      </c>
      <c r="DD4" s="20" t="s">
        <v>1179</v>
      </c>
      <c r="DE4" s="20" t="s">
        <v>1179</v>
      </c>
      <c r="DI4" s="20">
        <v>0</v>
      </c>
      <c r="DP4" s="21" t="s">
        <v>1180</v>
      </c>
      <c r="DQ4" s="21" t="str">
        <f>PartsMaster!$A2</f>
        <v>ACC1269KIT</v>
      </c>
      <c r="DR4" s="21" t="s">
        <v>1181</v>
      </c>
      <c r="DS4" s="21" t="str">
        <f>PartsMaster!$K3&amp;" "&amp;PartsMaster!L3&amp;" "&amp;PartsMaster!$M3</f>
        <v xml:space="preserve">Front/Rear Left/Right </v>
      </c>
    </row>
    <row r="5" spans="1:125" ht="45" x14ac:dyDescent="0.25">
      <c r="A5" s="20" t="s">
        <v>1166</v>
      </c>
      <c r="B5" s="20" t="s">
        <v>1167</v>
      </c>
      <c r="C5" s="20" t="s">
        <v>1168</v>
      </c>
      <c r="D5" s="21" t="str">
        <f>PartsMaster!B3&amp;" "&amp;PartsMaster!$C3</f>
        <v>Jaguar XK8 XKR X100 Wheelarch Liner - Plastic push on nut</v>
      </c>
      <c r="E5" s="20">
        <v>3000</v>
      </c>
      <c r="F5" s="20" t="s">
        <v>1182</v>
      </c>
      <c r="H5" s="21" t="str">
        <f>PartsMaster!$Q3</f>
        <v xml:space="preserve">NUT-PLASTIC </v>
      </c>
      <c r="I5" s="20">
        <v>9886</v>
      </c>
      <c r="K5" s="20">
        <v>0</v>
      </c>
      <c r="L5" s="20">
        <v>0</v>
      </c>
      <c r="M5" s="21">
        <f>PartsMaster!$D3</f>
        <v>0</v>
      </c>
      <c r="O5" s="20" t="s">
        <v>1169</v>
      </c>
      <c r="P5" s="23">
        <f>PartsMaster!$S3/1.45</f>
        <v>0</v>
      </c>
      <c r="S5" s="20">
        <v>30</v>
      </c>
      <c r="T5" s="20">
        <v>0</v>
      </c>
      <c r="U5" s="20" t="s">
        <v>1170</v>
      </c>
      <c r="Z5" s="26" t="str">
        <f>"&lt;P&gt;"&amp;PartsMaster!$I3&amp;" "&amp;PartsMaster!$H3&amp;"&lt;/P&gt;"&amp;"&lt;P&gt;Jaguar part name "&amp;PartsMaster!$E3&amp;"&lt;/P&gt;&lt;P&gt;Product numbers "&amp;PartsMaster!R3&amp;" "&amp;DQ5&amp;"&lt;/P&gt;&lt;P&gt;Fits starting from VIN/ModelYear "&amp;PartsMaster!$F3&amp;" until VIN/ModelYear "&amp;PartsMaster!$G3&amp;"&lt;/P&gt;&lt;P&gt;Condition: "&amp;PartsMaster!AB3&amp;"&lt;/P&gt;&lt;P&gt; (part source "&amp;PartsMaster!AD3&amp;")&lt;/P&gt;&lt;P&gt;Notes: "&amp;PartsMaster!AA3&amp;"&lt;/P&gt;"</f>
        <v>&lt;P&gt;Mounting Bolt / Screw&lt;/P&gt;&lt;P&gt;Jaguar part name &lt;/P&gt;&lt;P&gt;Product numbers AGU2436J AGU2436J&lt;/P&gt;&lt;P&gt;Fits starting from VIN/ModelYear  until VIN/ModelYear &lt;/P&gt;&lt;P&gt;Condition: SNG Barratt&lt;/P&gt;&lt;P&gt; (part source )&lt;/P&gt;&lt;P&gt;Notes: &lt;/P&gt;</v>
      </c>
      <c r="AA5" s="20" t="s">
        <v>1171</v>
      </c>
      <c r="AC5" s="20">
        <v>0</v>
      </c>
      <c r="AD5" s="20">
        <v>0</v>
      </c>
      <c r="AE5" s="20" t="s">
        <v>1172</v>
      </c>
      <c r="AF5" s="20">
        <v>7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O5" s="20" t="s">
        <v>1173</v>
      </c>
      <c r="AR5" s="20">
        <v>0</v>
      </c>
      <c r="AS5" s="20">
        <v>10112</v>
      </c>
      <c r="AV5" s="20" t="s">
        <v>1174</v>
      </c>
      <c r="AX5" s="20">
        <v>62128510024</v>
      </c>
      <c r="AY5" s="20">
        <v>62035811024</v>
      </c>
      <c r="AZ5" s="20">
        <v>55187694024</v>
      </c>
      <c r="BA5" s="20" t="s">
        <v>1175</v>
      </c>
      <c r="BB5" s="20" t="s">
        <v>1176</v>
      </c>
      <c r="BC5" s="20" t="s">
        <v>1177</v>
      </c>
      <c r="BD5" s="20">
        <v>1</v>
      </c>
      <c r="BE5" s="20">
        <v>0</v>
      </c>
      <c r="BF5" s="20">
        <v>0</v>
      </c>
      <c r="BG5" s="20">
        <v>0</v>
      </c>
      <c r="BN5" s="20" t="s">
        <v>1178</v>
      </c>
      <c r="BV5" s="20">
        <v>0</v>
      </c>
      <c r="CL5" s="20">
        <v>0</v>
      </c>
      <c r="DD5" s="20" t="s">
        <v>1179</v>
      </c>
      <c r="DE5" s="20" t="s">
        <v>1179</v>
      </c>
      <c r="DI5" s="20">
        <v>0</v>
      </c>
      <c r="DP5" s="21" t="s">
        <v>1180</v>
      </c>
      <c r="DQ5" s="21" t="str">
        <f>PartsMaster!$A3</f>
        <v>AGU2436J</v>
      </c>
      <c r="DR5" s="21" t="s">
        <v>1181</v>
      </c>
      <c r="DS5" s="21" t="str">
        <f>PartsMaster!$K4&amp;" "&amp;PartsMaster!L4&amp;" "&amp;PartsMaster!$M4</f>
        <v>Rear  Top</v>
      </c>
    </row>
    <row r="6" spans="1:125" hidden="1" x14ac:dyDescent="0.25">
      <c r="A6" s="20" t="s">
        <v>1166</v>
      </c>
      <c r="B6" s="20" t="s">
        <v>1167</v>
      </c>
      <c r="C6" s="20" t="s">
        <v>1168</v>
      </c>
      <c r="D6" s="21" t="str">
        <f>PartsMaster!B408&amp;" "&amp;PartsMaster!$C408</f>
        <v>Jaguar XK8 XKR X100 Seat - Mechanism cover - Warm Charcoal</v>
      </c>
      <c r="E6" s="20">
        <v>3000</v>
      </c>
      <c r="F6" s="20" t="s">
        <v>1182</v>
      </c>
      <c r="H6" s="21">
        <f>PartsMaster!$Q408</f>
        <v>0</v>
      </c>
      <c r="I6" s="20">
        <v>9886</v>
      </c>
      <c r="K6" s="20">
        <v>0</v>
      </c>
      <c r="L6" s="20">
        <v>0</v>
      </c>
      <c r="M6" s="21">
        <f>PartsMaster!$D408</f>
        <v>0</v>
      </c>
      <c r="O6" s="20" t="s">
        <v>1169</v>
      </c>
      <c r="P6" s="23">
        <f>PartsMaster!$S408/1.45</f>
        <v>0</v>
      </c>
      <c r="S6" s="20">
        <v>30</v>
      </c>
      <c r="T6" s="20">
        <v>0</v>
      </c>
      <c r="U6" s="20" t="s">
        <v>1170</v>
      </c>
      <c r="Z6" s="26" t="str">
        <f>"&lt;P&gt;"&amp;PartsMaster!$I408&amp;" "&amp;PartsMaster!$H408&amp;"&lt;/P&gt;"&amp;"&lt;P&gt;Jaguar part name "&amp;PartsMaster!$E408&amp;"&lt;/P&gt;&lt;P&gt;Product numbers "&amp;PartsMaster!R408&amp;" "&amp;DQ6&amp;"&lt;/P&gt;&lt;P&gt;Fits starting from VIN/ModelYear "&amp;PartsMaster!$F408&amp;" until VIN/ModelYear "&amp;PartsMaster!$G408&amp;"&lt;/P&gt;&lt;P&gt;Condition: "&amp;PartsMaster!AB408&amp;"&lt;/P&gt;&lt;P&gt; (part source "&amp;PartsMaster!AD408&amp;")&lt;/P&gt;&lt;P&gt;Notes: "&amp;PartsMaster!AA408&amp;"&lt;/P&gt;"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6" s="20" t="s">
        <v>1171</v>
      </c>
      <c r="AC6" s="20">
        <v>0</v>
      </c>
      <c r="AD6" s="20">
        <v>0</v>
      </c>
      <c r="AE6" s="20" t="s">
        <v>1172</v>
      </c>
      <c r="AF6" s="20">
        <v>7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O6" s="20" t="s">
        <v>1173</v>
      </c>
      <c r="AR6" s="20">
        <v>0</v>
      </c>
      <c r="AS6" s="20">
        <v>10112</v>
      </c>
      <c r="AV6" s="20" t="s">
        <v>1174</v>
      </c>
      <c r="AX6" s="20">
        <v>62128510024</v>
      </c>
      <c r="AY6" s="20">
        <v>62035811024</v>
      </c>
      <c r="AZ6" s="20">
        <v>55187694024</v>
      </c>
      <c r="BA6" s="20" t="s">
        <v>1175</v>
      </c>
      <c r="BB6" s="20" t="s">
        <v>1176</v>
      </c>
      <c r="BC6" s="20" t="s">
        <v>1177</v>
      </c>
      <c r="BD6" s="20">
        <v>1</v>
      </c>
      <c r="BE6" s="20">
        <v>0</v>
      </c>
      <c r="BF6" s="20">
        <v>0</v>
      </c>
      <c r="BG6" s="20">
        <v>0</v>
      </c>
      <c r="BN6" s="20" t="s">
        <v>1178</v>
      </c>
      <c r="BV6" s="20">
        <v>0</v>
      </c>
      <c r="CL6" s="20">
        <v>0</v>
      </c>
      <c r="DD6" s="20" t="s">
        <v>1179</v>
      </c>
      <c r="DE6" s="20" t="s">
        <v>1179</v>
      </c>
      <c r="DI6" s="20">
        <v>0</v>
      </c>
      <c r="DP6" s="21" t="s">
        <v>1180</v>
      </c>
      <c r="DQ6" s="21">
        <f>PartsMaster!$A408</f>
        <v>0</v>
      </c>
      <c r="DR6" s="21" t="s">
        <v>1181</v>
      </c>
      <c r="DS6" s="21" t="str">
        <f>PartsMaster!$K409&amp;" "&amp;PartsMaster!L409&amp;" "&amp;PartsMaster!$M409</f>
        <v>Front Right Low</v>
      </c>
    </row>
    <row r="7" spans="1:125" ht="30" hidden="1" x14ac:dyDescent="0.25">
      <c r="A7" s="20" t="s">
        <v>1166</v>
      </c>
      <c r="B7" s="20" t="s">
        <v>1167</v>
      </c>
      <c r="C7" s="20" t="s">
        <v>1168</v>
      </c>
      <c r="D7" s="21" t="str">
        <f>PartsMaster!B4&amp;" "&amp;PartsMaster!$C4</f>
        <v xml:space="preserve">Jaguar XK8 XKR X100 Trunk lining mount rivets </v>
      </c>
      <c r="E7" s="20">
        <v>3000</v>
      </c>
      <c r="F7" s="20" t="s">
        <v>1182</v>
      </c>
      <c r="H7" s="21" t="str">
        <f>PartsMaster!$Q4</f>
        <v xml:space="preserve">FASTENER-PUS </v>
      </c>
      <c r="I7" s="20">
        <v>9886</v>
      </c>
      <c r="K7" s="20">
        <v>0</v>
      </c>
      <c r="L7" s="20">
        <v>0</v>
      </c>
      <c r="M7" s="21">
        <f>PartsMaster!$D4</f>
        <v>6</v>
      </c>
      <c r="O7" s="20" t="s">
        <v>1169</v>
      </c>
      <c r="P7" s="23">
        <f>PartsMaster!$S4/1.45</f>
        <v>0.68965517241379315</v>
      </c>
      <c r="S7" s="20">
        <v>30</v>
      </c>
      <c r="T7" s="20">
        <v>0</v>
      </c>
      <c r="U7" s="20" t="s">
        <v>1170</v>
      </c>
      <c r="Z7" s="26" t="str">
        <f>"&lt;P&gt;"&amp;PartsMaster!$I4&amp;" "&amp;PartsMaster!$H4&amp;"&lt;/P&gt;"&amp;"&lt;P&gt;Jaguar part name "&amp;PartsMaster!$E4&amp;"&lt;/P&gt;&lt;P&gt;Product numbers "&amp;PartsMaster!R4&amp;" "&amp;DQ7&amp;"&lt;/P&gt;&lt;P&gt;Fits starting from VIN/ModelYear "&amp;PartsMaster!$F4&amp;" until VIN/ModelYear "&amp;PartsMaster!$G4&amp;"&lt;/P&gt;&lt;P&gt;Condition: "&amp;PartsMaster!AB4&amp;"&lt;/P&gt;&lt;P&gt; (part source "&amp;PartsMaster!AD4&amp;")&lt;/P&gt;&lt;P&gt;Notes: "&amp;PartsMaster!AA4&amp;"&lt;/P&gt;"</f>
        <v>&lt;P&gt;Fastener / Fir-tree / Rivet Interior trim&lt;/P&gt;&lt;P&gt;Jaguar part name Trunc Lid Liner Push in fastener &lt;/P&gt;&lt;P&gt;Product numbers AGU2530 AGU2530&lt;/P&gt;&lt;P&gt;Fits starting from VIN/ModelYear  until VIN/ModelYear &lt;/P&gt;&lt;P&gt;Condition: Dismantled from bottom &amp; engine damaged MY1997 XK8 Convertible VIN 0136xx&lt;/P&gt;&lt;P&gt; (part source )&lt;/P&gt;&lt;P&gt;Notes: &lt;/P&gt;</v>
      </c>
      <c r="AA7" s="20" t="s">
        <v>1171</v>
      </c>
      <c r="AC7" s="20">
        <v>0</v>
      </c>
      <c r="AD7" s="20">
        <v>0</v>
      </c>
      <c r="AE7" s="20" t="s">
        <v>1172</v>
      </c>
      <c r="AF7" s="20">
        <v>7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O7" s="20" t="s">
        <v>1173</v>
      </c>
      <c r="AR7" s="20">
        <v>0</v>
      </c>
      <c r="AS7" s="20">
        <v>10112</v>
      </c>
      <c r="AV7" s="20" t="s">
        <v>1174</v>
      </c>
      <c r="AX7" s="20">
        <v>62128510024</v>
      </c>
      <c r="AY7" s="20">
        <v>62035811024</v>
      </c>
      <c r="AZ7" s="20">
        <v>55187694024</v>
      </c>
      <c r="BA7" s="20" t="s">
        <v>1175</v>
      </c>
      <c r="BB7" s="20" t="s">
        <v>1176</v>
      </c>
      <c r="BC7" s="20" t="s">
        <v>1177</v>
      </c>
      <c r="BD7" s="20">
        <v>1</v>
      </c>
      <c r="BE7" s="20">
        <v>0</v>
      </c>
      <c r="BF7" s="20">
        <v>0</v>
      </c>
      <c r="BG7" s="20">
        <v>0</v>
      </c>
      <c r="BN7" s="20" t="s">
        <v>1178</v>
      </c>
      <c r="BV7" s="20">
        <v>0</v>
      </c>
      <c r="CL7" s="20">
        <v>0</v>
      </c>
      <c r="DD7" s="20" t="s">
        <v>1179</v>
      </c>
      <c r="DE7" s="20" t="s">
        <v>1179</v>
      </c>
      <c r="DI7" s="20">
        <v>0</v>
      </c>
      <c r="DP7" s="21" t="s">
        <v>1180</v>
      </c>
      <c r="DQ7" s="21" t="str">
        <f>PartsMaster!$A4</f>
        <v>AGU2530</v>
      </c>
      <c r="DR7" s="21" t="s">
        <v>1181</v>
      </c>
      <c r="DS7" s="21" t="str">
        <f>PartsMaster!$K5&amp;" "&amp;PartsMaster!L5&amp;" "&amp;PartsMaster!$M5</f>
        <v xml:space="preserve">  </v>
      </c>
    </row>
    <row r="8" spans="1:125" ht="30" hidden="1" x14ac:dyDescent="0.25">
      <c r="A8" s="20" t="s">
        <v>1166</v>
      </c>
      <c r="B8" s="20" t="s">
        <v>1167</v>
      </c>
      <c r="C8" s="20" t="s">
        <v>1168</v>
      </c>
      <c r="D8" s="21" t="str">
        <f>PartsMaster!B5&amp;" "&amp;PartsMaster!$C5</f>
        <v>Jaguar XK8 XKR X100 THERMOSTAT KIT-ALUMINIUM</v>
      </c>
      <c r="E8" s="20">
        <v>3000</v>
      </c>
      <c r="F8" s="20" t="s">
        <v>1182</v>
      </c>
      <c r="H8" s="21" t="str">
        <f>PartsMaster!$Q5</f>
        <v>THERMOSTAT KIT-ALUMINIUM</v>
      </c>
      <c r="I8" s="20">
        <v>9886</v>
      </c>
      <c r="K8" s="20">
        <v>0</v>
      </c>
      <c r="L8" s="20">
        <v>0</v>
      </c>
      <c r="M8" s="21">
        <f>PartsMaster!$D5</f>
        <v>0</v>
      </c>
      <c r="O8" s="20" t="s">
        <v>1169</v>
      </c>
      <c r="P8" s="23">
        <f>PartsMaster!$S5/1.45</f>
        <v>0</v>
      </c>
      <c r="S8" s="20">
        <v>30</v>
      </c>
      <c r="T8" s="20">
        <v>0</v>
      </c>
      <c r="U8" s="20" t="s">
        <v>1170</v>
      </c>
      <c r="Z8" s="26" t="str">
        <f>"&lt;P&gt;"&amp;PartsMaster!$I5&amp;" "&amp;PartsMaster!$H5&amp;"&lt;/P&gt;"&amp;"&lt;P&gt;Jaguar part name "&amp;PartsMaster!$E5&amp;"&lt;/P&gt;&lt;P&gt;Product numbers "&amp;PartsMaster!R5&amp;" "&amp;DQ8&amp;"&lt;/P&gt;&lt;P&gt;Fits starting from VIN/ModelYear "&amp;PartsMaster!$F5&amp;" until VIN/ModelYear "&amp;PartsMaster!$G5&amp;"&lt;/P&gt;&lt;P&gt;Condition: "&amp;PartsMaster!AB5&amp;"&lt;/P&gt;&lt;P&gt; (part source "&amp;PartsMaster!AD5&amp;")&lt;/P&gt;&lt;P&gt;Notes: "&amp;PartsMaster!AA5&amp;"&lt;/P&gt;"</f>
        <v>&lt;P&gt;Engine Cooling Kit&lt;/P&gt;&lt;P&gt;Jaguar part name &lt;/P&gt;&lt;P&gt;Product numbers AJ82217KIT1A AJ82217KIT1A&lt;/P&gt;&lt;P&gt;Fits starting from VIN/ModelYear  until VIN/ModelYear &lt;/P&gt;&lt;P&gt;Condition: British Parts&lt;/P&gt;&lt;P&gt; (part source )&lt;/P&gt;&lt;P&gt;Notes: &lt;/P&gt;</v>
      </c>
      <c r="AA8" s="20" t="s">
        <v>1171</v>
      </c>
      <c r="AC8" s="20">
        <v>0</v>
      </c>
      <c r="AD8" s="20">
        <v>0</v>
      </c>
      <c r="AE8" s="20" t="s">
        <v>1172</v>
      </c>
      <c r="AF8" s="20">
        <v>7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O8" s="20" t="s">
        <v>1173</v>
      </c>
      <c r="AR8" s="20">
        <v>0</v>
      </c>
      <c r="AS8" s="20">
        <v>10112</v>
      </c>
      <c r="AV8" s="20" t="s">
        <v>1174</v>
      </c>
      <c r="AX8" s="20">
        <v>62128510024</v>
      </c>
      <c r="AY8" s="20">
        <v>62035811024</v>
      </c>
      <c r="AZ8" s="20">
        <v>55187694024</v>
      </c>
      <c r="BA8" s="20" t="s">
        <v>1175</v>
      </c>
      <c r="BB8" s="20" t="s">
        <v>1176</v>
      </c>
      <c r="BC8" s="20" t="s">
        <v>1177</v>
      </c>
      <c r="BD8" s="20">
        <v>1</v>
      </c>
      <c r="BE8" s="20">
        <v>0</v>
      </c>
      <c r="BF8" s="20">
        <v>0</v>
      </c>
      <c r="BG8" s="20">
        <v>0</v>
      </c>
      <c r="BN8" s="20" t="s">
        <v>1178</v>
      </c>
      <c r="BV8" s="20">
        <v>0</v>
      </c>
      <c r="CL8" s="20">
        <v>0</v>
      </c>
      <c r="DD8" s="20" t="s">
        <v>1179</v>
      </c>
      <c r="DE8" s="20" t="s">
        <v>1179</v>
      </c>
      <c r="DI8" s="20">
        <v>0</v>
      </c>
      <c r="DP8" s="21" t="s">
        <v>1180</v>
      </c>
      <c r="DQ8" s="21" t="str">
        <f>PartsMaster!$A5</f>
        <v>AJ82217KIT1A</v>
      </c>
      <c r="DR8" s="21" t="s">
        <v>1181</v>
      </c>
      <c r="DS8" s="21" t="str">
        <f>PartsMaster!$K6&amp;" "&amp;PartsMaster!L6&amp;" "&amp;PartsMaster!$M6</f>
        <v xml:space="preserve">  </v>
      </c>
    </row>
    <row r="9" spans="1:125" ht="30" hidden="1" x14ac:dyDescent="0.25">
      <c r="A9" s="20" t="s">
        <v>1166</v>
      </c>
      <c r="B9" s="20" t="s">
        <v>1167</v>
      </c>
      <c r="C9" s="20" t="s">
        <v>1168</v>
      </c>
      <c r="D9" s="21" t="str">
        <f>PartsMaster!B6&amp;" "&amp;PartsMaster!$C6</f>
        <v>Jaguar XK8 XKR X100 Timing Chain Tensioner Primary</v>
      </c>
      <c r="E9" s="20">
        <v>3000</v>
      </c>
      <c r="F9" s="20" t="s">
        <v>1182</v>
      </c>
      <c r="H9" s="21" t="str">
        <f>PartsMaster!$Q6</f>
        <v xml:space="preserve">TIMING CHAIN TENSIONER </v>
      </c>
      <c r="I9" s="20">
        <v>9886</v>
      </c>
      <c r="K9" s="20">
        <v>0</v>
      </c>
      <c r="L9" s="20">
        <v>0</v>
      </c>
      <c r="M9" s="21">
        <f>PartsMaster!$D6</f>
        <v>1</v>
      </c>
      <c r="O9" s="20" t="s">
        <v>1169</v>
      </c>
      <c r="P9" s="23">
        <f>PartsMaster!$S6/1.45</f>
        <v>0</v>
      </c>
      <c r="S9" s="20">
        <v>30</v>
      </c>
      <c r="T9" s="20">
        <v>0</v>
      </c>
      <c r="U9" s="20" t="s">
        <v>1170</v>
      </c>
      <c r="Z9" s="26" t="str">
        <f>"&lt;P&gt;"&amp;PartsMaster!$I6&amp;" "&amp;PartsMaster!$H6&amp;"&lt;/P&gt;"&amp;"&lt;P&gt;Jaguar part name "&amp;PartsMaster!$E6&amp;"&lt;/P&gt;&lt;P&gt;Product numbers "&amp;PartsMaster!R6&amp;" "&amp;DQ9&amp;"&lt;/P&gt;&lt;P&gt;Fits starting from VIN/ModelYear "&amp;PartsMaster!$F6&amp;" until VIN/ModelYear "&amp;PartsMaster!$G6&amp;"&lt;/P&gt;&lt;P&gt;Condition: "&amp;PartsMaster!AB6&amp;"&lt;/P&gt;&lt;P&gt; (part source "&amp;PartsMaster!AD6&amp;")&lt;/P&gt;&lt;P&gt;Notes: "&amp;PartsMaster!AA6&amp;"&lt;/P&gt;"</f>
        <v>&lt;P&gt;Engine Timing Chain tensioner&lt;/P&gt;&lt;P&gt;Jaguar part name &lt;/P&gt;&lt;P&gt;Product numbers AJ82325 AJ82325&lt;/P&gt;&lt;P&gt;Fits starting from VIN/ModelYear X100, 1996 - X308, 1997 until VIN/ModelYear X100, 2006 - X308, 2002&lt;/P&gt;&lt;P&gt;Condition: British Parts&lt;/P&gt;&lt;P&gt; (part source )&lt;/P&gt;&lt;P&gt;Notes: &lt;/P&gt;</v>
      </c>
      <c r="AA9" s="20" t="s">
        <v>1171</v>
      </c>
      <c r="AC9" s="20">
        <v>0</v>
      </c>
      <c r="AD9" s="20">
        <v>0</v>
      </c>
      <c r="AE9" s="20" t="s">
        <v>1172</v>
      </c>
      <c r="AF9" s="20">
        <v>7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O9" s="20" t="s">
        <v>1173</v>
      </c>
      <c r="AR9" s="20">
        <v>0</v>
      </c>
      <c r="AS9" s="20">
        <v>10112</v>
      </c>
      <c r="AV9" s="20" t="s">
        <v>1174</v>
      </c>
      <c r="AX9" s="20">
        <v>62128510024</v>
      </c>
      <c r="AY9" s="20">
        <v>62035811024</v>
      </c>
      <c r="AZ9" s="20">
        <v>55187694024</v>
      </c>
      <c r="BA9" s="20" t="s">
        <v>1175</v>
      </c>
      <c r="BB9" s="20" t="s">
        <v>1176</v>
      </c>
      <c r="BC9" s="20" t="s">
        <v>1177</v>
      </c>
      <c r="BD9" s="20">
        <v>1</v>
      </c>
      <c r="BE9" s="20">
        <v>0</v>
      </c>
      <c r="BF9" s="20">
        <v>0</v>
      </c>
      <c r="BG9" s="20">
        <v>0</v>
      </c>
      <c r="BN9" s="20" t="s">
        <v>1178</v>
      </c>
      <c r="BV9" s="20">
        <v>0</v>
      </c>
      <c r="CL9" s="20">
        <v>0</v>
      </c>
      <c r="DD9" s="20" t="s">
        <v>1179</v>
      </c>
      <c r="DE9" s="20" t="s">
        <v>1179</v>
      </c>
      <c r="DI9" s="20">
        <v>0</v>
      </c>
      <c r="DP9" s="21" t="s">
        <v>1180</v>
      </c>
      <c r="DQ9" s="21" t="str">
        <f>PartsMaster!$A6</f>
        <v>AJ82325</v>
      </c>
      <c r="DR9" s="21" t="s">
        <v>1181</v>
      </c>
      <c r="DS9" s="21" t="str">
        <f>PartsMaster!$K7&amp;" "&amp;PartsMaster!L7&amp;" "&amp;PartsMaster!$M7</f>
        <v xml:space="preserve">  </v>
      </c>
    </row>
    <row r="10" spans="1:125" ht="30" hidden="1" x14ac:dyDescent="0.25">
      <c r="A10" s="20" t="s">
        <v>1166</v>
      </c>
      <c r="B10" s="20" t="s">
        <v>1167</v>
      </c>
      <c r="C10" s="20" t="s">
        <v>1168</v>
      </c>
      <c r="D10" s="21" t="str">
        <f>PartsMaster!B7&amp;" "&amp;PartsMaster!$C7</f>
        <v>Jaguar XK8 XKR X100 CAMSHAFT COVER SEAL-VVT</v>
      </c>
      <c r="E10" s="20">
        <v>3000</v>
      </c>
      <c r="F10" s="20" t="s">
        <v>1182</v>
      </c>
      <c r="H10" s="21" t="str">
        <f>PartsMaster!$Q7</f>
        <v>CAMSHAFT COVER SEAL-VVT</v>
      </c>
      <c r="I10" s="20">
        <v>9886</v>
      </c>
      <c r="K10" s="20">
        <v>0</v>
      </c>
      <c r="L10" s="20">
        <v>0</v>
      </c>
      <c r="M10" s="21">
        <f>PartsMaster!$D7</f>
        <v>0</v>
      </c>
      <c r="O10" s="20" t="s">
        <v>1169</v>
      </c>
      <c r="P10" s="23">
        <f>PartsMaster!$S7/1.45</f>
        <v>0</v>
      </c>
      <c r="S10" s="20">
        <v>30</v>
      </c>
      <c r="T10" s="20">
        <v>0</v>
      </c>
      <c r="U10" s="20" t="s">
        <v>1170</v>
      </c>
      <c r="Z10" s="26" t="str">
        <f>"&lt;P&gt;"&amp;PartsMaster!$I7&amp;" "&amp;PartsMaster!$H7&amp;"&lt;/P&gt;"&amp;"&lt;P&gt;Jaguar part name "&amp;PartsMaster!$E7&amp;"&lt;/P&gt;&lt;P&gt;Product numbers "&amp;PartsMaster!R7&amp;" "&amp;DQ10&amp;"&lt;/P&gt;&lt;P&gt;Fits starting from VIN/ModelYear "&amp;PartsMaster!$F7&amp;" until VIN/ModelYear "&amp;PartsMaster!$G7&amp;"&lt;/P&gt;&lt;P&gt;Condition: "&amp;PartsMaster!AB7&amp;"&lt;/P&gt;&lt;P&gt; (part source "&amp;PartsMaster!AD7&amp;")&lt;/P&gt;&lt;P&gt;Notes: "&amp;PartsMaster!AA7&amp;"&lt;/P&gt;"</f>
        <v>&lt;P&gt;Engine Oil Gasket / Seal / O-Ring&lt;/P&gt;&lt;P&gt;Jaguar part name &lt;/P&gt;&lt;P&gt;Product numbers AJ82856 AJ82856&lt;/P&gt;&lt;P&gt;Fits starting from VIN/ModelYear  until VIN/ModelYear &lt;/P&gt;&lt;P&gt;Condition: British Parts&lt;/P&gt;&lt;P&gt; (part source )&lt;/P&gt;&lt;P&gt;Notes: &lt;/P&gt;</v>
      </c>
      <c r="AA10" s="20" t="s">
        <v>1171</v>
      </c>
      <c r="AC10" s="20">
        <v>0</v>
      </c>
      <c r="AD10" s="20">
        <v>0</v>
      </c>
      <c r="AE10" s="20" t="s">
        <v>1172</v>
      </c>
      <c r="AF10" s="20">
        <v>7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O10" s="20" t="s">
        <v>1173</v>
      </c>
      <c r="AR10" s="20">
        <v>0</v>
      </c>
      <c r="AS10" s="20">
        <v>10112</v>
      </c>
      <c r="AV10" s="20" t="s">
        <v>1174</v>
      </c>
      <c r="AX10" s="20">
        <v>62128510024</v>
      </c>
      <c r="AY10" s="20">
        <v>62035811024</v>
      </c>
      <c r="AZ10" s="20">
        <v>55187694024</v>
      </c>
      <c r="BA10" s="20" t="s">
        <v>1175</v>
      </c>
      <c r="BB10" s="20" t="s">
        <v>1176</v>
      </c>
      <c r="BC10" s="20" t="s">
        <v>1177</v>
      </c>
      <c r="BD10" s="20">
        <v>1</v>
      </c>
      <c r="BE10" s="20">
        <v>0</v>
      </c>
      <c r="BF10" s="20">
        <v>0</v>
      </c>
      <c r="BG10" s="20">
        <v>0</v>
      </c>
      <c r="BN10" s="20" t="s">
        <v>1178</v>
      </c>
      <c r="BV10" s="20">
        <v>0</v>
      </c>
      <c r="CL10" s="20">
        <v>0</v>
      </c>
      <c r="DD10" s="20" t="s">
        <v>1179</v>
      </c>
      <c r="DE10" s="20" t="s">
        <v>1179</v>
      </c>
      <c r="DI10" s="20">
        <v>0</v>
      </c>
      <c r="DP10" s="21" t="s">
        <v>1180</v>
      </c>
      <c r="DQ10" s="21" t="str">
        <f>PartsMaster!$A7</f>
        <v>AJ82856</v>
      </c>
      <c r="DR10" s="21" t="s">
        <v>1181</v>
      </c>
      <c r="DS10" s="21" t="str">
        <f>PartsMaster!$K8&amp;" "&amp;PartsMaster!L8&amp;" "&amp;PartsMaster!$M8</f>
        <v xml:space="preserve">  </v>
      </c>
    </row>
    <row r="11" spans="1:125" ht="30" hidden="1" x14ac:dyDescent="0.25">
      <c r="A11" s="20" t="s">
        <v>1166</v>
      </c>
      <c r="B11" s="20" t="s">
        <v>1167</v>
      </c>
      <c r="C11" s="20" t="s">
        <v>1168</v>
      </c>
      <c r="D11" s="21" t="str">
        <f>PartsMaster!B8&amp;" "&amp;PartsMaster!$C8</f>
        <v>Jaguar XK8 XKR X100 XJ8 XJR X308 Seal Camshaft Cover VVT</v>
      </c>
      <c r="E11" s="20">
        <v>3000</v>
      </c>
      <c r="F11" s="20" t="s">
        <v>1182</v>
      </c>
      <c r="H11" s="21">
        <f>PartsMaster!$Q8</f>
        <v>0</v>
      </c>
      <c r="I11" s="20">
        <v>9886</v>
      </c>
      <c r="K11" s="20">
        <v>0</v>
      </c>
      <c r="L11" s="20">
        <v>0</v>
      </c>
      <c r="M11" s="21">
        <f>PartsMaster!$D8</f>
        <v>0</v>
      </c>
      <c r="O11" s="20" t="s">
        <v>1169</v>
      </c>
      <c r="P11" s="23">
        <f>PartsMaster!$S8/1.45</f>
        <v>0</v>
      </c>
      <c r="S11" s="20">
        <v>30</v>
      </c>
      <c r="T11" s="20">
        <v>0</v>
      </c>
      <c r="U11" s="20" t="s">
        <v>1170</v>
      </c>
      <c r="Z11" s="26" t="str">
        <f>"&lt;P&gt;"&amp;PartsMaster!$I8&amp;" "&amp;PartsMaster!$H8&amp;"&lt;/P&gt;"&amp;"&lt;P&gt;Jaguar part name "&amp;PartsMaster!$E8&amp;"&lt;/P&gt;&lt;P&gt;Product numbers "&amp;PartsMaster!R8&amp;" "&amp;DQ11&amp;"&lt;/P&gt;&lt;P&gt;Fits starting from VIN/ModelYear "&amp;PartsMaster!$F8&amp;" until VIN/ModelYear "&amp;PartsMaster!$G8&amp;"&lt;/P&gt;&lt;P&gt;Condition: "&amp;PartsMaster!AB8&amp;"&lt;/P&gt;&lt;P&gt; (part source "&amp;PartsMaster!AD8&amp;")&lt;/P&gt;&lt;P&gt;Notes: "&amp;PartsMaster!AA8&amp;"&lt;/P&gt;"</f>
        <v>&lt;P&gt; Seal / Insulation&lt;/P&gt;&lt;P&gt;Jaguar part name &lt;/P&gt;&lt;P&gt;Product numbers AJ82856 AJ82856&lt;/P&gt;&lt;P&gt;Fits starting from VIN/ModelYear X100, 1996 - X308, 1997 until VIN/ModelYear X100, 2006 - X308, 2002&lt;/P&gt;&lt;P&gt;Condition: &lt;/P&gt;&lt;P&gt; (part source )&lt;/P&gt;&lt;P&gt;Notes: &lt;/P&gt;</v>
      </c>
      <c r="AA11" s="20" t="s">
        <v>1171</v>
      </c>
      <c r="AC11" s="20">
        <v>0</v>
      </c>
      <c r="AD11" s="20">
        <v>0</v>
      </c>
      <c r="AE11" s="20" t="s">
        <v>1172</v>
      </c>
      <c r="AF11" s="20">
        <v>7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O11" s="20" t="s">
        <v>1173</v>
      </c>
      <c r="AR11" s="20">
        <v>0</v>
      </c>
      <c r="AS11" s="20">
        <v>10112</v>
      </c>
      <c r="AV11" s="20" t="s">
        <v>1174</v>
      </c>
      <c r="AX11" s="20">
        <v>62128510024</v>
      </c>
      <c r="AY11" s="20">
        <v>62035811024</v>
      </c>
      <c r="AZ11" s="20">
        <v>55187694024</v>
      </c>
      <c r="BA11" s="20" t="s">
        <v>1175</v>
      </c>
      <c r="BB11" s="20" t="s">
        <v>1176</v>
      </c>
      <c r="BC11" s="20" t="s">
        <v>1177</v>
      </c>
      <c r="BD11" s="20">
        <v>1</v>
      </c>
      <c r="BE11" s="20">
        <v>0</v>
      </c>
      <c r="BF11" s="20">
        <v>0</v>
      </c>
      <c r="BG11" s="20">
        <v>0</v>
      </c>
      <c r="BN11" s="20" t="s">
        <v>1178</v>
      </c>
      <c r="BV11" s="20">
        <v>0</v>
      </c>
      <c r="CL11" s="20">
        <v>0</v>
      </c>
      <c r="DD11" s="20" t="s">
        <v>1179</v>
      </c>
      <c r="DE11" s="20" t="s">
        <v>1179</v>
      </c>
      <c r="DI11" s="20">
        <v>0</v>
      </c>
      <c r="DP11" s="21" t="s">
        <v>1180</v>
      </c>
      <c r="DQ11" s="21" t="str">
        <f>PartsMaster!$A8</f>
        <v>AJ82856</v>
      </c>
      <c r="DR11" s="21" t="s">
        <v>1181</v>
      </c>
      <c r="DS11" s="21" t="str">
        <f>PartsMaster!$K9&amp;" "&amp;PartsMaster!L9&amp;" "&amp;PartsMaster!$M9</f>
        <v xml:space="preserve">  </v>
      </c>
    </row>
    <row r="12" spans="1:125" ht="30" hidden="1" x14ac:dyDescent="0.25">
      <c r="A12" s="20" t="s">
        <v>1166</v>
      </c>
      <c r="B12" s="20" t="s">
        <v>1167</v>
      </c>
      <c r="C12" s="20" t="s">
        <v>1168</v>
      </c>
      <c r="D12" s="21" t="str">
        <f>PartsMaster!B9&amp;" "&amp;PartsMaster!$C9</f>
        <v>Jaguar XK8 XKR X100 OIL SEAL-CRANKSHAFT</v>
      </c>
      <c r="E12" s="20">
        <v>3000</v>
      </c>
      <c r="F12" s="20" t="s">
        <v>1182</v>
      </c>
      <c r="H12" s="21" t="str">
        <f>PartsMaster!$Q9</f>
        <v>OIL SEAL-CRANKSHAFT</v>
      </c>
      <c r="I12" s="20">
        <v>9886</v>
      </c>
      <c r="K12" s="20">
        <v>0</v>
      </c>
      <c r="L12" s="20">
        <v>0</v>
      </c>
      <c r="M12" s="21">
        <f>PartsMaster!$D9</f>
        <v>0</v>
      </c>
      <c r="O12" s="20" t="s">
        <v>1169</v>
      </c>
      <c r="P12" s="23">
        <f>PartsMaster!$S9/1.45</f>
        <v>0</v>
      </c>
      <c r="S12" s="20">
        <v>30</v>
      </c>
      <c r="T12" s="20">
        <v>0</v>
      </c>
      <c r="U12" s="20" t="s">
        <v>1170</v>
      </c>
      <c r="Z12" s="26" t="str">
        <f>"&lt;P&gt;"&amp;PartsMaster!$I9&amp;" "&amp;PartsMaster!$H9&amp;"&lt;/P&gt;"&amp;"&lt;P&gt;Jaguar part name "&amp;PartsMaster!$E9&amp;"&lt;/P&gt;&lt;P&gt;Product numbers "&amp;PartsMaster!R9&amp;" "&amp;DQ12&amp;"&lt;/P&gt;&lt;P&gt;Fits starting from VIN/ModelYear "&amp;PartsMaster!$F9&amp;" until VIN/ModelYear "&amp;PartsMaster!$G9&amp;"&lt;/P&gt;&lt;P&gt;Condition: "&amp;PartsMaster!AB9&amp;"&lt;/P&gt;&lt;P&gt; (part source "&amp;PartsMaster!AD9&amp;")&lt;/P&gt;&lt;P&gt;Notes: "&amp;PartsMaster!AA9&amp;"&lt;/P&gt;"</f>
        <v>&lt;P&gt;Engine Oil Gasket / Seal / O-Ring&lt;/P&gt;&lt;P&gt;Jaguar part name &lt;/P&gt;&lt;P&gt;Product numbers AJ83698 AJ83698&lt;/P&gt;&lt;P&gt;Fits starting from VIN/ModelYear  until VIN/ModelYear &lt;/P&gt;&lt;P&gt;Condition: British Parts&lt;/P&gt;&lt;P&gt; (part source )&lt;/P&gt;&lt;P&gt;Notes: &lt;/P&gt;</v>
      </c>
      <c r="AA12" s="20" t="s">
        <v>1171</v>
      </c>
      <c r="AC12" s="20">
        <v>0</v>
      </c>
      <c r="AD12" s="20">
        <v>0</v>
      </c>
      <c r="AE12" s="20" t="s">
        <v>1172</v>
      </c>
      <c r="AF12" s="20">
        <v>7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O12" s="20" t="s">
        <v>1173</v>
      </c>
      <c r="AR12" s="20">
        <v>0</v>
      </c>
      <c r="AS12" s="20">
        <v>10112</v>
      </c>
      <c r="AV12" s="20" t="s">
        <v>1174</v>
      </c>
      <c r="AX12" s="20">
        <v>62128510024</v>
      </c>
      <c r="AY12" s="20">
        <v>62035811024</v>
      </c>
      <c r="AZ12" s="20">
        <v>55187694024</v>
      </c>
      <c r="BA12" s="20" t="s">
        <v>1175</v>
      </c>
      <c r="BB12" s="20" t="s">
        <v>1176</v>
      </c>
      <c r="BC12" s="20" t="s">
        <v>1177</v>
      </c>
      <c r="BD12" s="20">
        <v>1</v>
      </c>
      <c r="BE12" s="20">
        <v>0</v>
      </c>
      <c r="BF12" s="20">
        <v>0</v>
      </c>
      <c r="BG12" s="20">
        <v>0</v>
      </c>
      <c r="BN12" s="20" t="s">
        <v>1178</v>
      </c>
      <c r="BV12" s="20">
        <v>0</v>
      </c>
      <c r="CL12" s="20">
        <v>0</v>
      </c>
      <c r="DD12" s="20" t="s">
        <v>1179</v>
      </c>
      <c r="DE12" s="20" t="s">
        <v>1179</v>
      </c>
      <c r="DI12" s="20">
        <v>0</v>
      </c>
      <c r="DP12" s="21" t="s">
        <v>1180</v>
      </c>
      <c r="DQ12" s="21" t="str">
        <f>PartsMaster!$A9</f>
        <v>AJ83698</v>
      </c>
      <c r="DR12" s="21" t="s">
        <v>1181</v>
      </c>
      <c r="DS12" s="21" t="str">
        <f>PartsMaster!$K10&amp;" "&amp;PartsMaster!L10&amp;" "&amp;PartsMaster!$M10</f>
        <v xml:space="preserve">  </v>
      </c>
    </row>
    <row r="13" spans="1:125" ht="30" x14ac:dyDescent="0.25">
      <c r="A13" s="20" t="s">
        <v>1166</v>
      </c>
      <c r="B13" s="20" t="s">
        <v>1167</v>
      </c>
      <c r="C13" s="20" t="s">
        <v>1168</v>
      </c>
      <c r="D13" s="21" t="str">
        <f>PartsMaster!B10&amp;" "&amp;PartsMaster!$C10</f>
        <v>Jaguar XK8 XKR X100 XJ8 XJR X308 Timing Cover Seal Inner</v>
      </c>
      <c r="E13" s="20">
        <v>3000</v>
      </c>
      <c r="F13" s="20" t="s">
        <v>1182</v>
      </c>
      <c r="H13" s="21" t="str">
        <f>PartsMaster!$Q10</f>
        <v>Timing Cover Seal Inner</v>
      </c>
      <c r="I13" s="20">
        <v>9886</v>
      </c>
      <c r="K13" s="20">
        <v>0</v>
      </c>
      <c r="L13" s="20">
        <v>0</v>
      </c>
      <c r="M13" s="21">
        <f>PartsMaster!$D10</f>
        <v>0</v>
      </c>
      <c r="O13" s="20" t="s">
        <v>1169</v>
      </c>
      <c r="P13" s="23">
        <f>PartsMaster!$S10/1.45</f>
        <v>0</v>
      </c>
      <c r="S13" s="20">
        <v>30</v>
      </c>
      <c r="T13" s="20">
        <v>0</v>
      </c>
      <c r="U13" s="20" t="s">
        <v>1170</v>
      </c>
      <c r="Z13" s="26" t="str">
        <f>"&lt;P&gt;"&amp;PartsMaster!$I10&amp;" "&amp;PartsMaster!$H10&amp;"&lt;/P&gt;"&amp;"&lt;P&gt;Jaguar part name "&amp;PartsMaster!$E10&amp;"&lt;/P&gt;&lt;P&gt;Product numbers "&amp;PartsMaster!R10&amp;" "&amp;DQ13&amp;"&lt;/P&gt;&lt;P&gt;Fits starting from VIN/ModelYear "&amp;PartsMaster!$F10&amp;" until VIN/ModelYear "&amp;PartsMaster!$G10&amp;"&lt;/P&gt;&lt;P&gt;Condition: "&amp;PartsMaster!AB10&amp;"&lt;/P&gt;&lt;P&gt; (part source "&amp;PartsMaster!AD10&amp;")&lt;/P&gt;&lt;P&gt;Notes: "&amp;PartsMaster!AA10&amp;"&lt;/P&gt;"</f>
        <v>&lt;P&gt;Engine timing Gasket / Seal / O-Ring&lt;/P&gt;&lt;P&gt;Jaguar part name &lt;/P&gt;&lt;P&gt;Product numbers AJ83699 AJ83699&lt;/P&gt;&lt;P&gt;Fits starting from VIN/ModelYear X100, 1996 - X308, 1997 until VIN/ModelYear X100, 2006 - X308, 2002&lt;/P&gt;&lt;P&gt;Condition: &lt;/P&gt;&lt;P&gt; (part source )&lt;/P&gt;&lt;P&gt;Notes: &lt;/P&gt;</v>
      </c>
      <c r="AA13" s="20" t="s">
        <v>1171</v>
      </c>
      <c r="AC13" s="20">
        <v>0</v>
      </c>
      <c r="AD13" s="20">
        <v>0</v>
      </c>
      <c r="AE13" s="20" t="s">
        <v>1172</v>
      </c>
      <c r="AF13" s="20">
        <v>7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O13" s="20" t="s">
        <v>1173</v>
      </c>
      <c r="AR13" s="20">
        <v>0</v>
      </c>
      <c r="AS13" s="20">
        <v>10112</v>
      </c>
      <c r="AV13" s="20" t="s">
        <v>1174</v>
      </c>
      <c r="AX13" s="20">
        <v>62128510024</v>
      </c>
      <c r="AY13" s="20">
        <v>62035811024</v>
      </c>
      <c r="AZ13" s="20">
        <v>55187694024</v>
      </c>
      <c r="BA13" s="20" t="s">
        <v>1175</v>
      </c>
      <c r="BB13" s="20" t="s">
        <v>1176</v>
      </c>
      <c r="BC13" s="20" t="s">
        <v>1177</v>
      </c>
      <c r="BD13" s="20">
        <v>1</v>
      </c>
      <c r="BE13" s="20">
        <v>0</v>
      </c>
      <c r="BF13" s="20">
        <v>0</v>
      </c>
      <c r="BG13" s="20">
        <v>0</v>
      </c>
      <c r="BN13" s="20" t="s">
        <v>1178</v>
      </c>
      <c r="BV13" s="20">
        <v>0</v>
      </c>
      <c r="CL13" s="20">
        <v>0</v>
      </c>
      <c r="DD13" s="20" t="s">
        <v>1179</v>
      </c>
      <c r="DE13" s="20" t="s">
        <v>1179</v>
      </c>
      <c r="DI13" s="20">
        <v>0</v>
      </c>
      <c r="DP13" s="21" t="s">
        <v>1180</v>
      </c>
      <c r="DQ13" s="21" t="str">
        <f>PartsMaster!$A10</f>
        <v>AJ83699</v>
      </c>
      <c r="DR13" s="21" t="s">
        <v>1181</v>
      </c>
      <c r="DS13" s="21" t="str">
        <f>PartsMaster!$K11&amp;" "&amp;PartsMaster!L11&amp;" "&amp;PartsMaster!$M11</f>
        <v xml:space="preserve">  </v>
      </c>
    </row>
    <row r="14" spans="1:125" ht="45" hidden="1" x14ac:dyDescent="0.25">
      <c r="A14" s="20" t="s">
        <v>1166</v>
      </c>
      <c r="B14" s="20" t="s">
        <v>1167</v>
      </c>
      <c r="C14" s="20" t="s">
        <v>1168</v>
      </c>
      <c r="D14" s="21" t="str">
        <f>PartsMaster!B11&amp;" "&amp;PartsMaster!$C11</f>
        <v>Jaguar XK8 XKR X100 Crankshaft Oil Seal</v>
      </c>
      <c r="E14" s="20">
        <v>3000</v>
      </c>
      <c r="F14" s="20" t="s">
        <v>1182</v>
      </c>
      <c r="H14" s="21" t="str">
        <f>PartsMaster!$Q11</f>
        <v xml:space="preserve">OIL SEAL-CRANKSHAFT </v>
      </c>
      <c r="I14" s="20">
        <v>9886</v>
      </c>
      <c r="K14" s="20">
        <v>0</v>
      </c>
      <c r="L14" s="20">
        <v>0</v>
      </c>
      <c r="M14" s="21">
        <f>PartsMaster!$D11</f>
        <v>0</v>
      </c>
      <c r="O14" s="20" t="s">
        <v>1169</v>
      </c>
      <c r="P14" s="23">
        <f>PartsMaster!$S11/1.45</f>
        <v>0</v>
      </c>
      <c r="S14" s="20">
        <v>30</v>
      </c>
      <c r="T14" s="20">
        <v>0</v>
      </c>
      <c r="U14" s="20" t="s">
        <v>1170</v>
      </c>
      <c r="Z14" s="26" t="str">
        <f>"&lt;P&gt;"&amp;PartsMaster!$I11&amp;" "&amp;PartsMaster!$H11&amp;"&lt;/P&gt;"&amp;"&lt;P&gt;Jaguar part name "&amp;PartsMaster!$E11&amp;"&lt;/P&gt;&lt;P&gt;Product numbers "&amp;PartsMaster!R11&amp;" "&amp;DQ14&amp;"&lt;/P&gt;&lt;P&gt;Fits starting from VIN/ModelYear "&amp;PartsMaster!$F11&amp;" until VIN/ModelYear "&amp;PartsMaster!$G11&amp;"&lt;/P&gt;&lt;P&gt;Condition: "&amp;PartsMaster!AB11&amp;"&lt;/P&gt;&lt;P&gt; (part source "&amp;PartsMaster!AD11&amp;")&lt;/P&gt;&lt;P&gt;Notes: "&amp;PartsMaster!AA11&amp;"&lt;/P&gt;"</f>
        <v>&lt;P&gt;Engine Oil Gasket / Seal / O-Ring&lt;/P&gt;&lt;P&gt;Jaguar part name &lt;/P&gt;&lt;P&gt;Product numbers AJ83744 AJ83744&lt;/P&gt;&lt;P&gt;Fits starting from VIN/ModelYear  until VIN/ModelYear &lt;/P&gt;&lt;P&gt;Condition: British Parts&lt;/P&gt;&lt;P&gt; (part source )&lt;/P&gt;&lt;P&gt;Notes: &lt;/P&gt;</v>
      </c>
      <c r="AA14" s="20" t="s">
        <v>1171</v>
      </c>
      <c r="AC14" s="20">
        <v>0</v>
      </c>
      <c r="AD14" s="20">
        <v>0</v>
      </c>
      <c r="AE14" s="20" t="s">
        <v>1172</v>
      </c>
      <c r="AF14" s="20">
        <v>7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O14" s="20" t="s">
        <v>1173</v>
      </c>
      <c r="AR14" s="20">
        <v>0</v>
      </c>
      <c r="AS14" s="20">
        <v>10112</v>
      </c>
      <c r="AV14" s="20" t="s">
        <v>1174</v>
      </c>
      <c r="AX14" s="20">
        <v>62128510024</v>
      </c>
      <c r="AY14" s="20">
        <v>62035811024</v>
      </c>
      <c r="AZ14" s="20">
        <v>55187694024</v>
      </c>
      <c r="BA14" s="20" t="s">
        <v>1175</v>
      </c>
      <c r="BB14" s="20" t="s">
        <v>1176</v>
      </c>
      <c r="BC14" s="20" t="s">
        <v>1177</v>
      </c>
      <c r="BD14" s="20">
        <v>1</v>
      </c>
      <c r="BE14" s="20">
        <v>0</v>
      </c>
      <c r="BF14" s="20">
        <v>0</v>
      </c>
      <c r="BG14" s="20">
        <v>0</v>
      </c>
      <c r="BN14" s="20" t="s">
        <v>1178</v>
      </c>
      <c r="BV14" s="20">
        <v>0</v>
      </c>
      <c r="CL14" s="20">
        <v>0</v>
      </c>
      <c r="DD14" s="20" t="s">
        <v>1179</v>
      </c>
      <c r="DE14" s="20" t="s">
        <v>1179</v>
      </c>
      <c r="DI14" s="20">
        <v>0</v>
      </c>
      <c r="DP14" s="21" t="s">
        <v>1180</v>
      </c>
      <c r="DQ14" s="21" t="str">
        <f>PartsMaster!$A11</f>
        <v>AJ83744</v>
      </c>
      <c r="DR14" s="21" t="s">
        <v>1181</v>
      </c>
      <c r="DS14" s="21" t="str">
        <f>PartsMaster!$K12&amp;" "&amp;PartsMaster!L12&amp;" "&amp;PartsMaster!$M12</f>
        <v xml:space="preserve">  </v>
      </c>
    </row>
    <row r="15" spans="1:125" hidden="1" x14ac:dyDescent="0.25">
      <c r="A15" s="20" t="s">
        <v>1166</v>
      </c>
      <c r="B15" s="20" t="s">
        <v>1167</v>
      </c>
      <c r="C15" s="20" t="s">
        <v>1168</v>
      </c>
      <c r="D15" s="21" t="str">
        <f>PartsMaster!B12&amp;" "&amp;PartsMaster!$C12</f>
        <v>Jaguar XK8 XKR X100 THERMOSTAT</v>
      </c>
      <c r="E15" s="20">
        <v>3000</v>
      </c>
      <c r="F15" s="20" t="s">
        <v>1182</v>
      </c>
      <c r="H15" s="21" t="str">
        <f>PartsMaster!$Q12</f>
        <v>THERMOSTAT</v>
      </c>
      <c r="I15" s="20">
        <v>9886</v>
      </c>
      <c r="K15" s="20">
        <v>0</v>
      </c>
      <c r="L15" s="20">
        <v>0</v>
      </c>
      <c r="M15" s="21">
        <f>PartsMaster!$D12</f>
        <v>0</v>
      </c>
      <c r="O15" s="20" t="s">
        <v>1169</v>
      </c>
      <c r="P15" s="23">
        <f>PartsMaster!$S12/1.45</f>
        <v>0</v>
      </c>
      <c r="S15" s="20">
        <v>30</v>
      </c>
      <c r="T15" s="20">
        <v>0</v>
      </c>
      <c r="U15" s="20" t="s">
        <v>1170</v>
      </c>
      <c r="Z15" s="26" t="str">
        <f>"&lt;P&gt;"&amp;PartsMaster!$I12&amp;" "&amp;PartsMaster!$H12&amp;"&lt;/P&gt;"&amp;"&lt;P&gt;Jaguar part name "&amp;PartsMaster!$E12&amp;"&lt;/P&gt;&lt;P&gt;Product numbers "&amp;PartsMaster!R12&amp;" "&amp;DQ15&amp;"&lt;/P&gt;&lt;P&gt;Fits starting from VIN/ModelYear "&amp;PartsMaster!$F12&amp;" until VIN/ModelYear "&amp;PartsMaster!$G12&amp;"&lt;/P&gt;&lt;P&gt;Condition: "&amp;PartsMaster!AB12&amp;"&lt;/P&gt;&lt;P&gt; (part source "&amp;PartsMaster!AD12&amp;")&lt;/P&gt;&lt;P&gt;Notes: "&amp;PartsMaster!AA12&amp;"&lt;/P&gt;"</f>
        <v>&lt;P&gt;Engine Cooling Switch &lt;/P&gt;&lt;P&gt;Jaguar part name &lt;/P&gt;&lt;P&gt;Product numbers AJ86484 AJ86484&lt;/P&gt;&lt;P&gt;Fits starting from VIN/ModelYear  until VIN/ModelYear &lt;/P&gt;&lt;P&gt;Condition: British Parts&lt;/P&gt;&lt;P&gt; (part source )&lt;/P&gt;&lt;P&gt;Notes: &lt;/P&gt;</v>
      </c>
      <c r="AA15" s="20" t="s">
        <v>1171</v>
      </c>
      <c r="AC15" s="20">
        <v>0</v>
      </c>
      <c r="AD15" s="20">
        <v>0</v>
      </c>
      <c r="AE15" s="20" t="s">
        <v>1172</v>
      </c>
      <c r="AF15" s="20">
        <v>7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O15" s="20" t="s">
        <v>1173</v>
      </c>
      <c r="AR15" s="20">
        <v>0</v>
      </c>
      <c r="AS15" s="20">
        <v>10112</v>
      </c>
      <c r="AV15" s="20" t="s">
        <v>1174</v>
      </c>
      <c r="AX15" s="20">
        <v>62128510024</v>
      </c>
      <c r="AY15" s="20">
        <v>62035811024</v>
      </c>
      <c r="AZ15" s="20">
        <v>55187694024</v>
      </c>
      <c r="BA15" s="20" t="s">
        <v>1175</v>
      </c>
      <c r="BB15" s="20" t="s">
        <v>1176</v>
      </c>
      <c r="BC15" s="20" t="s">
        <v>1177</v>
      </c>
      <c r="BD15" s="20">
        <v>1</v>
      </c>
      <c r="BE15" s="20">
        <v>0</v>
      </c>
      <c r="BF15" s="20">
        <v>0</v>
      </c>
      <c r="BG15" s="20">
        <v>0</v>
      </c>
      <c r="BN15" s="20" t="s">
        <v>1178</v>
      </c>
      <c r="BV15" s="20">
        <v>0</v>
      </c>
      <c r="CL15" s="20">
        <v>0</v>
      </c>
      <c r="DD15" s="20" t="s">
        <v>1179</v>
      </c>
      <c r="DE15" s="20" t="s">
        <v>1179</v>
      </c>
      <c r="DI15" s="20">
        <v>0</v>
      </c>
      <c r="DP15" s="21" t="s">
        <v>1180</v>
      </c>
      <c r="DQ15" s="21" t="str">
        <f>PartsMaster!$A12</f>
        <v>AJ86484</v>
      </c>
      <c r="DR15" s="21" t="s">
        <v>1181</v>
      </c>
      <c r="DS15" s="21" t="str">
        <f>PartsMaster!$K13&amp;" "&amp;PartsMaster!L13&amp;" "&amp;PartsMaster!$M13</f>
        <v xml:space="preserve">  </v>
      </c>
    </row>
    <row r="16" spans="1:125" ht="30" x14ac:dyDescent="0.25">
      <c r="A16" s="20" t="s">
        <v>1166</v>
      </c>
      <c r="B16" s="20" t="s">
        <v>1167</v>
      </c>
      <c r="C16" s="20" t="s">
        <v>1168</v>
      </c>
      <c r="D16" s="21" t="str">
        <f>PartsMaster!B13&amp;" "&amp;PartsMaster!$C13</f>
        <v>Jaguar XK8 XKR X100 CAMSHAFT COVER CENTRE SEAL</v>
      </c>
      <c r="E16" s="20">
        <v>3000</v>
      </c>
      <c r="F16" s="20" t="s">
        <v>1182</v>
      </c>
      <c r="H16" s="21" t="str">
        <f>PartsMaster!$Q13</f>
        <v>CAMSHAFT COVER CENTRE SEAL</v>
      </c>
      <c r="I16" s="20">
        <v>9886</v>
      </c>
      <c r="K16" s="20">
        <v>0</v>
      </c>
      <c r="L16" s="20">
        <v>0</v>
      </c>
      <c r="M16" s="21">
        <f>PartsMaster!$D13</f>
        <v>0</v>
      </c>
      <c r="O16" s="20" t="s">
        <v>1169</v>
      </c>
      <c r="P16" s="23">
        <f>PartsMaster!$S13/1.45</f>
        <v>0</v>
      </c>
      <c r="S16" s="20">
        <v>30</v>
      </c>
      <c r="T16" s="20">
        <v>0</v>
      </c>
      <c r="U16" s="20" t="s">
        <v>1170</v>
      </c>
      <c r="Z16" s="26" t="str">
        <f>"&lt;P&gt;"&amp;PartsMaster!$I13&amp;" "&amp;PartsMaster!$H13&amp;"&lt;/P&gt;"&amp;"&lt;P&gt;Jaguar part name "&amp;PartsMaster!$E13&amp;"&lt;/P&gt;&lt;P&gt;Product numbers "&amp;PartsMaster!R13&amp;" "&amp;DQ16&amp;"&lt;/P&gt;&lt;P&gt;Fits starting from VIN/ModelYear "&amp;PartsMaster!$F13&amp;" until VIN/ModelYear "&amp;PartsMaster!$G13&amp;"&lt;/P&gt;&lt;P&gt;Condition: "&amp;PartsMaster!AB13&amp;"&lt;/P&gt;&lt;P&gt; (part source "&amp;PartsMaster!AD13&amp;")&lt;/P&gt;&lt;P&gt;Notes: "&amp;PartsMaster!AA13&amp;"&lt;/P&gt;"</f>
        <v>&lt;P&gt;Engine Oil Gasket / Seal / O-Ring&lt;/P&gt;&lt;P&gt;Jaguar part name &lt;/P&gt;&lt;P&gt;Product numbers AJ87242 AJ87242&lt;/P&gt;&lt;P&gt;Fits starting from VIN/ModelYear  until VIN/ModelYear &lt;/P&gt;&lt;P&gt;Condition: British Parts&lt;/P&gt;&lt;P&gt; (part source )&lt;/P&gt;&lt;P&gt;Notes: &lt;/P&gt;</v>
      </c>
      <c r="AA16" s="20" t="s">
        <v>1171</v>
      </c>
      <c r="AC16" s="20">
        <v>0</v>
      </c>
      <c r="AD16" s="20">
        <v>0</v>
      </c>
      <c r="AE16" s="20" t="s">
        <v>1172</v>
      </c>
      <c r="AF16" s="20">
        <v>7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O16" s="20" t="s">
        <v>1173</v>
      </c>
      <c r="AR16" s="20">
        <v>0</v>
      </c>
      <c r="AS16" s="20">
        <v>10112</v>
      </c>
      <c r="AV16" s="20" t="s">
        <v>1174</v>
      </c>
      <c r="AX16" s="20">
        <v>62128510024</v>
      </c>
      <c r="AY16" s="20">
        <v>62035811024</v>
      </c>
      <c r="AZ16" s="20">
        <v>55187694024</v>
      </c>
      <c r="BA16" s="20" t="s">
        <v>1175</v>
      </c>
      <c r="BB16" s="20" t="s">
        <v>1176</v>
      </c>
      <c r="BC16" s="20" t="s">
        <v>1177</v>
      </c>
      <c r="BD16" s="20">
        <v>1</v>
      </c>
      <c r="BE16" s="20">
        <v>0</v>
      </c>
      <c r="BF16" s="20">
        <v>0</v>
      </c>
      <c r="BG16" s="20">
        <v>0</v>
      </c>
      <c r="BN16" s="20" t="s">
        <v>1178</v>
      </c>
      <c r="BV16" s="20">
        <v>0</v>
      </c>
      <c r="CL16" s="20">
        <v>0</v>
      </c>
      <c r="DD16" s="20" t="s">
        <v>1179</v>
      </c>
      <c r="DE16" s="20" t="s">
        <v>1179</v>
      </c>
      <c r="DI16" s="20">
        <v>0</v>
      </c>
      <c r="DP16" s="21" t="s">
        <v>1180</v>
      </c>
      <c r="DQ16" s="21" t="str">
        <f>PartsMaster!$A13</f>
        <v>AJ87242</v>
      </c>
      <c r="DR16" s="21" t="s">
        <v>1181</v>
      </c>
      <c r="DS16" s="21" t="str">
        <f>PartsMaster!$K14&amp;" "&amp;PartsMaster!L14&amp;" "&amp;PartsMaster!$M14</f>
        <v xml:space="preserve"> Left </v>
      </c>
    </row>
    <row r="17" spans="1:123" ht="30" x14ac:dyDescent="0.25">
      <c r="A17" s="20" t="s">
        <v>1166</v>
      </c>
      <c r="B17" s="20" t="s">
        <v>1167</v>
      </c>
      <c r="C17" s="20" t="s">
        <v>1168</v>
      </c>
      <c r="D17" s="21" t="str">
        <f>PartsMaster!B14&amp;" "&amp;PartsMaster!$C14</f>
        <v>Jaguar XK8 XKR X100 XJ8 XJR X308 Gasket Camshaft Cover B-Bank</v>
      </c>
      <c r="E17" s="20">
        <v>3000</v>
      </c>
      <c r="F17" s="20" t="s">
        <v>1182</v>
      </c>
      <c r="H17" s="21" t="str">
        <f>PartsMaster!$Q14</f>
        <v xml:space="preserve">Cam Cover Gasket LH B Bank </v>
      </c>
      <c r="I17" s="20">
        <v>9886</v>
      </c>
      <c r="K17" s="20">
        <v>0</v>
      </c>
      <c r="L17" s="20">
        <v>0</v>
      </c>
      <c r="M17" s="21">
        <f>PartsMaster!$D14</f>
        <v>0</v>
      </c>
      <c r="O17" s="20" t="s">
        <v>1169</v>
      </c>
      <c r="P17" s="23">
        <f>PartsMaster!$S14/1.45</f>
        <v>14.482758620689655</v>
      </c>
      <c r="S17" s="20">
        <v>30</v>
      </c>
      <c r="T17" s="20">
        <v>0</v>
      </c>
      <c r="U17" s="20" t="s">
        <v>1170</v>
      </c>
      <c r="Z17" s="26" t="str">
        <f>"&lt;P&gt;"&amp;PartsMaster!$I14&amp;" "&amp;PartsMaster!$H14&amp;"&lt;/P&gt;"&amp;"&lt;P&gt;Jaguar part name "&amp;PartsMaster!$E14&amp;"&lt;/P&gt;&lt;P&gt;Product numbers "&amp;PartsMaster!R14&amp;" "&amp;DQ17&amp;"&lt;/P&gt;&lt;P&gt;Fits starting from VIN/ModelYear "&amp;PartsMaster!$F14&amp;" until VIN/ModelYear "&amp;PartsMaster!$G14&amp;"&lt;/P&gt;&lt;P&gt;Condition: "&amp;PartsMaster!AB14&amp;"&lt;/P&gt;&lt;P&gt; (part source "&amp;PartsMaster!AD14&amp;")&lt;/P&gt;&lt;P&gt;Notes: "&amp;PartsMaster!AA14&amp;"&lt;/P&gt;"</f>
        <v>&lt;P&gt; Gasket / Seal / O-Ring&lt;/P&gt;&lt;P&gt;Jaguar part name &lt;/P&gt;&lt;P&gt;Product numbers AJ88285 AJ88285&lt;/P&gt;&lt;P&gt;Fits starting from VIN/ModelYear Engine #9810290000 until VIN/ModelYear &lt;/P&gt;&lt;P&gt;Condition: &lt;/P&gt;&lt;P&gt; (part source )&lt;/P&gt;&lt;P&gt;Notes: &lt;/P&gt;</v>
      </c>
      <c r="AA17" s="20" t="s">
        <v>1171</v>
      </c>
      <c r="AC17" s="20">
        <v>0</v>
      </c>
      <c r="AD17" s="20">
        <v>0</v>
      </c>
      <c r="AE17" s="20" t="s">
        <v>1172</v>
      </c>
      <c r="AF17" s="20">
        <v>7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O17" s="20" t="s">
        <v>1173</v>
      </c>
      <c r="AR17" s="20">
        <v>0</v>
      </c>
      <c r="AS17" s="20">
        <v>10112</v>
      </c>
      <c r="AV17" s="20" t="s">
        <v>1174</v>
      </c>
      <c r="AX17" s="20">
        <v>62128510024</v>
      </c>
      <c r="AY17" s="20">
        <v>62035811024</v>
      </c>
      <c r="AZ17" s="20">
        <v>55187694024</v>
      </c>
      <c r="BA17" s="20" t="s">
        <v>1175</v>
      </c>
      <c r="BB17" s="20" t="s">
        <v>1176</v>
      </c>
      <c r="BC17" s="20" t="s">
        <v>1177</v>
      </c>
      <c r="BD17" s="20">
        <v>1</v>
      </c>
      <c r="BE17" s="20">
        <v>0</v>
      </c>
      <c r="BF17" s="20">
        <v>0</v>
      </c>
      <c r="BG17" s="20">
        <v>0</v>
      </c>
      <c r="BN17" s="20" t="s">
        <v>1178</v>
      </c>
      <c r="BV17" s="20">
        <v>0</v>
      </c>
      <c r="CL17" s="20">
        <v>0</v>
      </c>
      <c r="DD17" s="20" t="s">
        <v>1179</v>
      </c>
      <c r="DE17" s="20" t="s">
        <v>1179</v>
      </c>
      <c r="DI17" s="20">
        <v>0</v>
      </c>
      <c r="DP17" s="21" t="s">
        <v>1180</v>
      </c>
      <c r="DQ17" s="21" t="str">
        <f>PartsMaster!$A14</f>
        <v>AJ88285</v>
      </c>
      <c r="DR17" s="21" t="s">
        <v>1181</v>
      </c>
      <c r="DS17" s="21" t="str">
        <f>PartsMaster!$K15&amp;" "&amp;PartsMaster!L15&amp;" "&amp;PartsMaster!$M15</f>
        <v xml:space="preserve"> Right </v>
      </c>
    </row>
    <row r="18" spans="1:123" ht="30" x14ac:dyDescent="0.25">
      <c r="A18" s="20" t="s">
        <v>1166</v>
      </c>
      <c r="B18" s="20" t="s">
        <v>1167</v>
      </c>
      <c r="C18" s="20" t="s">
        <v>1168</v>
      </c>
      <c r="D18" s="21" t="str">
        <f>PartsMaster!B15&amp;" "&amp;PartsMaster!$C15</f>
        <v>Jaguar XK8 XKR X100 XJ8 XJR X308 Gasket Camshaft Cover A-Bank</v>
      </c>
      <c r="E18" s="20">
        <v>3000</v>
      </c>
      <c r="F18" s="20" t="s">
        <v>1182</v>
      </c>
      <c r="H18" s="21" t="str">
        <f>PartsMaster!$Q15</f>
        <v xml:space="preserve">Cam Cover Gasket RH A Bank </v>
      </c>
      <c r="I18" s="20">
        <v>9886</v>
      </c>
      <c r="K18" s="20">
        <v>0</v>
      </c>
      <c r="L18" s="20">
        <v>0</v>
      </c>
      <c r="M18" s="21">
        <f>PartsMaster!$D15</f>
        <v>0</v>
      </c>
      <c r="O18" s="20" t="s">
        <v>1169</v>
      </c>
      <c r="P18" s="23">
        <f>PartsMaster!$S15/1.45</f>
        <v>14.482758620689655</v>
      </c>
      <c r="S18" s="20">
        <v>30</v>
      </c>
      <c r="T18" s="20">
        <v>0</v>
      </c>
      <c r="U18" s="20" t="s">
        <v>1170</v>
      </c>
      <c r="Z18" s="26" t="str">
        <f>"&lt;P&gt;"&amp;PartsMaster!$I15&amp;" "&amp;PartsMaster!$H15&amp;"&lt;/P&gt;"&amp;"&lt;P&gt;Jaguar part name "&amp;PartsMaster!$E15&amp;"&lt;/P&gt;&lt;P&gt;Product numbers "&amp;PartsMaster!R15&amp;" "&amp;DQ18&amp;"&lt;/P&gt;&lt;P&gt;Fits starting from VIN/ModelYear "&amp;PartsMaster!$F15&amp;" until VIN/ModelYear "&amp;PartsMaster!$G15&amp;"&lt;/P&gt;&lt;P&gt;Condition: "&amp;PartsMaster!AB15&amp;"&lt;/P&gt;&lt;P&gt; (part source "&amp;PartsMaster!AD15&amp;")&lt;/P&gt;&lt;P&gt;Notes: "&amp;PartsMaster!AA15&amp;"&lt;/P&gt;"</f>
        <v>&lt;P&gt; Gasket / Seal / O-Ring&lt;/P&gt;&lt;P&gt;Jaguar part name &lt;/P&gt;&lt;P&gt;Product numbers AJ88400 AJ88400&lt;/P&gt;&lt;P&gt;Fits starting from VIN/ModelYear Engine #9810290000 until VIN/ModelYear &lt;/P&gt;&lt;P&gt;Condition: &lt;/P&gt;&lt;P&gt; (part source )&lt;/P&gt;&lt;P&gt;Notes: &lt;/P&gt;</v>
      </c>
      <c r="AA18" s="20" t="s">
        <v>1171</v>
      </c>
      <c r="AC18" s="20">
        <v>0</v>
      </c>
      <c r="AD18" s="20">
        <v>0</v>
      </c>
      <c r="AE18" s="20" t="s">
        <v>1172</v>
      </c>
      <c r="AF18" s="20">
        <v>7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O18" s="20" t="s">
        <v>1173</v>
      </c>
      <c r="AR18" s="20">
        <v>0</v>
      </c>
      <c r="AS18" s="20">
        <v>10112</v>
      </c>
      <c r="AV18" s="20" t="s">
        <v>1174</v>
      </c>
      <c r="AX18" s="20">
        <v>62128510024</v>
      </c>
      <c r="AY18" s="20">
        <v>62035811024</v>
      </c>
      <c r="AZ18" s="20">
        <v>55187694024</v>
      </c>
      <c r="BA18" s="20" t="s">
        <v>1175</v>
      </c>
      <c r="BB18" s="20" t="s">
        <v>1176</v>
      </c>
      <c r="BC18" s="20" t="s">
        <v>1177</v>
      </c>
      <c r="BD18" s="20">
        <v>1</v>
      </c>
      <c r="BE18" s="20">
        <v>0</v>
      </c>
      <c r="BF18" s="20">
        <v>0</v>
      </c>
      <c r="BG18" s="20">
        <v>0</v>
      </c>
      <c r="BN18" s="20" t="s">
        <v>1178</v>
      </c>
      <c r="BV18" s="20">
        <v>0</v>
      </c>
      <c r="CL18" s="20">
        <v>0</v>
      </c>
      <c r="DD18" s="20" t="s">
        <v>1179</v>
      </c>
      <c r="DE18" s="20" t="s">
        <v>1179</v>
      </c>
      <c r="DI18" s="20">
        <v>0</v>
      </c>
      <c r="DP18" s="21" t="s">
        <v>1180</v>
      </c>
      <c r="DQ18" s="21" t="str">
        <f>PartsMaster!$A15</f>
        <v>AJ88400</v>
      </c>
      <c r="DR18" s="21" t="s">
        <v>1181</v>
      </c>
      <c r="DS18" s="21" t="str">
        <f>PartsMaster!$K16&amp;" "&amp;PartsMaster!L16&amp;" "&amp;PartsMaster!$M16</f>
        <v xml:space="preserve">  </v>
      </c>
    </row>
    <row r="19" spans="1:123" ht="45" x14ac:dyDescent="0.25">
      <c r="A19" s="20" t="s">
        <v>1166</v>
      </c>
      <c r="B19" s="20" t="s">
        <v>1167</v>
      </c>
      <c r="C19" s="20" t="s">
        <v>1168</v>
      </c>
      <c r="D19" s="21" t="str">
        <f>PartsMaster!B162&amp;" "&amp;PartsMaster!$C162</f>
        <v>Jaguar XK8 XKR X100 Seatbelt Front - Topmount plastic cover trim</v>
      </c>
      <c r="E19" s="20">
        <v>3000</v>
      </c>
      <c r="F19" s="20" t="s">
        <v>1182</v>
      </c>
      <c r="H19" s="21">
        <f>PartsMaster!$Q162</f>
        <v>0</v>
      </c>
      <c r="I19" s="20">
        <v>9886</v>
      </c>
      <c r="K19" s="20">
        <v>0</v>
      </c>
      <c r="L19" s="20">
        <v>0</v>
      </c>
      <c r="M19" s="21">
        <f>PartsMaster!$D162</f>
        <v>0</v>
      </c>
      <c r="O19" s="20" t="s">
        <v>1169</v>
      </c>
      <c r="P19" s="23">
        <f>PartsMaster!$S162/1.45</f>
        <v>0</v>
      </c>
      <c r="S19" s="20">
        <v>30</v>
      </c>
      <c r="T19" s="20">
        <v>0</v>
      </c>
      <c r="U19" s="20" t="s">
        <v>1170</v>
      </c>
      <c r="Z19" s="26" t="str">
        <f>"&lt;P&gt;"&amp;PartsMaster!$I162&amp;" "&amp;PartsMaster!$H162&amp;"&lt;/P&gt;"&amp;"&lt;P&gt;Jaguar part name "&amp;PartsMaster!$E162&amp;"&lt;/P&gt;&lt;P&gt;Product numbers "&amp;PartsMaster!R162&amp;" "&amp;DQ19&amp;"&lt;/P&gt;&lt;P&gt;Fits starting from VIN/ModelYear "&amp;PartsMaster!$F162&amp;" until VIN/ModelYear "&amp;PartsMaster!$G162&amp;"&lt;/P&gt;&lt;P&gt;Condition: "&amp;PartsMaster!AB162&amp;"&lt;/P&gt;&lt;P&gt; (part source "&amp;PartsMaster!AD162&amp;")&lt;/P&gt;&lt;P&gt;Notes: "&amp;PartsMaster!AA162&amp;"&lt;/P&gt;"</f>
        <v>&lt;P&gt;Cap / Cover Cap / Cover / Trim&lt;/P&gt;&lt;P&gt;Jaguar part name Seatbelt Cap&lt;/P&gt;&lt;P&gt;Product numbers  HND7150AALEG &lt;/P&gt;&lt;P&gt;Fits starting from VIN/ModelYear 19229 until VIN/ModelYear &lt;/P&gt;&lt;P&gt;Condition: &lt;/P&gt;&lt;P&gt; (part source )&lt;/P&gt;&lt;P&gt;Notes: &lt;/P&gt;</v>
      </c>
      <c r="AA19" s="20" t="s">
        <v>1171</v>
      </c>
      <c r="AC19" s="20">
        <v>0</v>
      </c>
      <c r="AD19" s="20">
        <v>0</v>
      </c>
      <c r="AE19" s="20" t="s">
        <v>1172</v>
      </c>
      <c r="AF19" s="20">
        <v>7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O19" s="20" t="s">
        <v>1173</v>
      </c>
      <c r="AR19" s="20">
        <v>0</v>
      </c>
      <c r="AS19" s="20">
        <v>10112</v>
      </c>
      <c r="AV19" s="20" t="s">
        <v>1174</v>
      </c>
      <c r="AX19" s="20">
        <v>62128510024</v>
      </c>
      <c r="AY19" s="20">
        <v>62035811024</v>
      </c>
      <c r="AZ19" s="20">
        <v>55187694024</v>
      </c>
      <c r="BA19" s="20" t="s">
        <v>1175</v>
      </c>
      <c r="BB19" s="20" t="s">
        <v>1176</v>
      </c>
      <c r="BC19" s="20" t="s">
        <v>1177</v>
      </c>
      <c r="BD19" s="20">
        <v>1</v>
      </c>
      <c r="BE19" s="20">
        <v>0</v>
      </c>
      <c r="BF19" s="20">
        <v>0</v>
      </c>
      <c r="BG19" s="20">
        <v>0</v>
      </c>
      <c r="BN19" s="20" t="s">
        <v>1178</v>
      </c>
      <c r="BV19" s="20">
        <v>0</v>
      </c>
      <c r="CL19" s="20">
        <v>0</v>
      </c>
      <c r="DD19" s="20" t="s">
        <v>1179</v>
      </c>
      <c r="DE19" s="20" t="s">
        <v>1179</v>
      </c>
      <c r="DI19" s="20">
        <v>0</v>
      </c>
      <c r="DP19" s="21" t="s">
        <v>1180</v>
      </c>
      <c r="DQ19" s="21" t="str">
        <f>PartsMaster!$A162</f>
        <v xml:space="preserve">HND7150AALEG </v>
      </c>
      <c r="DR19" s="21" t="s">
        <v>1181</v>
      </c>
      <c r="DS19" s="21" t="str">
        <f>PartsMaster!$K163&amp;" "&amp;PartsMaster!L163&amp;" "&amp;PartsMaster!$M163</f>
        <v xml:space="preserve">Center Left </v>
      </c>
    </row>
    <row r="20" spans="1:123" ht="30" hidden="1" x14ac:dyDescent="0.25">
      <c r="A20" s="20" t="s">
        <v>1166</v>
      </c>
      <c r="B20" s="20" t="s">
        <v>1167</v>
      </c>
      <c r="C20" s="20" t="s">
        <v>1168</v>
      </c>
      <c r="D20" s="21" t="str">
        <f>PartsMaster!B47&amp;" "&amp;PartsMaster!$C47</f>
        <v>Jaguar XK8 XKR X100 GASKET-MANIFOLD DOWNPIPE</v>
      </c>
      <c r="E20" s="20">
        <v>3000</v>
      </c>
      <c r="F20" s="20" t="s">
        <v>1182</v>
      </c>
      <c r="H20" s="21" t="str">
        <f>PartsMaster!$Q47</f>
        <v>GASKET-MANIFOLD DOWNPIPE</v>
      </c>
      <c r="I20" s="20">
        <v>9886</v>
      </c>
      <c r="K20" s="20">
        <v>0</v>
      </c>
      <c r="L20" s="20">
        <v>0</v>
      </c>
      <c r="M20" s="21">
        <f>PartsMaster!$D47</f>
        <v>0</v>
      </c>
      <c r="O20" s="20" t="s">
        <v>1169</v>
      </c>
      <c r="P20" s="23">
        <f>PartsMaster!$S47/1.45</f>
        <v>0</v>
      </c>
      <c r="S20" s="20">
        <v>30</v>
      </c>
      <c r="T20" s="20">
        <v>0</v>
      </c>
      <c r="U20" s="20" t="s">
        <v>1170</v>
      </c>
      <c r="Z20" s="26" t="str">
        <f>"&lt;P&gt;"&amp;PartsMaster!$I47&amp;" "&amp;PartsMaster!$H47&amp;"&lt;/P&gt;"&amp;"&lt;P&gt;Jaguar part name "&amp;PartsMaster!$E47&amp;"&lt;/P&gt;&lt;P&gt;Product numbers "&amp;PartsMaster!R47&amp;" "&amp;DQ20&amp;"&lt;/P&gt;&lt;P&gt;Fits starting from VIN/ModelYear "&amp;PartsMaster!$F47&amp;" until VIN/ModelYear "&amp;PartsMaster!$G47&amp;"&lt;/P&gt;&lt;P&gt;Condition: "&amp;PartsMaster!AB47&amp;"&lt;/P&gt;&lt;P&gt; (part source "&amp;PartsMaster!AD47&amp;")&lt;/P&gt;&lt;P&gt;Notes: "&amp;PartsMaster!AA47&amp;"&lt;/P&gt;"</f>
        <v>&lt;P&gt;Engine Inlet Gasket / Seal / O-Ring&lt;/P&gt;&lt;P&gt;Jaguar part name &lt;/P&gt;&lt;P&gt;Product numbers EAZ2050 EAZ2050&lt;/P&gt;&lt;P&gt;Fits starting from VIN/ModelYear  until VIN/ModelYear &lt;/P&gt;&lt;P&gt;Condition: British Parts&lt;/P&gt;&lt;P&gt; (part source )&lt;/P&gt;&lt;P&gt;Notes: &lt;/P&gt;</v>
      </c>
      <c r="AA20" s="20" t="s">
        <v>1171</v>
      </c>
      <c r="AC20" s="20">
        <v>0</v>
      </c>
      <c r="AD20" s="20">
        <v>0</v>
      </c>
      <c r="AE20" s="20" t="s">
        <v>1172</v>
      </c>
      <c r="AF20" s="20">
        <v>7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O20" s="20" t="s">
        <v>1173</v>
      </c>
      <c r="AR20" s="20">
        <v>0</v>
      </c>
      <c r="AS20" s="20">
        <v>10112</v>
      </c>
      <c r="AV20" s="20" t="s">
        <v>1174</v>
      </c>
      <c r="AX20" s="20">
        <v>62128510024</v>
      </c>
      <c r="AY20" s="20">
        <v>62035811024</v>
      </c>
      <c r="AZ20" s="20">
        <v>55187694024</v>
      </c>
      <c r="BA20" s="20" t="s">
        <v>1175</v>
      </c>
      <c r="BB20" s="20" t="s">
        <v>1176</v>
      </c>
      <c r="BC20" s="20" t="s">
        <v>1177</v>
      </c>
      <c r="BD20" s="20">
        <v>1</v>
      </c>
      <c r="BE20" s="20">
        <v>0</v>
      </c>
      <c r="BF20" s="20">
        <v>0</v>
      </c>
      <c r="BG20" s="20">
        <v>0</v>
      </c>
      <c r="BN20" s="20" t="s">
        <v>1178</v>
      </c>
      <c r="BV20" s="20">
        <v>0</v>
      </c>
      <c r="CL20" s="20">
        <v>0</v>
      </c>
      <c r="DD20" s="20" t="s">
        <v>1179</v>
      </c>
      <c r="DE20" s="20" t="s">
        <v>1179</v>
      </c>
      <c r="DI20" s="20">
        <v>0</v>
      </c>
      <c r="DP20" s="21" t="s">
        <v>1180</v>
      </c>
      <c r="DQ20" s="21" t="str">
        <f>PartsMaster!$A47</f>
        <v>EAZ2050</v>
      </c>
      <c r="DR20" s="21" t="s">
        <v>1181</v>
      </c>
      <c r="DS20" s="21" t="str">
        <f>PartsMaster!$K48&amp;" "&amp;PartsMaster!L48&amp;" "&amp;PartsMaster!$M48</f>
        <v xml:space="preserve">  </v>
      </c>
    </row>
    <row r="21" spans="1:123" x14ac:dyDescent="0.25">
      <c r="A21" s="20" t="s">
        <v>1166</v>
      </c>
      <c r="B21" s="20" t="s">
        <v>1167</v>
      </c>
      <c r="C21" s="20" t="s">
        <v>1168</v>
      </c>
      <c r="D21" s="21" t="str">
        <f>PartsMaster!B364&amp;" "&amp;PartsMaster!$C364</f>
        <v xml:space="preserve">Jaguar XK8 XKR X100 Repaint Steering Wheel Airback cover </v>
      </c>
      <c r="E21" s="20">
        <v>3000</v>
      </c>
      <c r="F21" s="20" t="s">
        <v>1182</v>
      </c>
      <c r="H21" s="21">
        <f>PartsMaster!$Q364</f>
        <v>0</v>
      </c>
      <c r="I21" s="20">
        <v>9886</v>
      </c>
      <c r="K21" s="20">
        <v>0</v>
      </c>
      <c r="L21" s="20">
        <v>0</v>
      </c>
      <c r="M21" s="21">
        <f>PartsMaster!$D364</f>
        <v>0</v>
      </c>
      <c r="O21" s="20" t="s">
        <v>1169</v>
      </c>
      <c r="P21" s="23">
        <f>PartsMaster!$S364/1.45</f>
        <v>0</v>
      </c>
      <c r="S21" s="20">
        <v>30</v>
      </c>
      <c r="T21" s="20">
        <v>0</v>
      </c>
      <c r="U21" s="20" t="s">
        <v>1170</v>
      </c>
      <c r="Z21" s="26" t="str">
        <f>"&lt;P&gt;"&amp;PartsMaster!$I364&amp;" "&amp;PartsMaster!$H364&amp;"&lt;/P&gt;"&amp;"&lt;P&gt;Jaguar part name "&amp;PartsMaster!$E364&amp;"&lt;/P&gt;&lt;P&gt;Product numbers "&amp;PartsMaster!R364&amp;" "&amp;DQ21&amp;"&lt;/P&gt;&lt;P&gt;Fits starting from VIN/ModelYear "&amp;PartsMaster!$F364&amp;" until VIN/ModelYear "&amp;PartsMaster!$G364&amp;"&lt;/P&gt;&lt;P&gt;Condition: "&amp;PartsMaster!AB364&amp;"&lt;/P&gt;&lt;P&gt; (part source "&amp;PartsMaster!AD364&amp;")&lt;/P&gt;&lt;P&gt;Notes: "&amp;PartsMaster!AA364&amp;"&lt;/P&gt;"</f>
        <v>&lt;P&gt; &lt;/P&gt;&lt;P&gt;Jaguar part name &lt;/P&gt;&lt;P&gt;Product numbers  0&lt;/P&gt;&lt;P&gt;Fits starting from VIN/ModelYear  until VIN/ModelYear &lt;/P&gt;&lt;P&gt;Condition: &lt;/P&gt;&lt;P&gt; (part source )&lt;/P&gt;&lt;P&gt;Notes: &lt;/P&gt;</v>
      </c>
      <c r="AA21" s="20" t="s">
        <v>1171</v>
      </c>
      <c r="AC21" s="20">
        <v>0</v>
      </c>
      <c r="AD21" s="20">
        <v>0</v>
      </c>
      <c r="AE21" s="20" t="s">
        <v>1172</v>
      </c>
      <c r="AF21" s="20">
        <v>7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O21" s="20" t="s">
        <v>1173</v>
      </c>
      <c r="AR21" s="20">
        <v>0</v>
      </c>
      <c r="AS21" s="20">
        <v>10112</v>
      </c>
      <c r="AV21" s="20" t="s">
        <v>1174</v>
      </c>
      <c r="AX21" s="20">
        <v>62128510024</v>
      </c>
      <c r="AY21" s="20">
        <v>62035811024</v>
      </c>
      <c r="AZ21" s="20">
        <v>55187694024</v>
      </c>
      <c r="BA21" s="20" t="s">
        <v>1175</v>
      </c>
      <c r="BB21" s="20" t="s">
        <v>1176</v>
      </c>
      <c r="BC21" s="20" t="s">
        <v>1177</v>
      </c>
      <c r="BD21" s="20">
        <v>1</v>
      </c>
      <c r="BE21" s="20">
        <v>0</v>
      </c>
      <c r="BF21" s="20">
        <v>0</v>
      </c>
      <c r="BG21" s="20">
        <v>0</v>
      </c>
      <c r="BN21" s="20" t="s">
        <v>1178</v>
      </c>
      <c r="BV21" s="20">
        <v>0</v>
      </c>
      <c r="CL21" s="20">
        <v>0</v>
      </c>
      <c r="DD21" s="20" t="s">
        <v>1179</v>
      </c>
      <c r="DE21" s="20" t="s">
        <v>1179</v>
      </c>
      <c r="DI21" s="20">
        <v>0</v>
      </c>
      <c r="DP21" s="21" t="s">
        <v>1180</v>
      </c>
      <c r="DQ21" s="21">
        <f>PartsMaster!$A364</f>
        <v>0</v>
      </c>
      <c r="DR21" s="21" t="s">
        <v>1181</v>
      </c>
      <c r="DS21" s="21" t="str">
        <f>PartsMaster!$K365&amp;" "&amp;PartsMaster!L365&amp;" "&amp;PartsMaster!$M365</f>
        <v xml:space="preserve">  </v>
      </c>
    </row>
    <row r="22" spans="1:123" ht="30" hidden="1" x14ac:dyDescent="0.25">
      <c r="A22" s="20" t="s">
        <v>1166</v>
      </c>
      <c r="B22" s="20" t="s">
        <v>1167</v>
      </c>
      <c r="C22" s="20" t="s">
        <v>1168</v>
      </c>
      <c r="D22" s="21" t="str">
        <f>PartsMaster!B49&amp;" "&amp;PartsMaster!$C49</f>
        <v xml:space="preserve">Jaguar XK8 XKR X100 Plenum cover finisher Cap </v>
      </c>
      <c r="E22" s="20">
        <v>3000</v>
      </c>
      <c r="F22" s="20" t="s">
        <v>1182</v>
      </c>
      <c r="H22" s="21">
        <f>PartsMaster!$Q49</f>
        <v>0</v>
      </c>
      <c r="I22" s="20">
        <v>9886</v>
      </c>
      <c r="K22" s="20">
        <v>0</v>
      </c>
      <c r="L22" s="20">
        <v>0</v>
      </c>
      <c r="M22" s="21">
        <f>PartsMaster!$D49</f>
        <v>0</v>
      </c>
      <c r="O22" s="20" t="s">
        <v>1169</v>
      </c>
      <c r="P22" s="23">
        <f>PartsMaster!$S49/1.45</f>
        <v>0</v>
      </c>
      <c r="S22" s="20">
        <v>30</v>
      </c>
      <c r="T22" s="20">
        <v>0</v>
      </c>
      <c r="U22" s="20" t="s">
        <v>1170</v>
      </c>
      <c r="Z22" s="26" t="str">
        <f>"&lt;P&gt;"&amp;PartsMaster!$I49&amp;" "&amp;PartsMaster!$H49&amp;"&lt;/P&gt;"&amp;"&lt;P&gt;Jaguar part name "&amp;PartsMaster!$E49&amp;"&lt;/P&gt;&lt;P&gt;Product numbers "&amp;PartsMaster!R49&amp;" "&amp;DQ22&amp;"&lt;/P&gt;&lt;P&gt;Fits starting from VIN/ModelYear "&amp;PartsMaster!$F49&amp;" until VIN/ModelYear "&amp;PartsMaster!$G49&amp;"&lt;/P&gt;&lt;P&gt;Condition: "&amp;PartsMaster!AB49&amp;"&lt;/P&gt;&lt;P&gt; (part source "&amp;PartsMaster!AD49&amp;")&lt;/P&gt;&lt;P&gt;Notes: "&amp;PartsMaster!AA49&amp;"&lt;/P&gt;"</f>
        <v>&lt;P&gt;Cap / Cover Cap / Cover / Trim&lt;/P&gt;&lt;P&gt;Jaguar part name &lt;/P&gt;&lt;P&gt;Product numbers  EU HJA3835AA / HJA3835AA&lt;/P&gt;&lt;P&gt;Fits starting from VIN/ModelYear  until VIN/ModelYear &lt;/P&gt;&lt;P&gt;Condition: &lt;/P&gt;&lt;P&gt; (part source )&lt;/P&gt;&lt;P&gt;Notes: &lt;/P&gt;</v>
      </c>
      <c r="AA22" s="20" t="s">
        <v>1171</v>
      </c>
      <c r="AC22" s="20">
        <v>0</v>
      </c>
      <c r="AD22" s="20">
        <v>0</v>
      </c>
      <c r="AE22" s="20" t="s">
        <v>1172</v>
      </c>
      <c r="AF22" s="20">
        <v>7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O22" s="20" t="s">
        <v>1173</v>
      </c>
      <c r="AR22" s="20">
        <v>0</v>
      </c>
      <c r="AS22" s="20">
        <v>10112</v>
      </c>
      <c r="AV22" s="20" t="s">
        <v>1174</v>
      </c>
      <c r="AX22" s="20">
        <v>62128510024</v>
      </c>
      <c r="AY22" s="20">
        <v>62035811024</v>
      </c>
      <c r="AZ22" s="20">
        <v>55187694024</v>
      </c>
      <c r="BA22" s="20" t="s">
        <v>1175</v>
      </c>
      <c r="BB22" s="20" t="s">
        <v>1176</v>
      </c>
      <c r="BC22" s="20" t="s">
        <v>1177</v>
      </c>
      <c r="BD22" s="20">
        <v>1</v>
      </c>
      <c r="BE22" s="20">
        <v>0</v>
      </c>
      <c r="BF22" s="20">
        <v>0</v>
      </c>
      <c r="BG22" s="20">
        <v>0</v>
      </c>
      <c r="BN22" s="20" t="s">
        <v>1178</v>
      </c>
      <c r="BV22" s="20">
        <v>0</v>
      </c>
      <c r="CL22" s="20">
        <v>0</v>
      </c>
      <c r="DD22" s="20" t="s">
        <v>1179</v>
      </c>
      <c r="DE22" s="20" t="s">
        <v>1179</v>
      </c>
      <c r="DI22" s="20">
        <v>0</v>
      </c>
      <c r="DP22" s="21" t="s">
        <v>1180</v>
      </c>
      <c r="DQ22" s="21" t="str">
        <f>PartsMaster!$A49</f>
        <v>EU HJA3835AA / HJA3835AA</v>
      </c>
      <c r="DR22" s="21" t="s">
        <v>1181</v>
      </c>
      <c r="DS22" s="21" t="str">
        <f>PartsMaster!$K50&amp;" "&amp;PartsMaster!L50&amp;" "&amp;PartsMaster!$M50</f>
        <v xml:space="preserve">  </v>
      </c>
    </row>
    <row r="23" spans="1:123" ht="30" x14ac:dyDescent="0.25">
      <c r="A23" s="20" t="s">
        <v>1166</v>
      </c>
      <c r="B23" s="20" t="s">
        <v>1167</v>
      </c>
      <c r="C23" s="20" t="s">
        <v>1168</v>
      </c>
      <c r="D23" s="21" t="str">
        <f>PartsMaster!B211&amp;" "&amp;PartsMaster!$C211</f>
        <v>Jaguar XK8 XKR X100 ABS Sensor</v>
      </c>
      <c r="E23" s="20">
        <v>3000</v>
      </c>
      <c r="F23" s="20" t="s">
        <v>1182</v>
      </c>
      <c r="H23" s="21" t="str">
        <f>PartsMaster!$Q211</f>
        <v>ABS Sensor</v>
      </c>
      <c r="I23" s="20">
        <v>9886</v>
      </c>
      <c r="K23" s="20">
        <v>0</v>
      </c>
      <c r="L23" s="20">
        <v>0</v>
      </c>
      <c r="M23" s="21">
        <f>PartsMaster!$D211</f>
        <v>4</v>
      </c>
      <c r="O23" s="20" t="s">
        <v>1169</v>
      </c>
      <c r="P23" s="23">
        <f>PartsMaster!$S211/1.45</f>
        <v>51.724137931034484</v>
      </c>
      <c r="S23" s="20">
        <v>30</v>
      </c>
      <c r="T23" s="20">
        <v>0</v>
      </c>
      <c r="U23" s="20" t="s">
        <v>1170</v>
      </c>
      <c r="Z23" s="26" t="str">
        <f>"&lt;P&gt;"&amp;PartsMaster!$I211&amp;" "&amp;PartsMaster!$H211&amp;"&lt;/P&gt;"&amp;"&lt;P&gt;Jaguar part name "&amp;PartsMaster!$E211&amp;"&lt;/P&gt;&lt;P&gt;Product numbers "&amp;PartsMaster!R211&amp;" "&amp;DQ23&amp;"&lt;/P&gt;&lt;P&gt;Fits starting from VIN/ModelYear "&amp;PartsMaster!$F211&amp;" until VIN/ModelYear "&amp;PartsMaster!$G211&amp;"&lt;/P&gt;&lt;P&gt;Condition: "&amp;PartsMaster!AB211&amp;"&lt;/P&gt;&lt;P&gt; (part source "&amp;PartsMaster!AD211&amp;")&lt;/P&gt;&lt;P&gt;Notes: "&amp;PartsMaster!AA211&amp;"&lt;/P&gt;"</f>
        <v>&lt;P&gt;Brakes Sensor&lt;/P&gt;&lt;P&gt;Jaguar part name Wheel Speed Sensor&lt;/P&gt;&lt;P&gt;Product numbers LJA2226AA LJA2226AA&lt;/P&gt;&lt;P&gt;Fits starting from VIN/ModelYear  until VIN/ModelYear &lt;/P&gt;&lt;P&gt;Condition: Extra spare&lt;/P&gt;&lt;P&gt; (part source JP)&lt;/P&gt;&lt;P&gt;Notes: &lt;/P&gt;</v>
      </c>
      <c r="AA23" s="20" t="s">
        <v>1171</v>
      </c>
      <c r="AC23" s="20">
        <v>0</v>
      </c>
      <c r="AD23" s="20">
        <v>0</v>
      </c>
      <c r="AE23" s="20" t="s">
        <v>1172</v>
      </c>
      <c r="AF23" s="20">
        <v>7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O23" s="20" t="s">
        <v>1173</v>
      </c>
      <c r="AR23" s="20">
        <v>0</v>
      </c>
      <c r="AS23" s="20">
        <v>10112</v>
      </c>
      <c r="AV23" s="20" t="s">
        <v>1174</v>
      </c>
      <c r="AX23" s="20">
        <v>62128510024</v>
      </c>
      <c r="AY23" s="20">
        <v>62035811024</v>
      </c>
      <c r="AZ23" s="20">
        <v>55187694024</v>
      </c>
      <c r="BA23" s="20" t="s">
        <v>1175</v>
      </c>
      <c r="BB23" s="20" t="s">
        <v>1176</v>
      </c>
      <c r="BC23" s="20" t="s">
        <v>1177</v>
      </c>
      <c r="BD23" s="20">
        <v>1</v>
      </c>
      <c r="BE23" s="20">
        <v>0</v>
      </c>
      <c r="BF23" s="20">
        <v>0</v>
      </c>
      <c r="BG23" s="20">
        <v>0</v>
      </c>
      <c r="BN23" s="20" t="s">
        <v>1178</v>
      </c>
      <c r="BV23" s="20">
        <v>0</v>
      </c>
      <c r="CL23" s="20">
        <v>0</v>
      </c>
      <c r="DD23" s="20" t="s">
        <v>1179</v>
      </c>
      <c r="DE23" s="20" t="s">
        <v>1179</v>
      </c>
      <c r="DI23" s="20">
        <v>0</v>
      </c>
      <c r="DP23" s="21" t="s">
        <v>1180</v>
      </c>
      <c r="DQ23" s="21" t="str">
        <f>PartsMaster!$A211</f>
        <v>LJA2226AA</v>
      </c>
      <c r="DR23" s="21" t="s">
        <v>1181</v>
      </c>
      <c r="DS23" s="21" t="str">
        <f>PartsMaster!$K212&amp;" "&amp;PartsMaster!L212&amp;" "&amp;PartsMaster!$M212</f>
        <v xml:space="preserve">  </v>
      </c>
    </row>
    <row r="24" spans="1:123" ht="30" x14ac:dyDescent="0.25">
      <c r="A24" s="20" t="s">
        <v>1166</v>
      </c>
      <c r="B24" s="20" t="s">
        <v>1167</v>
      </c>
      <c r="C24" s="20" t="s">
        <v>1168</v>
      </c>
      <c r="D24" s="21" t="str">
        <f>PartsMaster!B191&amp;" "&amp;PartsMaster!$C191</f>
        <v>Jaguar XK8 XKR X100 Suspension Spring Kit (Road Spring)</v>
      </c>
      <c r="E24" s="20">
        <v>3000</v>
      </c>
      <c r="F24" s="20" t="s">
        <v>1182</v>
      </c>
      <c r="H24" s="21" t="str">
        <f>PartsMaster!$Q191</f>
        <v>KIT-ROAD SPR</v>
      </c>
      <c r="I24" s="20">
        <v>9886</v>
      </c>
      <c r="K24" s="20">
        <v>0</v>
      </c>
      <c r="L24" s="20">
        <v>0</v>
      </c>
      <c r="M24" s="21">
        <f>PartsMaster!$D191</f>
        <v>0</v>
      </c>
      <c r="O24" s="20" t="s">
        <v>1169</v>
      </c>
      <c r="P24" s="23">
        <f>PartsMaster!$S191/1.45</f>
        <v>0</v>
      </c>
      <c r="S24" s="20">
        <v>30</v>
      </c>
      <c r="T24" s="20">
        <v>0</v>
      </c>
      <c r="U24" s="20" t="s">
        <v>1170</v>
      </c>
      <c r="Z24" s="26" t="str">
        <f>"&lt;P&gt;"&amp;PartsMaster!$I191&amp;" "&amp;PartsMaster!$H191&amp;"&lt;/P&gt;"&amp;"&lt;P&gt;Jaguar part name "&amp;PartsMaster!$E191&amp;"&lt;/P&gt;&lt;P&gt;Product numbers "&amp;PartsMaster!R191&amp;" "&amp;DQ24&amp;"&lt;/P&gt;&lt;P&gt;Fits starting from VIN/ModelYear "&amp;PartsMaster!$F191&amp;" until VIN/ModelYear "&amp;PartsMaster!$G191&amp;"&lt;/P&gt;&lt;P&gt;Condition: "&amp;PartsMaster!AB191&amp;"&lt;/P&gt;&lt;P&gt; (part source "&amp;PartsMaster!AD191&amp;")&lt;/P&gt;&lt;P&gt;Notes: "&amp;PartsMaster!AA191&amp;"&lt;/P&gt;"</f>
        <v>&lt;P&gt;Suspension Spring&lt;/P&gt;&lt;P&gt;Jaguar part name Front Coil Spring&lt;/P&gt;&lt;P&gt;Product numbers JLM20712 JLM20712&lt;/P&gt;&lt;P&gt;Fits starting from VIN/ModelYear 031303 until VIN/ModelYear 042775&lt;/P&gt;&lt;P&gt;Condition: SNG Barrat UK&lt;/P&gt;&lt;P&gt; (part source )&lt;/P&gt;&lt;P&gt;Notes: Convertible&lt;/P&gt;</v>
      </c>
      <c r="AA24" s="20" t="s">
        <v>1171</v>
      </c>
      <c r="AC24" s="20">
        <v>0</v>
      </c>
      <c r="AD24" s="20">
        <v>0</v>
      </c>
      <c r="AE24" s="20" t="s">
        <v>1172</v>
      </c>
      <c r="AF24" s="20">
        <v>7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O24" s="20" t="s">
        <v>1173</v>
      </c>
      <c r="AR24" s="20">
        <v>0</v>
      </c>
      <c r="AS24" s="20">
        <v>10112</v>
      </c>
      <c r="AV24" s="20" t="s">
        <v>1174</v>
      </c>
      <c r="AX24" s="20">
        <v>62128510024</v>
      </c>
      <c r="AY24" s="20">
        <v>62035811024</v>
      </c>
      <c r="AZ24" s="20">
        <v>55187694024</v>
      </c>
      <c r="BA24" s="20" t="s">
        <v>1175</v>
      </c>
      <c r="BB24" s="20" t="s">
        <v>1176</v>
      </c>
      <c r="BC24" s="20" t="s">
        <v>1177</v>
      </c>
      <c r="BD24" s="20">
        <v>1</v>
      </c>
      <c r="BE24" s="20">
        <v>0</v>
      </c>
      <c r="BF24" s="20">
        <v>0</v>
      </c>
      <c r="BG24" s="20">
        <v>0</v>
      </c>
      <c r="BN24" s="20" t="s">
        <v>1178</v>
      </c>
      <c r="BV24" s="20">
        <v>0</v>
      </c>
      <c r="CL24" s="20">
        <v>0</v>
      </c>
      <c r="DD24" s="20" t="s">
        <v>1179</v>
      </c>
      <c r="DE24" s="20" t="s">
        <v>1179</v>
      </c>
      <c r="DI24" s="20">
        <v>0</v>
      </c>
      <c r="DP24" s="21" t="s">
        <v>1180</v>
      </c>
      <c r="DQ24" s="21" t="str">
        <f>PartsMaster!$A191</f>
        <v>JLM20712</v>
      </c>
      <c r="DR24" s="21" t="s">
        <v>1181</v>
      </c>
      <c r="DS24" s="21" t="str">
        <f>PartsMaster!$K192&amp;" "&amp;PartsMaster!L192&amp;" "&amp;PartsMaster!$M192</f>
        <v xml:space="preserve">Rear Left/Right </v>
      </c>
    </row>
    <row r="25" spans="1:123" x14ac:dyDescent="0.25">
      <c r="A25" s="20" t="s">
        <v>1166</v>
      </c>
      <c r="B25" s="20" t="s">
        <v>1167</v>
      </c>
      <c r="C25" s="20" t="s">
        <v>1168</v>
      </c>
      <c r="D25" s="21" t="str">
        <f>PartsMaster!B213&amp;" "&amp;PartsMaster!$C213</f>
        <v>Jaguar XK8 XKR X100 Cigar-lighter element-front</v>
      </c>
      <c r="E25" s="20">
        <v>3000</v>
      </c>
      <c r="F25" s="20" t="s">
        <v>1182</v>
      </c>
      <c r="H25" s="21">
        <f>PartsMaster!$Q213</f>
        <v>0</v>
      </c>
      <c r="I25" s="20">
        <v>9886</v>
      </c>
      <c r="K25" s="20">
        <v>0</v>
      </c>
      <c r="L25" s="20">
        <v>0</v>
      </c>
      <c r="M25" s="21">
        <f>PartsMaster!$D213</f>
        <v>0</v>
      </c>
      <c r="O25" s="20" t="s">
        <v>1169</v>
      </c>
      <c r="P25" s="23">
        <f>PartsMaster!$S213/1.45</f>
        <v>0</v>
      </c>
      <c r="S25" s="20">
        <v>30</v>
      </c>
      <c r="T25" s="20">
        <v>0</v>
      </c>
      <c r="U25" s="20" t="s">
        <v>1170</v>
      </c>
      <c r="Z25" s="26" t="str">
        <f>"&lt;P&gt;"&amp;PartsMaster!$I213&amp;" "&amp;PartsMaster!$H213&amp;"&lt;/P&gt;"&amp;"&lt;P&gt;Jaguar part name "&amp;PartsMaster!$E213&amp;"&lt;/P&gt;&lt;P&gt;Product numbers "&amp;PartsMaster!R213&amp;" "&amp;DQ25&amp;"&lt;/P&gt;&lt;P&gt;Fits starting from VIN/ModelYear "&amp;PartsMaster!$F213&amp;" until VIN/ModelYear "&amp;PartsMaster!$G213&amp;"&lt;/P&gt;&lt;P&gt;Condition: "&amp;PartsMaster!AB213&amp;"&lt;/P&gt;&lt;P&gt; (part source "&amp;PartsMaster!AD213&amp;")&lt;/P&gt;&lt;P&gt;Notes: "&amp;PartsMaster!AA213&amp;"&lt;/P&gt;"</f>
        <v>&lt;P&gt;Cigar Lighter &lt;/P&gt;&lt;P&gt;Jaguar part name Cigar-lighter element-front&lt;/P&gt;&lt;P&gt;Product numbers  LJA2730AA&lt;/P&gt;&lt;P&gt;Fits starting from VIN/ModelYear  until VIN/ModelYear &lt;/P&gt;&lt;P&gt;Condition: &lt;/P&gt;&lt;P&gt; (part source )&lt;/P&gt;&lt;P&gt;Notes: &lt;/P&gt;</v>
      </c>
      <c r="AA25" s="20" t="s">
        <v>1171</v>
      </c>
      <c r="AC25" s="20">
        <v>0</v>
      </c>
      <c r="AD25" s="20">
        <v>0</v>
      </c>
      <c r="AE25" s="20" t="s">
        <v>1172</v>
      </c>
      <c r="AF25" s="20">
        <v>7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O25" s="20" t="s">
        <v>1173</v>
      </c>
      <c r="AR25" s="20">
        <v>0</v>
      </c>
      <c r="AS25" s="20">
        <v>10112</v>
      </c>
      <c r="AV25" s="20" t="s">
        <v>1174</v>
      </c>
      <c r="AX25" s="20">
        <v>62128510024</v>
      </c>
      <c r="AY25" s="20">
        <v>62035811024</v>
      </c>
      <c r="AZ25" s="20">
        <v>55187694024</v>
      </c>
      <c r="BA25" s="20" t="s">
        <v>1175</v>
      </c>
      <c r="BB25" s="20" t="s">
        <v>1176</v>
      </c>
      <c r="BC25" s="20" t="s">
        <v>1177</v>
      </c>
      <c r="BD25" s="20">
        <v>1</v>
      </c>
      <c r="BE25" s="20">
        <v>0</v>
      </c>
      <c r="BF25" s="20">
        <v>0</v>
      </c>
      <c r="BG25" s="20">
        <v>0</v>
      </c>
      <c r="BN25" s="20" t="s">
        <v>1178</v>
      </c>
      <c r="BV25" s="20">
        <v>0</v>
      </c>
      <c r="CL25" s="20">
        <v>0</v>
      </c>
      <c r="DD25" s="20" t="s">
        <v>1179</v>
      </c>
      <c r="DE25" s="20" t="s">
        <v>1179</v>
      </c>
      <c r="DI25" s="20">
        <v>0</v>
      </c>
      <c r="DP25" s="21" t="s">
        <v>1180</v>
      </c>
      <c r="DQ25" s="21" t="str">
        <f>PartsMaster!$A213</f>
        <v>LJA2730AA</v>
      </c>
      <c r="DR25" s="21" t="s">
        <v>1181</v>
      </c>
      <c r="DS25" s="21" t="str">
        <f>PartsMaster!$K214&amp;" "&amp;PartsMaster!L214&amp;" "&amp;PartsMaster!$M214</f>
        <v xml:space="preserve">Front Right </v>
      </c>
    </row>
    <row r="26" spans="1:123" ht="30" hidden="1" x14ac:dyDescent="0.25">
      <c r="A26" s="20" t="s">
        <v>1166</v>
      </c>
      <c r="B26" s="20" t="s">
        <v>1167</v>
      </c>
      <c r="C26" s="20" t="s">
        <v>1168</v>
      </c>
      <c r="D26" s="21" t="str">
        <f>PartsMaster!B22&amp;" "&amp;PartsMaster!$C22</f>
        <v>Jaguar XK8 XKR X100 Seat - Mount Washer</v>
      </c>
      <c r="E26" s="20">
        <v>3000</v>
      </c>
      <c r="F26" s="20" t="s">
        <v>1182</v>
      </c>
      <c r="H26" s="21" t="str">
        <f>PartsMaster!$Q22</f>
        <v>WASHER</v>
      </c>
      <c r="I26" s="20">
        <v>9886</v>
      </c>
      <c r="K26" s="20">
        <v>0</v>
      </c>
      <c r="L26" s="20">
        <v>0</v>
      </c>
      <c r="M26" s="21">
        <f>PartsMaster!$D22</f>
        <v>0</v>
      </c>
      <c r="O26" s="20" t="s">
        <v>1169</v>
      </c>
      <c r="P26" s="23">
        <f>PartsMaster!$S22/1.45</f>
        <v>0</v>
      </c>
      <c r="S26" s="20">
        <v>30</v>
      </c>
      <c r="T26" s="20">
        <v>0</v>
      </c>
      <c r="U26" s="20" t="s">
        <v>1170</v>
      </c>
      <c r="Z26" s="26" t="str">
        <f>"&lt;P&gt;"&amp;PartsMaster!$I22&amp;" "&amp;PartsMaster!$H22&amp;"&lt;/P&gt;"&amp;"&lt;P&gt;Jaguar part name "&amp;PartsMaster!$E22&amp;"&lt;/P&gt;&lt;P&gt;Product numbers "&amp;PartsMaster!R22&amp;" "&amp;DQ26&amp;"&lt;/P&gt;&lt;P&gt;Fits starting from VIN/ModelYear "&amp;PartsMaster!$F22&amp;" until VIN/ModelYear "&amp;PartsMaster!$G22&amp;"&lt;/P&gt;&lt;P&gt;Condition: "&amp;PartsMaster!AB22&amp;"&lt;/P&gt;&lt;P&gt; (part source "&amp;PartsMaster!AD22&amp;")&lt;/P&gt;&lt;P&gt;Notes: "&amp;PartsMaster!AA22&amp;"&lt;/P&gt;"</f>
        <v>&lt;P&gt;Mounting Washer&lt;/P&gt;&lt;P&gt;Jaguar part name &lt;/P&gt;&lt;P&gt;Product numbers C21069 C21069&lt;/P&gt;&lt;P&gt;Fits starting from VIN/ModelYear  until VIN/ModelYear &lt;/P&gt;&lt;P&gt;Condition: SNG Barrat&lt;/P&gt;&lt;P&gt; (part source )&lt;/P&gt;&lt;P&gt;Notes: &lt;/P&gt;</v>
      </c>
      <c r="AA26" s="20" t="s">
        <v>1171</v>
      </c>
      <c r="AC26" s="20">
        <v>0</v>
      </c>
      <c r="AD26" s="20">
        <v>0</v>
      </c>
      <c r="AE26" s="20" t="s">
        <v>1172</v>
      </c>
      <c r="AF26" s="20">
        <v>7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O26" s="20" t="s">
        <v>1173</v>
      </c>
      <c r="AR26" s="20">
        <v>0</v>
      </c>
      <c r="AS26" s="20">
        <v>10112</v>
      </c>
      <c r="AV26" s="20" t="s">
        <v>1174</v>
      </c>
      <c r="AX26" s="20">
        <v>62128510024</v>
      </c>
      <c r="AY26" s="20">
        <v>62035811024</v>
      </c>
      <c r="AZ26" s="20">
        <v>55187694024</v>
      </c>
      <c r="BA26" s="20" t="s">
        <v>1175</v>
      </c>
      <c r="BB26" s="20" t="s">
        <v>1176</v>
      </c>
      <c r="BC26" s="20" t="s">
        <v>1177</v>
      </c>
      <c r="BD26" s="20">
        <v>1</v>
      </c>
      <c r="BE26" s="20">
        <v>0</v>
      </c>
      <c r="BF26" s="20">
        <v>0</v>
      </c>
      <c r="BG26" s="20">
        <v>0</v>
      </c>
      <c r="BN26" s="20" t="s">
        <v>1178</v>
      </c>
      <c r="BV26" s="20">
        <v>0</v>
      </c>
      <c r="CL26" s="20">
        <v>0</v>
      </c>
      <c r="DD26" s="20" t="s">
        <v>1179</v>
      </c>
      <c r="DE26" s="20" t="s">
        <v>1179</v>
      </c>
      <c r="DI26" s="20">
        <v>0</v>
      </c>
      <c r="DP26" s="21" t="s">
        <v>1180</v>
      </c>
      <c r="DQ26" s="21" t="str">
        <f>PartsMaster!$A22</f>
        <v>C21069</v>
      </c>
      <c r="DR26" s="21" t="s">
        <v>1181</v>
      </c>
      <c r="DS26" s="21" t="str">
        <f>PartsMaster!$K23&amp;" "&amp;PartsMaster!L23&amp;" "&amp;PartsMaster!$M23</f>
        <v xml:space="preserve">  </v>
      </c>
    </row>
    <row r="27" spans="1:123" x14ac:dyDescent="0.25">
      <c r="A27" s="20" t="s">
        <v>1166</v>
      </c>
      <c r="B27" s="20" t="s">
        <v>1167</v>
      </c>
      <c r="C27" s="20" t="s">
        <v>1168</v>
      </c>
      <c r="D27" s="21" t="str">
        <f>PartsMaster!B375&amp;" "&amp;PartsMaster!$C375</f>
        <v>Jaguar XK8 XKR X100 Seat  - Mechanism cover - Coffee</v>
      </c>
      <c r="E27" s="20">
        <v>3000</v>
      </c>
      <c r="F27" s="20" t="s">
        <v>1182</v>
      </c>
      <c r="H27" s="21">
        <f>PartsMaster!$Q375</f>
        <v>0</v>
      </c>
      <c r="I27" s="20">
        <v>9886</v>
      </c>
      <c r="K27" s="20">
        <v>0</v>
      </c>
      <c r="L27" s="20">
        <v>0</v>
      </c>
      <c r="M27" s="21">
        <f>PartsMaster!$D375</f>
        <v>0</v>
      </c>
      <c r="O27" s="20" t="s">
        <v>1169</v>
      </c>
      <c r="P27" s="23">
        <f>PartsMaster!$S375/1.45</f>
        <v>0</v>
      </c>
      <c r="S27" s="20">
        <v>30</v>
      </c>
      <c r="T27" s="20">
        <v>0</v>
      </c>
      <c r="U27" s="20" t="s">
        <v>1170</v>
      </c>
      <c r="Z27" s="26" t="str">
        <f>"&lt;P&gt;"&amp;PartsMaster!$I375&amp;" "&amp;PartsMaster!$H375&amp;"&lt;/P&gt;"&amp;"&lt;P&gt;Jaguar part name "&amp;PartsMaster!$E375&amp;"&lt;/P&gt;&lt;P&gt;Product numbers "&amp;PartsMaster!R375&amp;" "&amp;DQ27&amp;"&lt;/P&gt;&lt;P&gt;Fits starting from VIN/ModelYear "&amp;PartsMaster!$F375&amp;" until VIN/ModelYear "&amp;PartsMaster!$G375&amp;"&lt;/P&gt;&lt;P&gt;Condition: "&amp;PartsMaster!AB375&amp;"&lt;/P&gt;&lt;P&gt; (part source "&amp;PartsMaster!AD375&amp;")&lt;/P&gt;&lt;P&gt;Notes: "&amp;PartsMaster!AA375&amp;"&lt;/P&gt;"</f>
        <v>&lt;P&gt;Cap / Cover Cap / Cover / Trim&lt;/P&gt;&lt;P&gt;Jaguar part name &lt;/P&gt;&lt;P&gt;Product numbers  0&lt;/P&gt;&lt;P&gt;Fits starting from VIN/ModelYear 0 until VIN/ModelYear 18107&lt;/P&gt;&lt;P&gt;Condition: &lt;/P&gt;&lt;P&gt; (part source )&lt;/P&gt;&lt;P&gt;Notes: &lt;/P&gt;</v>
      </c>
      <c r="AA27" s="20" t="s">
        <v>1171</v>
      </c>
      <c r="AC27" s="20">
        <v>0</v>
      </c>
      <c r="AD27" s="20">
        <v>0</v>
      </c>
      <c r="AE27" s="20" t="s">
        <v>1172</v>
      </c>
      <c r="AF27" s="20">
        <v>7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O27" s="20" t="s">
        <v>1173</v>
      </c>
      <c r="AR27" s="20">
        <v>0</v>
      </c>
      <c r="AS27" s="20">
        <v>10112</v>
      </c>
      <c r="AV27" s="20" t="s">
        <v>1174</v>
      </c>
      <c r="AX27" s="20">
        <v>62128510024</v>
      </c>
      <c r="AY27" s="20">
        <v>62035811024</v>
      </c>
      <c r="AZ27" s="20">
        <v>55187694024</v>
      </c>
      <c r="BA27" s="20" t="s">
        <v>1175</v>
      </c>
      <c r="BB27" s="20" t="s">
        <v>1176</v>
      </c>
      <c r="BC27" s="20" t="s">
        <v>1177</v>
      </c>
      <c r="BD27" s="20">
        <v>1</v>
      </c>
      <c r="BE27" s="20">
        <v>0</v>
      </c>
      <c r="BF27" s="20">
        <v>0</v>
      </c>
      <c r="BG27" s="20">
        <v>0</v>
      </c>
      <c r="BN27" s="20" t="s">
        <v>1178</v>
      </c>
      <c r="BV27" s="20">
        <v>0</v>
      </c>
      <c r="CL27" s="20">
        <v>0</v>
      </c>
      <c r="DD27" s="20" t="s">
        <v>1179</v>
      </c>
      <c r="DE27" s="20" t="s">
        <v>1179</v>
      </c>
      <c r="DI27" s="20">
        <v>0</v>
      </c>
      <c r="DP27" s="21" t="s">
        <v>1180</v>
      </c>
      <c r="DQ27" s="21">
        <f>PartsMaster!$A375</f>
        <v>0</v>
      </c>
      <c r="DR27" s="21" t="s">
        <v>1181</v>
      </c>
      <c r="DS27" s="21" t="str">
        <f>PartsMaster!$K376&amp;" "&amp;PartsMaster!L376&amp;" "&amp;PartsMaster!$M376</f>
        <v>Front Right Low</v>
      </c>
    </row>
    <row r="28" spans="1:123" ht="30" x14ac:dyDescent="0.25">
      <c r="A28" s="20" t="s">
        <v>1166</v>
      </c>
      <c r="B28" s="20" t="s">
        <v>1167</v>
      </c>
      <c r="C28" s="20" t="s">
        <v>1168</v>
      </c>
      <c r="D28" s="21" t="str">
        <f>PartsMaster!B289&amp;" "&amp;PartsMaster!$C289</f>
        <v>Jaguar XK8 XKR X100 XJ8 XJR X308 Timing Chain Guide Rail</v>
      </c>
      <c r="E28" s="20">
        <v>3000</v>
      </c>
      <c r="F28" s="20" t="s">
        <v>1182</v>
      </c>
      <c r="H28" s="21" t="str">
        <f>PartsMaster!$Q289</f>
        <v>TIMING CHAIN GUIDE</v>
      </c>
      <c r="I28" s="20">
        <v>9886</v>
      </c>
      <c r="K28" s="20">
        <v>0</v>
      </c>
      <c r="L28" s="20">
        <v>0</v>
      </c>
      <c r="M28" s="21">
        <f>PartsMaster!$D289</f>
        <v>0</v>
      </c>
      <c r="O28" s="20" t="s">
        <v>1169</v>
      </c>
      <c r="P28" s="23">
        <f>PartsMaster!$S289/1.45</f>
        <v>0</v>
      </c>
      <c r="S28" s="20">
        <v>30</v>
      </c>
      <c r="T28" s="20">
        <v>0</v>
      </c>
      <c r="U28" s="20" t="s">
        <v>1170</v>
      </c>
      <c r="Z28" s="26" t="str">
        <f>"&lt;P&gt;"&amp;PartsMaster!$I289&amp;" "&amp;PartsMaster!$H289&amp;"&lt;/P&gt;"&amp;"&lt;P&gt;Jaguar part name "&amp;PartsMaster!$E289&amp;"&lt;/P&gt;&lt;P&gt;Product numbers "&amp;PartsMaster!R289&amp;" "&amp;DQ28&amp;"&lt;/P&gt;&lt;P&gt;Fits starting from VIN/ModelYear "&amp;PartsMaster!$F289&amp;" until VIN/ModelYear "&amp;PartsMaster!$G289&amp;"&lt;/P&gt;&lt;P&gt;Condition: "&amp;PartsMaster!AB289&amp;"&lt;/P&gt;&lt;P&gt; (part source "&amp;PartsMaster!AD289&amp;")&lt;/P&gt;&lt;P&gt;Notes: "&amp;PartsMaster!AA289&amp;"&lt;/P&gt;"</f>
        <v>&lt;P&gt;Engine Timing Chain guide / Blade&lt;/P&gt;&lt;P&gt;Jaguar part name &lt;/P&gt;&lt;P&gt;Product numbers NCA1998AB NCA1998AB&lt;/P&gt;&lt;P&gt;Fits starting from VIN/ModelYear X100, 1996 - X308, 1998 until VIN/ModelYear X100-X308 Engine #0108122359&lt;/P&gt;&lt;P&gt;Condition: British Parts&lt;/P&gt;&lt;P&gt; (part source )&lt;/P&gt;&lt;P&gt;Notes: &lt;/P&gt;</v>
      </c>
      <c r="AA28" s="20" t="s">
        <v>1171</v>
      </c>
      <c r="AC28" s="20">
        <v>0</v>
      </c>
      <c r="AD28" s="20">
        <v>0</v>
      </c>
      <c r="AE28" s="20" t="s">
        <v>1172</v>
      </c>
      <c r="AF28" s="20">
        <v>7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O28" s="20" t="s">
        <v>1173</v>
      </c>
      <c r="AR28" s="20">
        <v>0</v>
      </c>
      <c r="AS28" s="20">
        <v>10112</v>
      </c>
      <c r="AV28" s="20" t="s">
        <v>1174</v>
      </c>
      <c r="AX28" s="20">
        <v>62128510024</v>
      </c>
      <c r="AY28" s="20">
        <v>62035811024</v>
      </c>
      <c r="AZ28" s="20">
        <v>55187694024</v>
      </c>
      <c r="BA28" s="20" t="s">
        <v>1175</v>
      </c>
      <c r="BB28" s="20" t="s">
        <v>1176</v>
      </c>
      <c r="BC28" s="20" t="s">
        <v>1177</v>
      </c>
      <c r="BD28" s="20">
        <v>1</v>
      </c>
      <c r="BE28" s="20">
        <v>0</v>
      </c>
      <c r="BF28" s="20">
        <v>0</v>
      </c>
      <c r="BG28" s="20">
        <v>0</v>
      </c>
      <c r="BN28" s="20" t="s">
        <v>1178</v>
      </c>
      <c r="BV28" s="20">
        <v>0</v>
      </c>
      <c r="CL28" s="20">
        <v>0</v>
      </c>
      <c r="DD28" s="20" t="s">
        <v>1179</v>
      </c>
      <c r="DE28" s="20" t="s">
        <v>1179</v>
      </c>
      <c r="DI28" s="20">
        <v>0</v>
      </c>
      <c r="DP28" s="21" t="s">
        <v>1180</v>
      </c>
      <c r="DQ28" s="21" t="str">
        <f>PartsMaster!$A289</f>
        <v>NCA1998AB</v>
      </c>
      <c r="DR28" s="21" t="s">
        <v>1181</v>
      </c>
      <c r="DS28" s="21" t="str">
        <f>PartsMaster!$K290&amp;" "&amp;PartsMaster!L290&amp;" "&amp;PartsMaster!$M290</f>
        <v xml:space="preserve">  </v>
      </c>
    </row>
    <row r="29" spans="1:123" ht="30" hidden="1" x14ac:dyDescent="0.25">
      <c r="A29" s="20" t="s">
        <v>1166</v>
      </c>
      <c r="B29" s="20" t="s">
        <v>1167</v>
      </c>
      <c r="C29" s="20" t="s">
        <v>1168</v>
      </c>
      <c r="D29" s="21" t="str">
        <f>PartsMaster!B19&amp;" "&amp;PartsMaster!$C19</f>
        <v>Jaguar XK8 XKR X100 CYLINDER HEAD BOLT</v>
      </c>
      <c r="E29" s="20">
        <v>3000</v>
      </c>
      <c r="F29" s="20" t="s">
        <v>1182</v>
      </c>
      <c r="H29" s="21" t="str">
        <f>PartsMaster!$Q19</f>
        <v>CYLINDER HEAD BOLT</v>
      </c>
      <c r="I29" s="20">
        <v>9886</v>
      </c>
      <c r="K29" s="20">
        <v>0</v>
      </c>
      <c r="L29" s="20">
        <v>0</v>
      </c>
      <c r="M29" s="21">
        <f>PartsMaster!$D19</f>
        <v>0</v>
      </c>
      <c r="O29" s="20" t="s">
        <v>1169</v>
      </c>
      <c r="P29" s="23">
        <f>PartsMaster!$S19/1.45</f>
        <v>0</v>
      </c>
      <c r="S29" s="20">
        <v>30</v>
      </c>
      <c r="T29" s="20">
        <v>0</v>
      </c>
      <c r="U29" s="20" t="s">
        <v>1170</v>
      </c>
      <c r="Z29" s="26" t="str">
        <f>"&lt;P&gt;"&amp;PartsMaster!$I19&amp;" "&amp;PartsMaster!$H19&amp;"&lt;/P&gt;"&amp;"&lt;P&gt;Jaguar part name "&amp;PartsMaster!$E19&amp;"&lt;/P&gt;&lt;P&gt;Product numbers "&amp;PartsMaster!R19&amp;" "&amp;DQ29&amp;"&lt;/P&gt;&lt;P&gt;Fits starting from VIN/ModelYear "&amp;PartsMaster!$F19&amp;" until VIN/ModelYear "&amp;PartsMaster!$G19&amp;"&lt;/P&gt;&lt;P&gt;Condition: "&amp;PartsMaster!AB19&amp;"&lt;/P&gt;&lt;P&gt; (part source "&amp;PartsMaster!AD19&amp;")&lt;/P&gt;&lt;P&gt;Notes: "&amp;PartsMaster!AA19&amp;"&lt;/P&gt;"</f>
        <v>&lt;P&gt;Engine Bolt / Screw&lt;/P&gt;&lt;P&gt;Jaguar part name &lt;/P&gt;&lt;P&gt;Product numbers AJ89986 AJ89986&lt;/P&gt;&lt;P&gt;Fits starting from VIN/ModelYear  until VIN/ModelYear &lt;/P&gt;&lt;P&gt;Condition: British Parts&lt;/P&gt;&lt;P&gt; (part source )&lt;/P&gt;&lt;P&gt;Notes: &lt;/P&gt;</v>
      </c>
      <c r="AA29" s="20" t="s">
        <v>1171</v>
      </c>
      <c r="AC29" s="20">
        <v>0</v>
      </c>
      <c r="AD29" s="20">
        <v>0</v>
      </c>
      <c r="AE29" s="20" t="s">
        <v>1172</v>
      </c>
      <c r="AF29" s="20">
        <v>7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O29" s="20" t="s">
        <v>1173</v>
      </c>
      <c r="AR29" s="20">
        <v>0</v>
      </c>
      <c r="AS29" s="20">
        <v>10112</v>
      </c>
      <c r="AV29" s="20" t="s">
        <v>1174</v>
      </c>
      <c r="AX29" s="20">
        <v>62128510024</v>
      </c>
      <c r="AY29" s="20">
        <v>62035811024</v>
      </c>
      <c r="AZ29" s="20">
        <v>55187694024</v>
      </c>
      <c r="BA29" s="20" t="s">
        <v>1175</v>
      </c>
      <c r="BB29" s="20" t="s">
        <v>1176</v>
      </c>
      <c r="BC29" s="20" t="s">
        <v>1177</v>
      </c>
      <c r="BD29" s="20">
        <v>1</v>
      </c>
      <c r="BE29" s="20">
        <v>0</v>
      </c>
      <c r="BF29" s="20">
        <v>0</v>
      </c>
      <c r="BG29" s="20">
        <v>0</v>
      </c>
      <c r="BN29" s="20" t="s">
        <v>1178</v>
      </c>
      <c r="BV29" s="20">
        <v>0</v>
      </c>
      <c r="CL29" s="20">
        <v>0</v>
      </c>
      <c r="DD29" s="20" t="s">
        <v>1179</v>
      </c>
      <c r="DE29" s="20" t="s">
        <v>1179</v>
      </c>
      <c r="DI29" s="20">
        <v>0</v>
      </c>
      <c r="DP29" s="21" t="s">
        <v>1180</v>
      </c>
      <c r="DQ29" s="21" t="str">
        <f>PartsMaster!$A19</f>
        <v>AJ89986</v>
      </c>
      <c r="DR29" s="21" t="s">
        <v>1181</v>
      </c>
      <c r="DS29" s="21" t="str">
        <f>PartsMaster!$K20&amp;" "&amp;PartsMaster!L20&amp;" "&amp;PartsMaster!$M20</f>
        <v>Front Left/Right Top(?)</v>
      </c>
    </row>
    <row r="30" spans="1:123" x14ac:dyDescent="0.25">
      <c r="A30" s="20" t="s">
        <v>1166</v>
      </c>
      <c r="B30" s="20" t="s">
        <v>1167</v>
      </c>
      <c r="C30" s="20" t="s">
        <v>1168</v>
      </c>
      <c r="D30" s="21" t="str">
        <f>PartsMaster!B297&amp;" "&amp;PartsMaster!$C297</f>
        <v>Jaguar XK8 XKR X100 XJ8 XJR X308 Seal Spark Plug Boss</v>
      </c>
      <c r="E30" s="20">
        <v>3000</v>
      </c>
      <c r="F30" s="20" t="s">
        <v>1182</v>
      </c>
      <c r="H30" s="21" t="str">
        <f>PartsMaster!$Q297</f>
        <v>Spark Plug Boss Seal</v>
      </c>
      <c r="I30" s="20">
        <v>9886</v>
      </c>
      <c r="K30" s="20">
        <v>0</v>
      </c>
      <c r="L30" s="20">
        <v>0</v>
      </c>
      <c r="M30" s="21">
        <f>PartsMaster!$D297</f>
        <v>0</v>
      </c>
      <c r="O30" s="20" t="s">
        <v>1169</v>
      </c>
      <c r="P30" s="23">
        <f>PartsMaster!$S297/1.45</f>
        <v>7.5862068965517242</v>
      </c>
      <c r="S30" s="20">
        <v>30</v>
      </c>
      <c r="T30" s="20">
        <v>0</v>
      </c>
      <c r="U30" s="20" t="s">
        <v>1170</v>
      </c>
      <c r="Z30" s="26" t="str">
        <f>"&lt;P&gt;"&amp;PartsMaster!$I297&amp;" "&amp;PartsMaster!$H297&amp;"&lt;/P&gt;"&amp;"&lt;P&gt;Jaguar part name "&amp;PartsMaster!$E297&amp;"&lt;/P&gt;&lt;P&gt;Product numbers "&amp;PartsMaster!R297&amp;" "&amp;DQ30&amp;"&lt;/P&gt;&lt;P&gt;Fits starting from VIN/ModelYear "&amp;PartsMaster!$F297&amp;" until VIN/ModelYear "&amp;PartsMaster!$G297&amp;"&lt;/P&gt;&lt;P&gt;Condition: "&amp;PartsMaster!AB297&amp;"&lt;/P&gt;&lt;P&gt; (part source "&amp;PartsMaster!AD297&amp;")&lt;/P&gt;&lt;P&gt;Notes: "&amp;PartsMaster!AA297&amp;"&lt;/P&gt;"</f>
        <v>&lt;P&gt; Gasket / Seal / O-Ring&lt;/P&gt;&lt;P&gt;Jaguar part name &lt;/P&gt;&lt;P&gt;Product numbers NCA2578BB NCA2578BB&lt;/P&gt;&lt;P&gt;Fits starting from VIN/ModelYear  until VIN/ModelYear &lt;/P&gt;&lt;P&gt;Condition: &lt;/P&gt;&lt;P&gt; (part source )&lt;/P&gt;&lt;P&gt;Notes: &lt;/P&gt;</v>
      </c>
      <c r="AA30" s="20" t="s">
        <v>1171</v>
      </c>
      <c r="AC30" s="20">
        <v>0</v>
      </c>
      <c r="AD30" s="20">
        <v>0</v>
      </c>
      <c r="AE30" s="20" t="s">
        <v>1172</v>
      </c>
      <c r="AF30" s="20">
        <v>7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O30" s="20" t="s">
        <v>1173</v>
      </c>
      <c r="AR30" s="20">
        <v>0</v>
      </c>
      <c r="AS30" s="20">
        <v>10112</v>
      </c>
      <c r="AV30" s="20" t="s">
        <v>1174</v>
      </c>
      <c r="AX30" s="20">
        <v>62128510024</v>
      </c>
      <c r="AY30" s="20">
        <v>62035811024</v>
      </c>
      <c r="AZ30" s="20">
        <v>55187694024</v>
      </c>
      <c r="BA30" s="20" t="s">
        <v>1175</v>
      </c>
      <c r="BB30" s="20" t="s">
        <v>1176</v>
      </c>
      <c r="BC30" s="20" t="s">
        <v>1177</v>
      </c>
      <c r="BD30" s="20">
        <v>1</v>
      </c>
      <c r="BE30" s="20">
        <v>0</v>
      </c>
      <c r="BF30" s="20">
        <v>0</v>
      </c>
      <c r="BG30" s="20">
        <v>0</v>
      </c>
      <c r="BN30" s="20" t="s">
        <v>1178</v>
      </c>
      <c r="BV30" s="20">
        <v>0</v>
      </c>
      <c r="CL30" s="20">
        <v>0</v>
      </c>
      <c r="DD30" s="20" t="s">
        <v>1179</v>
      </c>
      <c r="DE30" s="20" t="s">
        <v>1179</v>
      </c>
      <c r="DI30" s="20">
        <v>0</v>
      </c>
      <c r="DP30" s="21" t="s">
        <v>1180</v>
      </c>
      <c r="DQ30" s="21" t="str">
        <f>PartsMaster!$A297</f>
        <v>NCA2578BB</v>
      </c>
      <c r="DR30" s="21" t="s">
        <v>1181</v>
      </c>
      <c r="DS30" s="21" t="str">
        <f>PartsMaster!$K298&amp;" "&amp;PartsMaster!L298&amp;" "&amp;PartsMaster!$M298</f>
        <v>Front Left/Right Top</v>
      </c>
    </row>
    <row r="31" spans="1:123" x14ac:dyDescent="0.25">
      <c r="A31" s="20" t="s">
        <v>1166</v>
      </c>
      <c r="B31" s="20" t="s">
        <v>1167</v>
      </c>
      <c r="C31" s="20" t="s">
        <v>1168</v>
      </c>
      <c r="D31" s="21" t="str">
        <f>PartsMaster!B309&amp;" "&amp;PartsMaster!$C309</f>
        <v>Jaguar XK8 XKR X100 HOSE-FULL LOAD BREATHER</v>
      </c>
      <c r="E31" s="20">
        <v>3000</v>
      </c>
      <c r="F31" s="20" t="s">
        <v>1182</v>
      </c>
      <c r="H31" s="21" t="str">
        <f>PartsMaster!$Q309</f>
        <v>HOSE-FULL LOAD BREATHER</v>
      </c>
      <c r="I31" s="20">
        <v>9886</v>
      </c>
      <c r="K31" s="20">
        <v>0</v>
      </c>
      <c r="L31" s="20">
        <v>0</v>
      </c>
      <c r="M31" s="21">
        <f>PartsMaster!$D309</f>
        <v>0</v>
      </c>
      <c r="O31" s="20" t="s">
        <v>1169</v>
      </c>
      <c r="P31" s="23">
        <f>PartsMaster!$S309/1.45</f>
        <v>0</v>
      </c>
      <c r="S31" s="20">
        <v>30</v>
      </c>
      <c r="T31" s="20">
        <v>0</v>
      </c>
      <c r="U31" s="20" t="s">
        <v>1170</v>
      </c>
      <c r="Z31" s="26" t="str">
        <f>"&lt;P&gt;"&amp;PartsMaster!$I309&amp;" "&amp;PartsMaster!$H309&amp;"&lt;/P&gt;"&amp;"&lt;P&gt;Jaguar part name "&amp;PartsMaster!$E309&amp;"&lt;/P&gt;&lt;P&gt;Product numbers "&amp;PartsMaster!R309&amp;" "&amp;DQ31&amp;"&lt;/P&gt;&lt;P&gt;Fits starting from VIN/ModelYear "&amp;PartsMaster!$F309&amp;" until VIN/ModelYear "&amp;PartsMaster!$G309&amp;"&lt;/P&gt;&lt;P&gt;Condition: "&amp;PartsMaster!AB309&amp;"&lt;/P&gt;&lt;P&gt; (part source "&amp;PartsMaster!AD309&amp;")&lt;/P&gt;&lt;P&gt;Notes: "&amp;PartsMaster!AA309&amp;"&lt;/P&gt;"</f>
        <v>&lt;P&gt; Hose / Pipe / Duct&lt;/P&gt;&lt;P&gt;Jaguar part name &lt;/P&gt;&lt;P&gt;Product numbers NCA3951CB NCA3951CB&lt;/P&gt;&lt;P&gt;Fits starting from VIN/ModelYear  until VIN/ModelYear &lt;/P&gt;&lt;P&gt;Condition: British Parts&lt;/P&gt;&lt;P&gt; (part source )&lt;/P&gt;&lt;P&gt;Notes: &lt;/P&gt;</v>
      </c>
      <c r="AA31" s="20" t="s">
        <v>1171</v>
      </c>
      <c r="AC31" s="20">
        <v>0</v>
      </c>
      <c r="AD31" s="20">
        <v>0</v>
      </c>
      <c r="AE31" s="20" t="s">
        <v>1172</v>
      </c>
      <c r="AF31" s="20">
        <v>7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O31" s="20" t="s">
        <v>1173</v>
      </c>
      <c r="AR31" s="20">
        <v>0</v>
      </c>
      <c r="AS31" s="20">
        <v>10112</v>
      </c>
      <c r="AV31" s="20" t="s">
        <v>1174</v>
      </c>
      <c r="AX31" s="20">
        <v>62128510024</v>
      </c>
      <c r="AY31" s="20">
        <v>62035811024</v>
      </c>
      <c r="AZ31" s="20">
        <v>55187694024</v>
      </c>
      <c r="BA31" s="20" t="s">
        <v>1175</v>
      </c>
      <c r="BB31" s="20" t="s">
        <v>1176</v>
      </c>
      <c r="BC31" s="20" t="s">
        <v>1177</v>
      </c>
      <c r="BD31" s="20">
        <v>1</v>
      </c>
      <c r="BE31" s="20">
        <v>0</v>
      </c>
      <c r="BF31" s="20">
        <v>0</v>
      </c>
      <c r="BG31" s="20">
        <v>0</v>
      </c>
      <c r="BN31" s="20" t="s">
        <v>1178</v>
      </c>
      <c r="BV31" s="20">
        <v>0</v>
      </c>
      <c r="CL31" s="20">
        <v>0</v>
      </c>
      <c r="DD31" s="20" t="s">
        <v>1179</v>
      </c>
      <c r="DE31" s="20" t="s">
        <v>1179</v>
      </c>
      <c r="DI31" s="20">
        <v>0</v>
      </c>
      <c r="DP31" s="21" t="s">
        <v>1180</v>
      </c>
      <c r="DQ31" s="21" t="str">
        <f>PartsMaster!$A309</f>
        <v>NCA3951CB</v>
      </c>
      <c r="DR31" s="21" t="s">
        <v>1181</v>
      </c>
      <c r="DS31" s="21" t="str">
        <f>PartsMaster!$K310&amp;" "&amp;PartsMaster!L310&amp;" "&amp;PartsMaster!$M310</f>
        <v xml:space="preserve">  </v>
      </c>
    </row>
    <row r="32" spans="1:123" ht="75" x14ac:dyDescent="0.25">
      <c r="A32" s="20" t="s">
        <v>1166</v>
      </c>
      <c r="B32" s="20" t="s">
        <v>1167</v>
      </c>
      <c r="C32" s="20" t="s">
        <v>1168</v>
      </c>
      <c r="D32" s="21" t="str">
        <f>PartsMaster!B313&amp;" "&amp;PartsMaster!$C313</f>
        <v>Jaguar XJR X308 XKR X100 Engine Supercharger Eaton M112</v>
      </c>
      <c r="E32" s="20">
        <v>3000</v>
      </c>
      <c r="F32" s="20" t="s">
        <v>1182</v>
      </c>
      <c r="H32" s="21" t="str">
        <f>PartsMaster!$Q313</f>
        <v>Superscarger</v>
      </c>
      <c r="I32" s="20">
        <v>9886</v>
      </c>
      <c r="K32" s="20">
        <v>0</v>
      </c>
      <c r="L32" s="20">
        <v>0</v>
      </c>
      <c r="M32" s="21">
        <f>PartsMaster!$D313</f>
        <v>0</v>
      </c>
      <c r="O32" s="20" t="s">
        <v>1169</v>
      </c>
      <c r="P32" s="23">
        <f>PartsMaster!$S313/1.45</f>
        <v>1310.344827586207</v>
      </c>
      <c r="S32" s="20">
        <v>30</v>
      </c>
      <c r="T32" s="20">
        <v>0</v>
      </c>
      <c r="U32" s="20" t="s">
        <v>1170</v>
      </c>
      <c r="Z32" s="26" t="str">
        <f>"&lt;P&gt;"&amp;PartsMaster!$I313&amp;" "&amp;PartsMaster!$H313&amp;"&lt;/P&gt;"&amp;"&lt;P&gt;Jaguar part name "&amp;PartsMaster!$E313&amp;"&lt;/P&gt;&lt;P&gt;Product numbers "&amp;PartsMaster!R313&amp;" "&amp;DQ32&amp;"&lt;/P&gt;&lt;P&gt;Fits starting from VIN/ModelYear "&amp;PartsMaster!$F313&amp;" until VIN/ModelYear "&amp;PartsMaster!$G313&amp;"&lt;/P&gt;&lt;P&gt;Condition: "&amp;PartsMaster!AB313&amp;"&lt;/P&gt;&lt;P&gt; (part source "&amp;PartsMaster!AD313&amp;")&lt;/P&gt;&lt;P&gt;Notes: "&amp;PartsMaster!AA313&amp;"&lt;/P&gt;"</f>
        <v>&lt;P&gt;Compressor Supercharger&lt;/P&gt;&lt;P&gt;Jaguar part name AIR AND FUEL DELIVERY SYSTEMS/SUPERCHARGER &lt;/P&gt;&lt;P&gt;Product numbers NCC7701AE NCC7701AE AJ83230  AJ84462  AJ85326 &lt;/P&gt;&lt;P&gt;Fits starting from VIN/ModelYear XJR X308-812317 and 
XKR X100-MY1996 until VIN/ModelYear XJR X308-F59525 and
XKR X100-MY2002&lt;/P&gt;&lt;P&gt;Condition: Extra renewed spare.&lt;/P&gt;&lt;P&gt; (part source JP)&lt;/P&gt;&lt;P&gt;Notes: Renewed in Finland: all the bearings, seals, coupler and oil. 
Exchange discount for renewalable unit 250euro, contact seller.&lt;/P&gt;</v>
      </c>
      <c r="AA32" s="20" t="s">
        <v>1171</v>
      </c>
      <c r="AC32" s="20">
        <v>0</v>
      </c>
      <c r="AD32" s="20">
        <v>0</v>
      </c>
      <c r="AE32" s="20" t="s">
        <v>1172</v>
      </c>
      <c r="AF32" s="20">
        <v>7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O32" s="20" t="s">
        <v>1173</v>
      </c>
      <c r="AR32" s="20">
        <v>0</v>
      </c>
      <c r="AS32" s="20">
        <v>10112</v>
      </c>
      <c r="AV32" s="20" t="s">
        <v>1174</v>
      </c>
      <c r="AX32" s="20">
        <v>62128510024</v>
      </c>
      <c r="AY32" s="20">
        <v>62035811024</v>
      </c>
      <c r="AZ32" s="20">
        <v>55187694024</v>
      </c>
      <c r="BA32" s="20" t="s">
        <v>1175</v>
      </c>
      <c r="BB32" s="20" t="s">
        <v>1176</v>
      </c>
      <c r="BC32" s="20" t="s">
        <v>1177</v>
      </c>
      <c r="BD32" s="20">
        <v>1</v>
      </c>
      <c r="BE32" s="20">
        <v>0</v>
      </c>
      <c r="BF32" s="20">
        <v>0</v>
      </c>
      <c r="BG32" s="20">
        <v>0</v>
      </c>
      <c r="BN32" s="20" t="s">
        <v>1178</v>
      </c>
      <c r="BV32" s="20">
        <v>0</v>
      </c>
      <c r="CL32" s="20">
        <v>0</v>
      </c>
      <c r="DD32" s="20" t="s">
        <v>1179</v>
      </c>
      <c r="DE32" s="20" t="s">
        <v>1179</v>
      </c>
      <c r="DI32" s="20">
        <v>0</v>
      </c>
      <c r="DP32" s="21" t="s">
        <v>1180</v>
      </c>
      <c r="DQ32" s="21" t="str">
        <f>PartsMaster!$A313</f>
        <v xml:space="preserve">NCC7701AE AJ83230  AJ84462  AJ85326 </v>
      </c>
      <c r="DR32" s="21" t="s">
        <v>1181</v>
      </c>
      <c r="DS32" s="21" t="str">
        <f>PartsMaster!$K314&amp;" "&amp;PartsMaster!L314&amp;" "&amp;PartsMaster!$M314</f>
        <v xml:space="preserve">  </v>
      </c>
    </row>
    <row r="33" spans="1:123" ht="30" hidden="1" x14ac:dyDescent="0.25">
      <c r="A33" s="20" t="s">
        <v>1166</v>
      </c>
      <c r="B33" s="20" t="s">
        <v>1167</v>
      </c>
      <c r="C33" s="20" t="s">
        <v>1168</v>
      </c>
      <c r="D33" s="21" t="str">
        <f>PartsMaster!B25&amp;" "&amp;PartsMaster!$C25</f>
        <v>Jaguar XK8 XKR X100 XJ8 XJR X308 Timing Chain Tensioner Secondary LH B Bank</v>
      </c>
      <c r="E33" s="20">
        <v>3000</v>
      </c>
      <c r="F33" s="20" t="s">
        <v>1182</v>
      </c>
      <c r="H33" s="21" t="str">
        <f>PartsMaster!$Q25</f>
        <v>TIMING CHAIN TENSIONER</v>
      </c>
      <c r="I33" s="20">
        <v>9886</v>
      </c>
      <c r="K33" s="20">
        <v>0</v>
      </c>
      <c r="L33" s="20">
        <v>0</v>
      </c>
      <c r="M33" s="21">
        <f>PartsMaster!$D25</f>
        <v>0</v>
      </c>
      <c r="O33" s="20" t="s">
        <v>1169</v>
      </c>
      <c r="P33" s="23">
        <f>PartsMaster!$S25/1.45</f>
        <v>0</v>
      </c>
      <c r="S33" s="20">
        <v>30</v>
      </c>
      <c r="T33" s="20">
        <v>0</v>
      </c>
      <c r="U33" s="20" t="s">
        <v>1170</v>
      </c>
      <c r="Z33" s="26" t="str">
        <f>"&lt;P&gt;"&amp;PartsMaster!$I25&amp;" "&amp;PartsMaster!$H25&amp;"&lt;/P&gt;"&amp;"&lt;P&gt;Jaguar part name "&amp;PartsMaster!$E25&amp;"&lt;/P&gt;&lt;P&gt;Product numbers "&amp;PartsMaster!R25&amp;" "&amp;DQ33&amp;"&lt;/P&gt;&lt;P&gt;Fits starting from VIN/ModelYear "&amp;PartsMaster!$F25&amp;" until VIN/ModelYear "&amp;PartsMaster!$G25&amp;"&lt;/P&gt;&lt;P&gt;Condition: "&amp;PartsMaster!AB25&amp;"&lt;/P&gt;&lt;P&gt; (part source "&amp;PartsMaster!AD25&amp;")&lt;/P&gt;&lt;P&gt;Notes: "&amp;PartsMaster!AA25&amp;"&lt;/P&gt;"</f>
        <v>&lt;P&gt;Engine Timing Chain tensioner&lt;/P&gt;&lt;P&gt;Jaguar part name &lt;/P&gt;&lt;P&gt;Product numbers C2A1512 C2A1512&lt;/P&gt;&lt;P&gt;Fits starting from VIN/ModelYear X100, 1996 - X308, 1997 until VIN/ModelYear X100, 2006 - X308, 2002&lt;/P&gt;&lt;P&gt;Condition: British Parts&lt;/P&gt;&lt;P&gt; (part source )&lt;/P&gt;&lt;P&gt;Notes: &lt;/P&gt;</v>
      </c>
      <c r="AA33" s="20" t="s">
        <v>1171</v>
      </c>
      <c r="AC33" s="20">
        <v>0</v>
      </c>
      <c r="AD33" s="20">
        <v>0</v>
      </c>
      <c r="AE33" s="20" t="s">
        <v>1172</v>
      </c>
      <c r="AF33" s="20">
        <v>7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O33" s="20" t="s">
        <v>1173</v>
      </c>
      <c r="AR33" s="20">
        <v>0</v>
      </c>
      <c r="AS33" s="20">
        <v>10112</v>
      </c>
      <c r="AV33" s="20" t="s">
        <v>1174</v>
      </c>
      <c r="AX33" s="20">
        <v>62128510024</v>
      </c>
      <c r="AY33" s="20">
        <v>62035811024</v>
      </c>
      <c r="AZ33" s="20">
        <v>55187694024</v>
      </c>
      <c r="BA33" s="20" t="s">
        <v>1175</v>
      </c>
      <c r="BB33" s="20" t="s">
        <v>1176</v>
      </c>
      <c r="BC33" s="20" t="s">
        <v>1177</v>
      </c>
      <c r="BD33" s="20">
        <v>1</v>
      </c>
      <c r="BE33" s="20">
        <v>0</v>
      </c>
      <c r="BF33" s="20">
        <v>0</v>
      </c>
      <c r="BG33" s="20">
        <v>0</v>
      </c>
      <c r="BN33" s="20" t="s">
        <v>1178</v>
      </c>
      <c r="BV33" s="20">
        <v>0</v>
      </c>
      <c r="CL33" s="20">
        <v>0</v>
      </c>
      <c r="DD33" s="20" t="s">
        <v>1179</v>
      </c>
      <c r="DE33" s="20" t="s">
        <v>1179</v>
      </c>
      <c r="DI33" s="20">
        <v>0</v>
      </c>
      <c r="DP33" s="21" t="s">
        <v>1180</v>
      </c>
      <c r="DQ33" s="21" t="str">
        <f>PartsMaster!$A25</f>
        <v>C2A1512</v>
      </c>
      <c r="DR33" s="21" t="s">
        <v>1181</v>
      </c>
      <c r="DS33" s="21" t="str">
        <f>PartsMaster!$K26&amp;" "&amp;PartsMaster!L26&amp;" "&amp;PartsMaster!$M26</f>
        <v>Front NA NA</v>
      </c>
    </row>
    <row r="34" spans="1:123" ht="75" hidden="1" x14ac:dyDescent="0.25">
      <c r="A34" s="20" t="s">
        <v>1166</v>
      </c>
      <c r="B34" s="20" t="s">
        <v>1167</v>
      </c>
      <c r="C34" s="20" t="s">
        <v>1168</v>
      </c>
      <c r="D34" s="21" t="str">
        <f>PartsMaster!B26&amp;" "&amp;PartsMaster!$C26</f>
        <v>Jaguar S-Type X200 Starter Motor</v>
      </c>
      <c r="E34" s="20">
        <v>3000</v>
      </c>
      <c r="F34" s="20" t="s">
        <v>1182</v>
      </c>
      <c r="H34" s="21" t="str">
        <f>PartsMaster!$Q26</f>
        <v>Starter Motor</v>
      </c>
      <c r="I34" s="20">
        <v>9886</v>
      </c>
      <c r="K34" s="20">
        <v>0</v>
      </c>
      <c r="L34" s="20">
        <v>0</v>
      </c>
      <c r="M34" s="21">
        <f>PartsMaster!$D26</f>
        <v>1</v>
      </c>
      <c r="O34" s="20" t="s">
        <v>1169</v>
      </c>
      <c r="P34" s="23">
        <f>PartsMaster!$S26/1.45</f>
        <v>44.827586206896555</v>
      </c>
      <c r="S34" s="20">
        <v>30</v>
      </c>
      <c r="T34" s="20">
        <v>0</v>
      </c>
      <c r="U34" s="20" t="s">
        <v>1170</v>
      </c>
      <c r="Z34" s="26" t="str">
        <f>"&lt;P&gt;"&amp;PartsMaster!$I26&amp;" "&amp;PartsMaster!$H26&amp;"&lt;/P&gt;"&amp;"&lt;P&gt;Jaguar part name "&amp;PartsMaster!$E26&amp;"&lt;/P&gt;&lt;P&gt;Product numbers "&amp;PartsMaster!R26&amp;" "&amp;DQ34&amp;"&lt;/P&gt;&lt;P&gt;Fits starting from VIN/ModelYear "&amp;PartsMaster!$F26&amp;" until VIN/ModelYear "&amp;PartsMaster!$G26&amp;"&lt;/P&gt;&lt;P&gt;Condition: "&amp;PartsMaster!AB26&amp;"&lt;/P&gt;&lt;P&gt; (part source "&amp;PartsMaster!AD26&amp;")&lt;/P&gt;&lt;P&gt;Notes: "&amp;PartsMaster!AA26&amp;"&lt;/P&gt;"</f>
        <v>&lt;P&gt;Start Motor&lt;/P&gt;&lt;P&gt;Jaguar part name S-TYPE/BATTERY/STARTER MOTOR/ALTERNATOR/STARTER MOTOR &lt;/P&gt;&lt;P&gt;Product numbers XW4U-11000-AC C2C1127&lt;/P&gt;&lt;P&gt;Fits starting from VIN/ModelYear  until VIN/ModelYear M45254&lt;/P&gt;&lt;P&gt;Condition: Extra working spare&lt;/P&gt;&lt;P&gt; (part source SJ)&lt;/P&gt;&lt;P&gt;Notes: &lt;/P&gt;</v>
      </c>
      <c r="AA34" s="20" t="s">
        <v>1171</v>
      </c>
      <c r="AC34" s="20">
        <v>0</v>
      </c>
      <c r="AD34" s="20">
        <v>0</v>
      </c>
      <c r="AE34" s="20" t="s">
        <v>1172</v>
      </c>
      <c r="AF34" s="20">
        <v>7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O34" s="20" t="s">
        <v>1173</v>
      </c>
      <c r="AR34" s="20">
        <v>0</v>
      </c>
      <c r="AS34" s="20">
        <v>10112</v>
      </c>
      <c r="AV34" s="20" t="s">
        <v>1174</v>
      </c>
      <c r="AX34" s="20">
        <v>62128510024</v>
      </c>
      <c r="AY34" s="20">
        <v>62035811024</v>
      </c>
      <c r="AZ34" s="20">
        <v>55187694024</v>
      </c>
      <c r="BA34" s="20" t="s">
        <v>1175</v>
      </c>
      <c r="BB34" s="20" t="s">
        <v>1176</v>
      </c>
      <c r="BC34" s="20" t="s">
        <v>1177</v>
      </c>
      <c r="BD34" s="20">
        <v>1</v>
      </c>
      <c r="BE34" s="20">
        <v>0</v>
      </c>
      <c r="BF34" s="20">
        <v>0</v>
      </c>
      <c r="BG34" s="20">
        <v>0</v>
      </c>
      <c r="BN34" s="20" t="s">
        <v>1178</v>
      </c>
      <c r="BV34" s="20">
        <v>0</v>
      </c>
      <c r="CL34" s="20">
        <v>0</v>
      </c>
      <c r="DD34" s="20" t="s">
        <v>1179</v>
      </c>
      <c r="DE34" s="20" t="s">
        <v>1179</v>
      </c>
      <c r="DI34" s="20">
        <v>0</v>
      </c>
      <c r="DP34" s="21" t="s">
        <v>1180</v>
      </c>
      <c r="DQ34" s="21" t="str">
        <f>PartsMaster!$A26</f>
        <v>C2C1127</v>
      </c>
      <c r="DR34" s="21" t="s">
        <v>1181</v>
      </c>
      <c r="DS34" s="21" t="str">
        <f>PartsMaster!$K27&amp;" "&amp;PartsMaster!L27&amp;" "&amp;PartsMaster!$M27</f>
        <v xml:space="preserve">  </v>
      </c>
    </row>
    <row r="35" spans="1:123" ht="30" hidden="1" x14ac:dyDescent="0.25">
      <c r="A35" s="20" t="s">
        <v>1166</v>
      </c>
      <c r="B35" s="20" t="s">
        <v>1167</v>
      </c>
      <c r="C35" s="20" t="s">
        <v>1168</v>
      </c>
      <c r="D35" s="21" t="str">
        <f>PartsMaster!B31&amp;" "&amp;PartsMaster!$C31</f>
        <v>Jaguar XK8 XKR X100 Wheel Bearing - Inner</v>
      </c>
      <c r="E35" s="20">
        <v>3000</v>
      </c>
      <c r="F35" s="20" t="s">
        <v>1182</v>
      </c>
      <c r="H35" s="21">
        <f>PartsMaster!$Q31</f>
        <v>0</v>
      </c>
      <c r="I35" s="20">
        <v>9886</v>
      </c>
      <c r="K35" s="20">
        <v>0</v>
      </c>
      <c r="L35" s="20">
        <v>0</v>
      </c>
      <c r="M35" s="21">
        <f>PartsMaster!$D31</f>
        <v>0</v>
      </c>
      <c r="O35" s="20" t="s">
        <v>1169</v>
      </c>
      <c r="P35" s="23">
        <f>PartsMaster!$S31/1.45</f>
        <v>0</v>
      </c>
      <c r="S35" s="20">
        <v>30</v>
      </c>
      <c r="T35" s="20">
        <v>0</v>
      </c>
      <c r="U35" s="20" t="s">
        <v>1170</v>
      </c>
      <c r="Z35" s="26" t="str">
        <f>"&lt;P&gt;"&amp;PartsMaster!$I31&amp;" "&amp;PartsMaster!$H31&amp;"&lt;/P&gt;"&amp;"&lt;P&gt;Jaguar part name "&amp;PartsMaster!$E31&amp;"&lt;/P&gt;&lt;P&gt;Product numbers "&amp;PartsMaster!R31&amp;" "&amp;DQ35&amp;"&lt;/P&gt;&lt;P&gt;Fits starting from VIN/ModelYear "&amp;PartsMaster!$F31&amp;" until VIN/ModelYear "&amp;PartsMaster!$G31&amp;"&lt;/P&gt;&lt;P&gt;Condition: "&amp;PartsMaster!AB31&amp;"&lt;/P&gt;&lt;P&gt; (part source "&amp;PartsMaster!AD31&amp;")&lt;/P&gt;&lt;P&gt;Notes: "&amp;PartsMaster!AA31&amp;"&lt;/P&gt;"</f>
        <v>&lt;P&gt;Bearing Bearing&lt;/P&gt;&lt;P&gt;Jaguar part name STEERING AND SUSPENSION/HUB AND CARRIER-REAR - Hub bearing inner&lt;/P&gt;&lt;P&gt;Product numbers CAC6332 CAC6332&lt;/P&gt;&lt;P&gt;Fits starting from VIN/ModelYear 0 until VIN/ModelYear 031302&lt;/P&gt;&lt;P&gt;Condition: &lt;/P&gt;&lt;P&gt; (part source )&lt;/P&gt;&lt;P&gt;Notes: &lt;/P&gt;</v>
      </c>
      <c r="AA35" s="20" t="s">
        <v>1171</v>
      </c>
      <c r="AC35" s="20">
        <v>0</v>
      </c>
      <c r="AD35" s="20">
        <v>0</v>
      </c>
      <c r="AE35" s="20" t="s">
        <v>1172</v>
      </c>
      <c r="AF35" s="20">
        <v>7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O35" s="20" t="s">
        <v>1173</v>
      </c>
      <c r="AR35" s="20">
        <v>0</v>
      </c>
      <c r="AS35" s="20">
        <v>10112</v>
      </c>
      <c r="AV35" s="20" t="s">
        <v>1174</v>
      </c>
      <c r="AX35" s="20">
        <v>62128510024</v>
      </c>
      <c r="AY35" s="20">
        <v>62035811024</v>
      </c>
      <c r="AZ35" s="20">
        <v>55187694024</v>
      </c>
      <c r="BA35" s="20" t="s">
        <v>1175</v>
      </c>
      <c r="BB35" s="20" t="s">
        <v>1176</v>
      </c>
      <c r="BC35" s="20" t="s">
        <v>1177</v>
      </c>
      <c r="BD35" s="20">
        <v>1</v>
      </c>
      <c r="BE35" s="20">
        <v>0</v>
      </c>
      <c r="BF35" s="20">
        <v>0</v>
      </c>
      <c r="BG35" s="20">
        <v>0</v>
      </c>
      <c r="BN35" s="20" t="s">
        <v>1178</v>
      </c>
      <c r="BV35" s="20">
        <v>0</v>
      </c>
      <c r="CL35" s="20">
        <v>0</v>
      </c>
      <c r="DD35" s="20" t="s">
        <v>1179</v>
      </c>
      <c r="DE35" s="20" t="s">
        <v>1179</v>
      </c>
      <c r="DI35" s="20">
        <v>0</v>
      </c>
      <c r="DP35" s="21" t="s">
        <v>1180</v>
      </c>
      <c r="DQ35" s="21" t="str">
        <f>PartsMaster!$A31</f>
        <v>CAC6332</v>
      </c>
      <c r="DR35" s="21" t="s">
        <v>1181</v>
      </c>
      <c r="DS35" s="21" t="str">
        <f>PartsMaster!$K32&amp;" "&amp;PartsMaster!L32&amp;" "&amp;PartsMaster!$M32</f>
        <v xml:space="preserve">Rear Left/Right </v>
      </c>
    </row>
    <row r="36" spans="1:123" ht="30" hidden="1" x14ac:dyDescent="0.25">
      <c r="A36" s="20" t="s">
        <v>1166</v>
      </c>
      <c r="B36" s="20" t="s">
        <v>1167</v>
      </c>
      <c r="C36" s="20" t="s">
        <v>1168</v>
      </c>
      <c r="D36" s="21" t="str">
        <f>PartsMaster!B32&amp;" "&amp;PartsMaster!$C32</f>
        <v>Jaguar XK8 XKR X100 Wheel Bearing - Outer</v>
      </c>
      <c r="E36" s="20">
        <v>3000</v>
      </c>
      <c r="F36" s="20" t="s">
        <v>1182</v>
      </c>
      <c r="H36" s="21">
        <f>PartsMaster!$Q32</f>
        <v>0</v>
      </c>
      <c r="I36" s="20">
        <v>9886</v>
      </c>
      <c r="K36" s="20">
        <v>0</v>
      </c>
      <c r="L36" s="20">
        <v>0</v>
      </c>
      <c r="M36" s="21">
        <f>PartsMaster!$D32</f>
        <v>0</v>
      </c>
      <c r="O36" s="20" t="s">
        <v>1169</v>
      </c>
      <c r="P36" s="23">
        <f>PartsMaster!$S32/1.45</f>
        <v>0</v>
      </c>
      <c r="S36" s="20">
        <v>30</v>
      </c>
      <c r="T36" s="20">
        <v>0</v>
      </c>
      <c r="U36" s="20" t="s">
        <v>1170</v>
      </c>
      <c r="Z36" s="26" t="str">
        <f>"&lt;P&gt;"&amp;PartsMaster!$I32&amp;" "&amp;PartsMaster!$H32&amp;"&lt;/P&gt;"&amp;"&lt;P&gt;Jaguar part name "&amp;PartsMaster!$E32&amp;"&lt;/P&gt;&lt;P&gt;Product numbers "&amp;PartsMaster!R32&amp;" "&amp;DQ36&amp;"&lt;/P&gt;&lt;P&gt;Fits starting from VIN/ModelYear "&amp;PartsMaster!$F32&amp;" until VIN/ModelYear "&amp;PartsMaster!$G32&amp;"&lt;/P&gt;&lt;P&gt;Condition: "&amp;PartsMaster!AB32&amp;"&lt;/P&gt;&lt;P&gt; (part source "&amp;PartsMaster!AD32&amp;")&lt;/P&gt;&lt;P&gt;Notes: "&amp;PartsMaster!AA32&amp;"&lt;/P&gt;"</f>
        <v>&lt;P&gt;Bearing Bearing&lt;/P&gt;&lt;P&gt;Jaguar part name STEERING AND SUSPENSION/HUB AND CARRIER-REAR - Hub bearing outer rear&lt;/P&gt;&lt;P&gt;Product numbers CAC6333 CAC6333&lt;/P&gt;&lt;P&gt;Fits starting from VIN/ModelYear  until VIN/ModelYear &lt;/P&gt;&lt;P&gt;Condition: &lt;/P&gt;&lt;P&gt; (part source )&lt;/P&gt;&lt;P&gt;Notes: &lt;/P&gt;</v>
      </c>
      <c r="AA36" s="20" t="s">
        <v>1171</v>
      </c>
      <c r="AC36" s="20">
        <v>0</v>
      </c>
      <c r="AD36" s="20">
        <v>0</v>
      </c>
      <c r="AE36" s="20" t="s">
        <v>1172</v>
      </c>
      <c r="AF36" s="20">
        <v>7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O36" s="20" t="s">
        <v>1173</v>
      </c>
      <c r="AR36" s="20">
        <v>0</v>
      </c>
      <c r="AS36" s="20">
        <v>10112</v>
      </c>
      <c r="AV36" s="20" t="s">
        <v>1174</v>
      </c>
      <c r="AX36" s="20">
        <v>62128510024</v>
      </c>
      <c r="AY36" s="20">
        <v>62035811024</v>
      </c>
      <c r="AZ36" s="20">
        <v>55187694024</v>
      </c>
      <c r="BA36" s="20" t="s">
        <v>1175</v>
      </c>
      <c r="BB36" s="20" t="s">
        <v>1176</v>
      </c>
      <c r="BC36" s="20" t="s">
        <v>1177</v>
      </c>
      <c r="BD36" s="20">
        <v>1</v>
      </c>
      <c r="BE36" s="20">
        <v>0</v>
      </c>
      <c r="BF36" s="20">
        <v>0</v>
      </c>
      <c r="BG36" s="20">
        <v>0</v>
      </c>
      <c r="BN36" s="20" t="s">
        <v>1178</v>
      </c>
      <c r="BV36" s="20">
        <v>0</v>
      </c>
      <c r="CL36" s="20">
        <v>0</v>
      </c>
      <c r="DD36" s="20" t="s">
        <v>1179</v>
      </c>
      <c r="DE36" s="20" t="s">
        <v>1179</v>
      </c>
      <c r="DI36" s="20">
        <v>0</v>
      </c>
      <c r="DP36" s="21" t="s">
        <v>1180</v>
      </c>
      <c r="DQ36" s="21" t="str">
        <f>PartsMaster!$A32</f>
        <v>CAC6333</v>
      </c>
      <c r="DR36" s="21" t="s">
        <v>1181</v>
      </c>
      <c r="DS36" s="21" t="str">
        <f>PartsMaster!$K33&amp;" "&amp;PartsMaster!L33&amp;" "&amp;PartsMaster!$M33</f>
        <v xml:space="preserve">  </v>
      </c>
    </row>
    <row r="37" spans="1:123" hidden="1" x14ac:dyDescent="0.25">
      <c r="A37" s="20" t="s">
        <v>1166</v>
      </c>
      <c r="B37" s="20" t="s">
        <v>1167</v>
      </c>
      <c r="C37" s="20" t="s">
        <v>1168</v>
      </c>
      <c r="D37" s="21" t="str">
        <f>PartsMaster!B16&amp;" "&amp;PartsMaster!$C16</f>
        <v>Jaguar XK8 XKR X100 WATER PUMP OE</v>
      </c>
      <c r="E37" s="20">
        <v>3000</v>
      </c>
      <c r="F37" s="20" t="s">
        <v>1182</v>
      </c>
      <c r="H37" s="21" t="str">
        <f>PartsMaster!$Q16</f>
        <v xml:space="preserve">WATER PUMP-JAGUAR </v>
      </c>
      <c r="I37" s="20">
        <v>9886</v>
      </c>
      <c r="K37" s="20">
        <v>0</v>
      </c>
      <c r="L37" s="20">
        <v>0</v>
      </c>
      <c r="M37" s="21">
        <f>PartsMaster!$D16</f>
        <v>0</v>
      </c>
      <c r="O37" s="20" t="s">
        <v>1169</v>
      </c>
      <c r="P37" s="23">
        <f>PartsMaster!$S16/1.45</f>
        <v>0</v>
      </c>
      <c r="S37" s="20">
        <v>30</v>
      </c>
      <c r="T37" s="20">
        <v>0</v>
      </c>
      <c r="U37" s="20" t="s">
        <v>1170</v>
      </c>
      <c r="Z37" s="26" t="str">
        <f>"&lt;P&gt;"&amp;PartsMaster!$I16&amp;" "&amp;PartsMaster!$H16&amp;"&lt;/P&gt;"&amp;"&lt;P&gt;Jaguar part name "&amp;PartsMaster!$E16&amp;"&lt;/P&gt;&lt;P&gt;Product numbers "&amp;PartsMaster!R16&amp;" "&amp;DQ37&amp;"&lt;/P&gt;&lt;P&gt;Fits starting from VIN/ModelYear "&amp;PartsMaster!$F16&amp;" until VIN/ModelYear "&amp;PartsMaster!$G16&amp;"&lt;/P&gt;&lt;P&gt;Condition: "&amp;PartsMaster!AB16&amp;"&lt;/P&gt;&lt;P&gt; (part source "&amp;PartsMaster!AD16&amp;")&lt;/P&gt;&lt;P&gt;Notes: "&amp;PartsMaster!AA16&amp;"&lt;/P&gt;"</f>
        <v>&lt;P&gt;Engine Cooling Pump&lt;/P&gt;&lt;P&gt;Jaguar part name &lt;/P&gt;&lt;P&gt;Product numbers AJ88912G AJ88912G&lt;/P&gt;&lt;P&gt;Fits starting from VIN/ModelYear  until VIN/ModelYear &lt;/P&gt;&lt;P&gt;Condition: British Parts&lt;/P&gt;&lt;P&gt; (part source )&lt;/P&gt;&lt;P&gt;Notes: &lt;/P&gt;</v>
      </c>
      <c r="AA37" s="20" t="s">
        <v>1171</v>
      </c>
      <c r="AC37" s="20">
        <v>0</v>
      </c>
      <c r="AD37" s="20">
        <v>0</v>
      </c>
      <c r="AE37" s="20" t="s">
        <v>1172</v>
      </c>
      <c r="AF37" s="20">
        <v>7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O37" s="20" t="s">
        <v>1173</v>
      </c>
      <c r="AR37" s="20">
        <v>0</v>
      </c>
      <c r="AS37" s="20">
        <v>10112</v>
      </c>
      <c r="AV37" s="20" t="s">
        <v>1174</v>
      </c>
      <c r="AX37" s="20">
        <v>62128510024</v>
      </c>
      <c r="AY37" s="20">
        <v>62035811024</v>
      </c>
      <c r="AZ37" s="20">
        <v>55187694024</v>
      </c>
      <c r="BA37" s="20" t="s">
        <v>1175</v>
      </c>
      <c r="BB37" s="20" t="s">
        <v>1176</v>
      </c>
      <c r="BC37" s="20" t="s">
        <v>1177</v>
      </c>
      <c r="BD37" s="20">
        <v>1</v>
      </c>
      <c r="BE37" s="20">
        <v>0</v>
      </c>
      <c r="BF37" s="20">
        <v>0</v>
      </c>
      <c r="BG37" s="20">
        <v>0</v>
      </c>
      <c r="BN37" s="20" t="s">
        <v>1178</v>
      </c>
      <c r="BV37" s="20">
        <v>0</v>
      </c>
      <c r="CL37" s="20">
        <v>0</v>
      </c>
      <c r="DD37" s="20" t="s">
        <v>1179</v>
      </c>
      <c r="DE37" s="20" t="s">
        <v>1179</v>
      </c>
      <c r="DI37" s="20">
        <v>0</v>
      </c>
      <c r="DP37" s="21" t="s">
        <v>1180</v>
      </c>
      <c r="DQ37" s="21" t="str">
        <f>PartsMaster!$A16</f>
        <v>AJ88912G</v>
      </c>
      <c r="DR37" s="21" t="s">
        <v>1181</v>
      </c>
      <c r="DS37" s="21" t="str">
        <f>PartsMaster!$K17&amp;" "&amp;PartsMaster!L17&amp;" "&amp;PartsMaster!$M17</f>
        <v xml:space="preserve">  </v>
      </c>
    </row>
    <row r="38" spans="1:123" ht="30" hidden="1" x14ac:dyDescent="0.25">
      <c r="A38" s="20" t="s">
        <v>1166</v>
      </c>
      <c r="B38" s="20" t="s">
        <v>1167</v>
      </c>
      <c r="C38" s="20" t="s">
        <v>1168</v>
      </c>
      <c r="D38" s="21" t="str">
        <f>PartsMaster!B17&amp;" "&amp;PartsMaster!$C17</f>
        <v>Jaguar XK8 XKR X100 WATER PUMP GASKET</v>
      </c>
      <c r="E38" s="20">
        <v>3000</v>
      </c>
      <c r="F38" s="20" t="s">
        <v>1182</v>
      </c>
      <c r="H38" s="21" t="str">
        <f>PartsMaster!$Q17</f>
        <v>WATER PUMP GASKET</v>
      </c>
      <c r="I38" s="20">
        <v>9886</v>
      </c>
      <c r="K38" s="20">
        <v>0</v>
      </c>
      <c r="L38" s="20">
        <v>0</v>
      </c>
      <c r="M38" s="21">
        <f>PartsMaster!$D17</f>
        <v>0</v>
      </c>
      <c r="O38" s="20" t="s">
        <v>1169</v>
      </c>
      <c r="P38" s="23">
        <f>PartsMaster!$S17/1.45</f>
        <v>0</v>
      </c>
      <c r="S38" s="20">
        <v>30</v>
      </c>
      <c r="T38" s="20">
        <v>0</v>
      </c>
      <c r="U38" s="20" t="s">
        <v>1170</v>
      </c>
      <c r="Z38" s="26" t="str">
        <f>"&lt;P&gt;"&amp;PartsMaster!$I17&amp;" "&amp;PartsMaster!$H17&amp;"&lt;/P&gt;"&amp;"&lt;P&gt;Jaguar part name "&amp;PartsMaster!$E17&amp;"&lt;/P&gt;&lt;P&gt;Product numbers "&amp;PartsMaster!R17&amp;" "&amp;DQ38&amp;"&lt;/P&gt;&lt;P&gt;Fits starting from VIN/ModelYear "&amp;PartsMaster!$F17&amp;" until VIN/ModelYear "&amp;PartsMaster!$G17&amp;"&lt;/P&gt;&lt;P&gt;Condition: "&amp;PartsMaster!AB17&amp;"&lt;/P&gt;&lt;P&gt; (part source "&amp;PartsMaster!AD17&amp;")&lt;/P&gt;&lt;P&gt;Notes: "&amp;PartsMaster!AA17&amp;"&lt;/P&gt;"</f>
        <v>&lt;P&gt;Engine Cooling Gasket / Seal / O-Ring&lt;/P&gt;&lt;P&gt;Jaguar part name &lt;/P&gt;&lt;P&gt;Product numbers AJ88922 AJ88922&lt;/P&gt;&lt;P&gt;Fits starting from VIN/ModelYear  until VIN/ModelYear &lt;/P&gt;&lt;P&gt;Condition: British Parts&lt;/P&gt;&lt;P&gt; (part source )&lt;/P&gt;&lt;P&gt;Notes: &lt;/P&gt;</v>
      </c>
      <c r="AA38" s="20" t="s">
        <v>1171</v>
      </c>
      <c r="AC38" s="20">
        <v>0</v>
      </c>
      <c r="AD38" s="20">
        <v>0</v>
      </c>
      <c r="AE38" s="20" t="s">
        <v>1172</v>
      </c>
      <c r="AF38" s="20">
        <v>7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O38" s="20" t="s">
        <v>1173</v>
      </c>
      <c r="AR38" s="20">
        <v>0</v>
      </c>
      <c r="AS38" s="20">
        <v>10112</v>
      </c>
      <c r="AV38" s="20" t="s">
        <v>1174</v>
      </c>
      <c r="AX38" s="20">
        <v>62128510024</v>
      </c>
      <c r="AY38" s="20">
        <v>62035811024</v>
      </c>
      <c r="AZ38" s="20">
        <v>55187694024</v>
      </c>
      <c r="BA38" s="20" t="s">
        <v>1175</v>
      </c>
      <c r="BB38" s="20" t="s">
        <v>1176</v>
      </c>
      <c r="BC38" s="20" t="s">
        <v>1177</v>
      </c>
      <c r="BD38" s="20">
        <v>1</v>
      </c>
      <c r="BE38" s="20">
        <v>0</v>
      </c>
      <c r="BF38" s="20">
        <v>0</v>
      </c>
      <c r="BG38" s="20">
        <v>0</v>
      </c>
      <c r="BN38" s="20" t="s">
        <v>1178</v>
      </c>
      <c r="BV38" s="20">
        <v>0</v>
      </c>
      <c r="CL38" s="20">
        <v>0</v>
      </c>
      <c r="DD38" s="20" t="s">
        <v>1179</v>
      </c>
      <c r="DE38" s="20" t="s">
        <v>1179</v>
      </c>
      <c r="DI38" s="20">
        <v>0</v>
      </c>
      <c r="DP38" s="21" t="s">
        <v>1180</v>
      </c>
      <c r="DQ38" s="21" t="str">
        <f>PartsMaster!$A17</f>
        <v>AJ88922</v>
      </c>
      <c r="DR38" s="21" t="s">
        <v>1181</v>
      </c>
      <c r="DS38" s="21" t="str">
        <f>PartsMaster!$K18&amp;" "&amp;PartsMaster!L18&amp;" "&amp;PartsMaster!$M18</f>
        <v xml:space="preserve">Front  </v>
      </c>
    </row>
    <row r="39" spans="1:123" ht="30" hidden="1" x14ac:dyDescent="0.25">
      <c r="A39" s="20" t="s">
        <v>1166</v>
      </c>
      <c r="B39" s="20" t="s">
        <v>1167</v>
      </c>
      <c r="C39" s="20" t="s">
        <v>1168</v>
      </c>
      <c r="D39" s="21" t="str">
        <f>PartsMaster!B35&amp;" "&amp;PartsMaster!$C35</f>
        <v>Jaguar XK8 XKR X100 Halfshaft</v>
      </c>
      <c r="E39" s="20">
        <v>3000</v>
      </c>
      <c r="F39" s="20" t="s">
        <v>1182</v>
      </c>
      <c r="H39" s="21" t="str">
        <f>PartsMaster!$Q35</f>
        <v>Halfshaft</v>
      </c>
      <c r="I39" s="20">
        <v>9886</v>
      </c>
      <c r="K39" s="20">
        <v>0</v>
      </c>
      <c r="L39" s="20">
        <v>0</v>
      </c>
      <c r="M39" s="21">
        <f>PartsMaster!$D35</f>
        <v>1</v>
      </c>
      <c r="O39" s="20" t="s">
        <v>1169</v>
      </c>
      <c r="P39" s="23">
        <f>PartsMaster!$S35/1.45</f>
        <v>65.517241379310349</v>
      </c>
      <c r="S39" s="20">
        <v>30</v>
      </c>
      <c r="T39" s="20">
        <v>0</v>
      </c>
      <c r="U39" s="20" t="s">
        <v>1170</v>
      </c>
      <c r="Z39" s="26" t="str">
        <f>"&lt;P&gt;"&amp;PartsMaster!$I35&amp;" "&amp;PartsMaster!$H35&amp;"&lt;/P&gt;"&amp;"&lt;P&gt;Jaguar part name "&amp;PartsMaster!$E35&amp;"&lt;/P&gt;&lt;P&gt;Product numbers "&amp;PartsMaster!R35&amp;" "&amp;DQ39&amp;"&lt;/P&gt;&lt;P&gt;Fits starting from VIN/ModelYear "&amp;PartsMaster!$F35&amp;" until VIN/ModelYear "&amp;PartsMaster!$G35&amp;"&lt;/P&gt;&lt;P&gt;Condition: "&amp;PartsMaster!AB35&amp;"&lt;/P&gt;&lt;P&gt; (part source "&amp;PartsMaster!AD35&amp;")&lt;/P&gt;&lt;P&gt;Notes: "&amp;PartsMaster!AA35&amp;"&lt;/P&gt;"</f>
        <v>&lt;P&gt;Shaft Suspention/rear&lt;/P&gt;&lt;P&gt;Jaguar part name TRANSMISSION AND DRIVELINE/HALFSHAFTS - Halfshaft&lt;/P&gt;&lt;P&gt;Product numbers CBC2268 CBC2268&lt;/P&gt;&lt;P&gt;Fits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39" s="20" t="s">
        <v>1171</v>
      </c>
      <c r="AC39" s="20">
        <v>0</v>
      </c>
      <c r="AD39" s="20">
        <v>0</v>
      </c>
      <c r="AE39" s="20" t="s">
        <v>1172</v>
      </c>
      <c r="AF39" s="20">
        <v>7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O39" s="20" t="s">
        <v>1173</v>
      </c>
      <c r="AR39" s="20">
        <v>0</v>
      </c>
      <c r="AS39" s="20">
        <v>10112</v>
      </c>
      <c r="AV39" s="20" t="s">
        <v>1174</v>
      </c>
      <c r="AX39" s="20">
        <v>62128510024</v>
      </c>
      <c r="AY39" s="20">
        <v>62035811024</v>
      </c>
      <c r="AZ39" s="20">
        <v>55187694024</v>
      </c>
      <c r="BA39" s="20" t="s">
        <v>1175</v>
      </c>
      <c r="BB39" s="20" t="s">
        <v>1176</v>
      </c>
      <c r="BC39" s="20" t="s">
        <v>1177</v>
      </c>
      <c r="BD39" s="20">
        <v>1</v>
      </c>
      <c r="BE39" s="20">
        <v>0</v>
      </c>
      <c r="BF39" s="20">
        <v>0</v>
      </c>
      <c r="BG39" s="20">
        <v>0</v>
      </c>
      <c r="BN39" s="20" t="s">
        <v>1178</v>
      </c>
      <c r="BV39" s="20">
        <v>0</v>
      </c>
      <c r="CL39" s="20">
        <v>0</v>
      </c>
      <c r="DD39" s="20" t="s">
        <v>1179</v>
      </c>
      <c r="DE39" s="20" t="s">
        <v>1179</v>
      </c>
      <c r="DI39" s="20">
        <v>0</v>
      </c>
      <c r="DP39" s="21" t="s">
        <v>1180</v>
      </c>
      <c r="DQ39" s="21" t="str">
        <f>PartsMaster!$A35</f>
        <v>CBC2268</v>
      </c>
      <c r="DR39" s="21" t="s">
        <v>1181</v>
      </c>
      <c r="DS39" s="21" t="str">
        <f>PartsMaster!$K36&amp;" "&amp;PartsMaster!L36&amp;" "&amp;PartsMaster!$M36</f>
        <v>Rear Right Bottom</v>
      </c>
    </row>
    <row r="40" spans="1:123" ht="45" x14ac:dyDescent="0.25">
      <c r="A40" s="20" t="s">
        <v>1166</v>
      </c>
      <c r="B40" s="20" t="s">
        <v>1167</v>
      </c>
      <c r="C40" s="20" t="s">
        <v>1168</v>
      </c>
      <c r="D40" s="21" t="str">
        <f>PartsMaster!B114&amp;" "&amp;PartsMaster!$C114</f>
        <v>Jaguar XK8 XKR X100 Bonnet / Bulkhead - Seal / Insulation</v>
      </c>
      <c r="E40" s="20">
        <v>3000</v>
      </c>
      <c r="F40" s="20" t="s">
        <v>1182</v>
      </c>
      <c r="H40" s="21">
        <f>PartsMaster!$Q114</f>
        <v>0</v>
      </c>
      <c r="I40" s="20">
        <v>9886</v>
      </c>
      <c r="K40" s="20">
        <v>0</v>
      </c>
      <c r="L40" s="20">
        <v>0</v>
      </c>
      <c r="M40" s="21">
        <f>PartsMaster!$D114</f>
        <v>1</v>
      </c>
      <c r="O40" s="20" t="s">
        <v>1169</v>
      </c>
      <c r="P40" s="23">
        <f>PartsMaster!$S114/1.45</f>
        <v>24.137931034482758</v>
      </c>
      <c r="S40" s="20">
        <v>30</v>
      </c>
      <c r="T40" s="20">
        <v>0</v>
      </c>
      <c r="U40" s="20" t="s">
        <v>1170</v>
      </c>
      <c r="Z40" s="26" t="str">
        <f>"&lt;P&gt;"&amp;PartsMaster!$I114&amp;" "&amp;PartsMaster!$H114&amp;"&lt;/P&gt;"&amp;"&lt;P&gt;Jaguar part name "&amp;PartsMaster!$E114&amp;"&lt;/P&gt;&lt;P&gt;Product numbers "&amp;PartsMaster!R114&amp;" "&amp;DQ40&amp;"&lt;/P&gt;&lt;P&gt;Fits starting from VIN/ModelYear "&amp;PartsMaster!$F114&amp;" until VIN/ModelYear "&amp;PartsMaster!$G114&amp;"&lt;/P&gt;&lt;P&gt;Condition: "&amp;PartsMaster!AB114&amp;"&lt;/P&gt;&lt;P&gt; (part source "&amp;PartsMaster!AD114&amp;")&lt;/P&gt;&lt;P&gt;Notes: "&amp;PartsMaster!AA114&amp;"&lt;/P&gt;"</f>
        <v>&lt;P&gt;Air Insulation Seal / Insulation&lt;/P&gt;&lt;P&gt;Jaguar part name BODY CLOSURES AND SEALING/BONNET LATCHING MECHANISM AND SEALS 
Bulkhead Seal RH&lt;/P&gt;&lt;P&gt;Product numbers HJA5247BC HJA5247BC&lt;/P&gt;&lt;P&gt;Fits starting from VIN/ModelYear MY97 until VIN/ModelYear 010097&lt;/P&gt;&lt;P&gt;Condition: Dismantled from bottom &amp; engine damaged MY1997 XK8 Convertible VIN 0136xx&lt;/P&gt;&lt;P&gt; (part source KK)&lt;/P&gt;&lt;P&gt;Notes: &lt;/P&gt;</v>
      </c>
      <c r="AA40" s="20" t="s">
        <v>1171</v>
      </c>
      <c r="AC40" s="20">
        <v>0</v>
      </c>
      <c r="AD40" s="20">
        <v>0</v>
      </c>
      <c r="AE40" s="20" t="s">
        <v>1172</v>
      </c>
      <c r="AF40" s="20">
        <v>7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O40" s="20" t="s">
        <v>1173</v>
      </c>
      <c r="AR40" s="20">
        <v>0</v>
      </c>
      <c r="AS40" s="20">
        <v>10112</v>
      </c>
      <c r="AV40" s="20" t="s">
        <v>1174</v>
      </c>
      <c r="AX40" s="20">
        <v>62128510024</v>
      </c>
      <c r="AY40" s="20">
        <v>62035811024</v>
      </c>
      <c r="AZ40" s="20">
        <v>55187694024</v>
      </c>
      <c r="BA40" s="20" t="s">
        <v>1175</v>
      </c>
      <c r="BB40" s="20" t="s">
        <v>1176</v>
      </c>
      <c r="BC40" s="20" t="s">
        <v>1177</v>
      </c>
      <c r="BD40" s="20">
        <v>1</v>
      </c>
      <c r="BE40" s="20">
        <v>0</v>
      </c>
      <c r="BF40" s="20">
        <v>0</v>
      </c>
      <c r="BG40" s="20">
        <v>0</v>
      </c>
      <c r="BN40" s="20" t="s">
        <v>1178</v>
      </c>
      <c r="BV40" s="20">
        <v>0</v>
      </c>
      <c r="CL40" s="20">
        <v>0</v>
      </c>
      <c r="DD40" s="20" t="s">
        <v>1179</v>
      </c>
      <c r="DE40" s="20" t="s">
        <v>1179</v>
      </c>
      <c r="DI40" s="20">
        <v>0</v>
      </c>
      <c r="DP40" s="21" t="s">
        <v>1180</v>
      </c>
      <c r="DQ40" s="21" t="str">
        <f>PartsMaster!$A114</f>
        <v>HJA5247BC</v>
      </c>
      <c r="DR40" s="21" t="s">
        <v>1181</v>
      </c>
      <c r="DS40" s="21" t="str">
        <f>PartsMaster!$K115&amp;" "&amp;PartsMaster!L115&amp;" "&amp;PartsMaster!$M115</f>
        <v xml:space="preserve">Rear Left </v>
      </c>
    </row>
    <row r="41" spans="1:123" ht="30" hidden="1" x14ac:dyDescent="0.25">
      <c r="A41" s="20" t="s">
        <v>1166</v>
      </c>
      <c r="B41" s="20" t="s">
        <v>1167</v>
      </c>
      <c r="C41" s="20" t="s">
        <v>1168</v>
      </c>
      <c r="D41" s="21" t="str">
        <f>PartsMaster!B37&amp;" "&amp;PartsMaster!$C37</f>
        <v>Jaguar XK8 XKR X100 Rear upper link</v>
      </c>
      <c r="E41" s="20">
        <v>3000</v>
      </c>
      <c r="F41" s="20" t="s">
        <v>1182</v>
      </c>
      <c r="H41" s="21">
        <f>PartsMaster!$Q37</f>
        <v>0</v>
      </c>
      <c r="I41" s="20">
        <v>9886</v>
      </c>
      <c r="K41" s="20">
        <v>0</v>
      </c>
      <c r="L41" s="20">
        <v>0</v>
      </c>
      <c r="M41" s="21">
        <f>PartsMaster!$D37</f>
        <v>1</v>
      </c>
      <c r="O41" s="20" t="s">
        <v>1169</v>
      </c>
      <c r="P41" s="23">
        <f>PartsMaster!$S37/1.45</f>
        <v>37.931034482758619</v>
      </c>
      <c r="S41" s="20">
        <v>30</v>
      </c>
      <c r="T41" s="20">
        <v>0</v>
      </c>
      <c r="U41" s="20" t="s">
        <v>1170</v>
      </c>
      <c r="Z41" s="26" t="str">
        <f>"&lt;P&gt;"&amp;PartsMaster!$I37&amp;" "&amp;PartsMaster!$H37&amp;"&lt;/P&gt;"&amp;"&lt;P&gt;Jaguar part name "&amp;PartsMaster!$E37&amp;"&lt;/P&gt;&lt;P&gt;Product numbers "&amp;PartsMaster!R37&amp;" "&amp;DQ41&amp;"&lt;/P&gt;&lt;P&gt;Fits starting from VIN/ModelYear "&amp;PartsMaster!$F37&amp;" until VIN/ModelYear "&amp;PartsMaster!$G37&amp;"&lt;/P&gt;&lt;P&gt;Condition: "&amp;PartsMaster!AB37&amp;"&lt;/P&gt;&lt;P&gt; (part source "&amp;PartsMaster!AD37&amp;")&lt;/P&gt;&lt;P&gt;Notes: "&amp;PartsMaster!AA37&amp;"&lt;/P&gt;"</f>
        <v>&lt;P&gt;Mounting Suspention/rear&lt;/P&gt;&lt;P&gt;Jaguar part name STEERING AND SUSPENTION/SUBFRAME AND MOUNTINGS-REAR - Link&lt;/P&gt;&lt;P&gt;Product numbers CBC2965 CBC2965&lt;/P&gt;&lt;P&gt;Fits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41" s="20" t="s">
        <v>1171</v>
      </c>
      <c r="AC41" s="20">
        <v>0</v>
      </c>
      <c r="AD41" s="20">
        <v>0</v>
      </c>
      <c r="AE41" s="20" t="s">
        <v>1172</v>
      </c>
      <c r="AF41" s="20">
        <v>7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O41" s="20" t="s">
        <v>1173</v>
      </c>
      <c r="AR41" s="20">
        <v>0</v>
      </c>
      <c r="AS41" s="20">
        <v>10112</v>
      </c>
      <c r="AV41" s="20" t="s">
        <v>1174</v>
      </c>
      <c r="AX41" s="20">
        <v>62128510024</v>
      </c>
      <c r="AY41" s="20">
        <v>62035811024</v>
      </c>
      <c r="AZ41" s="20">
        <v>55187694024</v>
      </c>
      <c r="BA41" s="20" t="s">
        <v>1175</v>
      </c>
      <c r="BB41" s="20" t="s">
        <v>1176</v>
      </c>
      <c r="BC41" s="20" t="s">
        <v>1177</v>
      </c>
      <c r="BD41" s="20">
        <v>1</v>
      </c>
      <c r="BE41" s="20">
        <v>0</v>
      </c>
      <c r="BF41" s="20">
        <v>0</v>
      </c>
      <c r="BG41" s="20">
        <v>0</v>
      </c>
      <c r="BN41" s="20" t="s">
        <v>1178</v>
      </c>
      <c r="BV41" s="20">
        <v>0</v>
      </c>
      <c r="CL41" s="20">
        <v>0</v>
      </c>
      <c r="DD41" s="20" t="s">
        <v>1179</v>
      </c>
      <c r="DE41" s="20" t="s">
        <v>1179</v>
      </c>
      <c r="DI41" s="20">
        <v>0</v>
      </c>
      <c r="DP41" s="21" t="s">
        <v>1180</v>
      </c>
      <c r="DQ41" s="21" t="str">
        <f>PartsMaster!$A37</f>
        <v>CBC2965</v>
      </c>
      <c r="DR41" s="21" t="s">
        <v>1181</v>
      </c>
      <c r="DS41" s="21" t="str">
        <f>PartsMaster!$K38&amp;" "&amp;PartsMaster!L38&amp;" "&amp;PartsMaster!$M38</f>
        <v xml:space="preserve">Rear Left/Right </v>
      </c>
    </row>
    <row r="42" spans="1:123" ht="45" hidden="1" x14ac:dyDescent="0.25">
      <c r="A42" s="20" t="s">
        <v>1166</v>
      </c>
      <c r="B42" s="20" t="s">
        <v>1167</v>
      </c>
      <c r="C42" s="20" t="s">
        <v>1168</v>
      </c>
      <c r="D42" s="21" t="str">
        <f>PartsMaster!B38&amp;" "&amp;PartsMaster!$C38</f>
        <v>Jaguar XK8 XKR X100 Wheel Bearing - Spacer</v>
      </c>
      <c r="E42" s="20">
        <v>3000</v>
      </c>
      <c r="F42" s="20" t="s">
        <v>1182</v>
      </c>
      <c r="H42" s="21">
        <f>PartsMaster!$Q38</f>
        <v>0</v>
      </c>
      <c r="I42" s="20">
        <v>9886</v>
      </c>
      <c r="K42" s="20">
        <v>0</v>
      </c>
      <c r="L42" s="20">
        <v>0</v>
      </c>
      <c r="M42" s="21">
        <f>PartsMaster!$D38</f>
        <v>0</v>
      </c>
      <c r="O42" s="20" t="s">
        <v>1169</v>
      </c>
      <c r="P42" s="23">
        <f>PartsMaster!$S38/1.45</f>
        <v>0</v>
      </c>
      <c r="S42" s="20">
        <v>30</v>
      </c>
      <c r="T42" s="20">
        <v>0</v>
      </c>
      <c r="U42" s="20" t="s">
        <v>1170</v>
      </c>
      <c r="Z42" s="26" t="str">
        <f>"&lt;P&gt;"&amp;PartsMaster!$I38&amp;" "&amp;PartsMaster!$H38&amp;"&lt;/P&gt;"&amp;"&lt;P&gt;Jaguar part name "&amp;PartsMaster!$E38&amp;"&lt;/P&gt;&lt;P&gt;Product numbers "&amp;PartsMaster!R38&amp;" "&amp;DQ42&amp;"&lt;/P&gt;&lt;P&gt;Fits starting from VIN/ModelYear "&amp;PartsMaster!$F38&amp;" until VIN/ModelYear "&amp;PartsMaster!$G38&amp;"&lt;/P&gt;&lt;P&gt;Condition: "&amp;PartsMaster!AB38&amp;"&lt;/P&gt;&lt;P&gt; (part source "&amp;PartsMaster!AD38&amp;")&lt;/P&gt;&lt;P&gt;Notes: "&amp;PartsMaster!AA38&amp;"&lt;/P&gt;"</f>
        <v>&lt;P&gt;Bearing Spacer&lt;/P&gt;&lt;P&gt;Jaguar part name STEERING AND SUSPENSION/HUB AND CARRIER-REAR - Bearing Spacer&lt;/P&gt;&lt;P&gt;Product numbers CBC8207 CBC8207&lt;/P&gt;&lt;P&gt;Fits starting from VIN/ModelYear  until VIN/ModelYear &lt;/P&gt;&lt;P&gt;Condition: &lt;/P&gt;&lt;P&gt; (part source )&lt;/P&gt;&lt;P&gt;Notes: &lt;/P&gt;</v>
      </c>
      <c r="AA42" s="20" t="s">
        <v>1171</v>
      </c>
      <c r="AC42" s="20">
        <v>0</v>
      </c>
      <c r="AD42" s="20">
        <v>0</v>
      </c>
      <c r="AE42" s="20" t="s">
        <v>1172</v>
      </c>
      <c r="AF42" s="20">
        <v>7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O42" s="20" t="s">
        <v>1173</v>
      </c>
      <c r="AR42" s="20">
        <v>0</v>
      </c>
      <c r="AS42" s="20">
        <v>10112</v>
      </c>
      <c r="AV42" s="20" t="s">
        <v>1174</v>
      </c>
      <c r="AX42" s="20">
        <v>62128510024</v>
      </c>
      <c r="AY42" s="20">
        <v>62035811024</v>
      </c>
      <c r="AZ42" s="20">
        <v>55187694024</v>
      </c>
      <c r="BA42" s="20" t="s">
        <v>1175</v>
      </c>
      <c r="BB42" s="20" t="s">
        <v>1176</v>
      </c>
      <c r="BC42" s="20" t="s">
        <v>1177</v>
      </c>
      <c r="BD42" s="20">
        <v>1</v>
      </c>
      <c r="BE42" s="20">
        <v>0</v>
      </c>
      <c r="BF42" s="20">
        <v>0</v>
      </c>
      <c r="BG42" s="20">
        <v>0</v>
      </c>
      <c r="BN42" s="20" t="s">
        <v>1178</v>
      </c>
      <c r="BV42" s="20">
        <v>0</v>
      </c>
      <c r="CL42" s="20">
        <v>0</v>
      </c>
      <c r="DD42" s="20" t="s">
        <v>1179</v>
      </c>
      <c r="DE42" s="20" t="s">
        <v>1179</v>
      </c>
      <c r="DI42" s="20">
        <v>0</v>
      </c>
      <c r="DP42" s="21" t="s">
        <v>1180</v>
      </c>
      <c r="DQ42" s="21" t="str">
        <f>PartsMaster!$A38</f>
        <v>CBC8207</v>
      </c>
      <c r="DR42" s="21" t="s">
        <v>1181</v>
      </c>
      <c r="DS42" s="21" t="str">
        <f>PartsMaster!$K39&amp;" "&amp;PartsMaster!L39&amp;" "&amp;PartsMaster!$M39</f>
        <v>Rear Center Bottom</v>
      </c>
    </row>
    <row r="43" spans="1:123" ht="45" hidden="1" x14ac:dyDescent="0.25">
      <c r="A43" s="20" t="s">
        <v>1166</v>
      </c>
      <c r="B43" s="20" t="s">
        <v>1167</v>
      </c>
      <c r="C43" s="20" t="s">
        <v>1168</v>
      </c>
      <c r="D43" s="21" t="str">
        <f>PartsMaster!B39&amp;" "&amp;PartsMaster!$C39</f>
        <v>Jaguar XK8 XKR X100 Pendulum</v>
      </c>
      <c r="E43" s="20">
        <v>3000</v>
      </c>
      <c r="F43" s="20" t="s">
        <v>1182</v>
      </c>
      <c r="H43" s="21" t="str">
        <f>PartsMaster!$Q39</f>
        <v>Pendulum</v>
      </c>
      <c r="I43" s="20">
        <v>9886</v>
      </c>
      <c r="K43" s="20">
        <v>0</v>
      </c>
      <c r="L43" s="20">
        <v>0</v>
      </c>
      <c r="M43" s="21">
        <f>PartsMaster!$D39</f>
        <v>1</v>
      </c>
      <c r="O43" s="20" t="s">
        <v>1169</v>
      </c>
      <c r="P43" s="23">
        <f>PartsMaster!$S39/1.45</f>
        <v>100</v>
      </c>
      <c r="S43" s="20">
        <v>30</v>
      </c>
      <c r="T43" s="20">
        <v>0</v>
      </c>
      <c r="U43" s="20" t="s">
        <v>1170</v>
      </c>
      <c r="Z43" s="26" t="str">
        <f>"&lt;P&gt;"&amp;PartsMaster!$I39&amp;" "&amp;PartsMaster!$H39&amp;"&lt;/P&gt;"&amp;"&lt;P&gt;Jaguar part name "&amp;PartsMaster!$E39&amp;"&lt;/P&gt;&lt;P&gt;Product numbers "&amp;PartsMaster!R39&amp;" "&amp;DQ43&amp;"&lt;/P&gt;&lt;P&gt;Fits starting from VIN/ModelYear "&amp;PartsMaster!$F39&amp;" until VIN/ModelYear "&amp;PartsMaster!$G39&amp;"&lt;/P&gt;&lt;P&gt;Condition: "&amp;PartsMaster!AB39&amp;"&lt;/P&gt;&lt;P&gt; (part source "&amp;PartsMaster!AD39&amp;")&lt;/P&gt;&lt;P&gt;Notes: "&amp;PartsMaster!AA39&amp;"&lt;/P&gt;"</f>
        <v>&lt;P&gt;Mounting Suspention/rear&lt;/P&gt;&lt;P&gt;Jaguar part name STEERING AND SUSPENTION/SUSPENSION WISHBONES AND ARMS-REAR - Pendulum&lt;/P&gt;&lt;P&gt;Product numbers CCC2890 CCC2890&lt;/P&gt;&lt;P&gt;Fits starting from VIN/ModelYear  until VIN/ModelYear 0241540&lt;/P&gt;&lt;P&gt;Condition: Dismantled from bottom &amp; engine damaged MY1997 XK8 Convertible VIN 0136xx&lt;/P&gt;&lt;P&gt; (part source KK)&lt;/P&gt;&lt;P&gt;Notes: &lt;/P&gt;</v>
      </c>
      <c r="AA43" s="20" t="s">
        <v>1171</v>
      </c>
      <c r="AC43" s="20">
        <v>0</v>
      </c>
      <c r="AD43" s="20">
        <v>0</v>
      </c>
      <c r="AE43" s="20" t="s">
        <v>1172</v>
      </c>
      <c r="AF43" s="20">
        <v>7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O43" s="20" t="s">
        <v>1173</v>
      </c>
      <c r="AR43" s="20">
        <v>0</v>
      </c>
      <c r="AS43" s="20">
        <v>10112</v>
      </c>
      <c r="AV43" s="20" t="s">
        <v>1174</v>
      </c>
      <c r="AX43" s="20">
        <v>62128510024</v>
      </c>
      <c r="AY43" s="20">
        <v>62035811024</v>
      </c>
      <c r="AZ43" s="20">
        <v>55187694024</v>
      </c>
      <c r="BA43" s="20" t="s">
        <v>1175</v>
      </c>
      <c r="BB43" s="20" t="s">
        <v>1176</v>
      </c>
      <c r="BC43" s="20" t="s">
        <v>1177</v>
      </c>
      <c r="BD43" s="20">
        <v>1</v>
      </c>
      <c r="BE43" s="20">
        <v>0</v>
      </c>
      <c r="BF43" s="20">
        <v>0</v>
      </c>
      <c r="BG43" s="20">
        <v>0</v>
      </c>
      <c r="BN43" s="20" t="s">
        <v>1178</v>
      </c>
      <c r="BV43" s="20">
        <v>0</v>
      </c>
      <c r="CL43" s="20">
        <v>0</v>
      </c>
      <c r="DD43" s="20" t="s">
        <v>1179</v>
      </c>
      <c r="DE43" s="20" t="s">
        <v>1179</v>
      </c>
      <c r="DI43" s="20">
        <v>0</v>
      </c>
      <c r="DP43" s="21" t="s">
        <v>1180</v>
      </c>
      <c r="DQ43" s="21" t="str">
        <f>PartsMaster!$A39</f>
        <v>CCC2890</v>
      </c>
      <c r="DR43" s="21" t="s">
        <v>1181</v>
      </c>
      <c r="DS43" s="21" t="str">
        <f>PartsMaster!$K40&amp;" "&amp;PartsMaster!L40&amp;" "&amp;PartsMaster!$M40</f>
        <v xml:space="preserve">Rear Left/Right </v>
      </c>
    </row>
    <row r="44" spans="1:123" ht="30" hidden="1" x14ac:dyDescent="0.25">
      <c r="A44" s="20" t="s">
        <v>1166</v>
      </c>
      <c r="B44" s="20" t="s">
        <v>1167</v>
      </c>
      <c r="C44" s="20" t="s">
        <v>1168</v>
      </c>
      <c r="D44" s="21" t="str">
        <f>PartsMaster!B40&amp;" "&amp;PartsMaster!$C40</f>
        <v>Jaguar XK8 XKR X100 Wheel Bearing Seal - Outer</v>
      </c>
      <c r="E44" s="20">
        <v>3000</v>
      </c>
      <c r="F44" s="20" t="s">
        <v>1182</v>
      </c>
      <c r="H44" s="21">
        <f>PartsMaster!$Q40</f>
        <v>0</v>
      </c>
      <c r="I44" s="20">
        <v>9886</v>
      </c>
      <c r="K44" s="20">
        <v>0</v>
      </c>
      <c r="L44" s="20">
        <v>0</v>
      </c>
      <c r="M44" s="21">
        <f>PartsMaster!$D40</f>
        <v>0</v>
      </c>
      <c r="O44" s="20" t="s">
        <v>1169</v>
      </c>
      <c r="P44" s="23">
        <f>PartsMaster!$S40/1.45</f>
        <v>0</v>
      </c>
      <c r="S44" s="20">
        <v>30</v>
      </c>
      <c r="T44" s="20">
        <v>0</v>
      </c>
      <c r="U44" s="20" t="s">
        <v>1170</v>
      </c>
      <c r="Z44" s="26" t="str">
        <f>"&lt;P&gt;"&amp;PartsMaster!$I40&amp;" "&amp;PartsMaster!$H40&amp;"&lt;/P&gt;"&amp;"&lt;P&gt;Jaguar part name "&amp;PartsMaster!$E40&amp;"&lt;/P&gt;&lt;P&gt;Product numbers "&amp;PartsMaster!R40&amp;" "&amp;DQ44&amp;"&lt;/P&gt;&lt;P&gt;Fits starting from VIN/ModelYear "&amp;PartsMaster!$F40&amp;" until VIN/ModelYear "&amp;PartsMaster!$G40&amp;"&lt;/P&gt;&lt;P&gt;Condition: "&amp;PartsMaster!AB40&amp;"&lt;/P&gt;&lt;P&gt; (part source "&amp;PartsMaster!AD40&amp;")&lt;/P&gt;&lt;P&gt;Notes: "&amp;PartsMaster!AA40&amp;"&lt;/P&gt;"</f>
        <v>&lt;P&gt;Bearing Seal / Insulation&lt;/P&gt;&lt;P&gt;Jaguar part name STEERING AND SUSPENSION/HUB AND CARRIER-REAR - Outer Seal&lt;/P&gt;&lt;P&gt;Product numbers CCC4466 CCC4466&lt;/P&gt;&lt;P&gt;Fits starting from VIN/ModelYear  until VIN/ModelYear &lt;/P&gt;&lt;P&gt;Condition: &lt;/P&gt;&lt;P&gt; (part source )&lt;/P&gt;&lt;P&gt;Notes: &lt;/P&gt;</v>
      </c>
      <c r="AA44" s="20" t="s">
        <v>1171</v>
      </c>
      <c r="AC44" s="20">
        <v>0</v>
      </c>
      <c r="AD44" s="20">
        <v>0</v>
      </c>
      <c r="AE44" s="20" t="s">
        <v>1172</v>
      </c>
      <c r="AF44" s="20">
        <v>7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O44" s="20" t="s">
        <v>1173</v>
      </c>
      <c r="AR44" s="20">
        <v>0</v>
      </c>
      <c r="AS44" s="20">
        <v>10112</v>
      </c>
      <c r="AV44" s="20" t="s">
        <v>1174</v>
      </c>
      <c r="AX44" s="20">
        <v>62128510024</v>
      </c>
      <c r="AY44" s="20">
        <v>62035811024</v>
      </c>
      <c r="AZ44" s="20">
        <v>55187694024</v>
      </c>
      <c r="BA44" s="20" t="s">
        <v>1175</v>
      </c>
      <c r="BB44" s="20" t="s">
        <v>1176</v>
      </c>
      <c r="BC44" s="20" t="s">
        <v>1177</v>
      </c>
      <c r="BD44" s="20">
        <v>1</v>
      </c>
      <c r="BE44" s="20">
        <v>0</v>
      </c>
      <c r="BF44" s="20">
        <v>0</v>
      </c>
      <c r="BG44" s="20">
        <v>0</v>
      </c>
      <c r="BN44" s="20" t="s">
        <v>1178</v>
      </c>
      <c r="BV44" s="20">
        <v>0</v>
      </c>
      <c r="CL44" s="20">
        <v>0</v>
      </c>
      <c r="DD44" s="20" t="s">
        <v>1179</v>
      </c>
      <c r="DE44" s="20" t="s">
        <v>1179</v>
      </c>
      <c r="DI44" s="20">
        <v>0</v>
      </c>
      <c r="DP44" s="21" t="s">
        <v>1180</v>
      </c>
      <c r="DQ44" s="21" t="str">
        <f>PartsMaster!$A40</f>
        <v>CCC4466</v>
      </c>
      <c r="DR44" s="21" t="s">
        <v>1181</v>
      </c>
      <c r="DS44" s="21" t="str">
        <f>PartsMaster!$K41&amp;" "&amp;PartsMaster!L41&amp;" "&amp;PartsMaster!$M41</f>
        <v xml:space="preserve">  </v>
      </c>
    </row>
    <row r="45" spans="1:123" ht="30" hidden="1" x14ac:dyDescent="0.25">
      <c r="A45" s="20" t="s">
        <v>1166</v>
      </c>
      <c r="B45" s="20" t="s">
        <v>1167</v>
      </c>
      <c r="C45" s="20" t="s">
        <v>1168</v>
      </c>
      <c r="D45" s="21" t="str">
        <f>PartsMaster!B41&amp;" "&amp;PartsMaster!$C41</f>
        <v>Jaguar XK8 XKR X100 Gear selector release solenoid covel screw (Plastic Torx)</v>
      </c>
      <c r="E45" s="20">
        <v>3000</v>
      </c>
      <c r="F45" s="20" t="s">
        <v>1182</v>
      </c>
      <c r="H45" s="21" t="str">
        <f>PartsMaster!$Q41</f>
        <v>Protective plug</v>
      </c>
      <c r="I45" s="20">
        <v>9886</v>
      </c>
      <c r="K45" s="20">
        <v>0</v>
      </c>
      <c r="L45" s="20">
        <v>0</v>
      </c>
      <c r="M45" s="21">
        <f>PartsMaster!$D41</f>
        <v>0</v>
      </c>
      <c r="O45" s="20" t="s">
        <v>1169</v>
      </c>
      <c r="P45" s="23">
        <f>PartsMaster!$S41/1.45</f>
        <v>0</v>
      </c>
      <c r="S45" s="20">
        <v>30</v>
      </c>
      <c r="T45" s="20">
        <v>0</v>
      </c>
      <c r="U45" s="20" t="s">
        <v>1170</v>
      </c>
      <c r="Z45" s="26" t="str">
        <f>"&lt;P&gt;"&amp;PartsMaster!$I41&amp;" "&amp;PartsMaster!$H41&amp;"&lt;/P&gt;"&amp;"&lt;P&gt;Jaguar part name "&amp;PartsMaster!$E41&amp;"&lt;/P&gt;&lt;P&gt;Product numbers "&amp;PartsMaster!R41&amp;" "&amp;DQ45&amp;"&lt;/P&gt;&lt;P&gt;Fits starting from VIN/ModelYear "&amp;PartsMaster!$F41&amp;" until VIN/ModelYear "&amp;PartsMaster!$G41&amp;"&lt;/P&gt;&lt;P&gt;Condition: "&amp;PartsMaster!AB41&amp;"&lt;/P&gt;&lt;P&gt; (part source "&amp;PartsMaster!AD41&amp;")&lt;/P&gt;&lt;P&gt;Notes: "&amp;PartsMaster!AA41&amp;"&lt;/P&gt;"</f>
        <v>&lt;P&gt;Gear box / Gear shifter / Gear Selector Cap / Cover / Trim&lt;/P&gt;&lt;P&gt;Jaguar part name  J-Gate protective plug
Gear shift Interlock Manual override screw-in plug (Drivers Guide)&lt;/P&gt;&lt;P&gt;Product numbers PLUG-PROTECT  CCC5589&lt;/P&gt;&lt;P&gt;Fits starting from VIN/ModelYear  until VIN/ModelYear &lt;/P&gt;&lt;P&gt;Condition: SNG Barratt&lt;/P&gt;&lt;P&gt; (part source )&lt;/P&gt;&lt;P&gt;Notes: &lt;/P&gt;</v>
      </c>
      <c r="AA45" s="20" t="s">
        <v>1171</v>
      </c>
      <c r="AC45" s="20">
        <v>0</v>
      </c>
      <c r="AD45" s="20">
        <v>0</v>
      </c>
      <c r="AE45" s="20" t="s">
        <v>1172</v>
      </c>
      <c r="AF45" s="20">
        <v>7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O45" s="20" t="s">
        <v>1173</v>
      </c>
      <c r="AR45" s="20">
        <v>0</v>
      </c>
      <c r="AS45" s="20">
        <v>10112</v>
      </c>
      <c r="AV45" s="20" t="s">
        <v>1174</v>
      </c>
      <c r="AX45" s="20">
        <v>62128510024</v>
      </c>
      <c r="AY45" s="20">
        <v>62035811024</v>
      </c>
      <c r="AZ45" s="20">
        <v>55187694024</v>
      </c>
      <c r="BA45" s="20" t="s">
        <v>1175</v>
      </c>
      <c r="BB45" s="20" t="s">
        <v>1176</v>
      </c>
      <c r="BC45" s="20" t="s">
        <v>1177</v>
      </c>
      <c r="BD45" s="20">
        <v>1</v>
      </c>
      <c r="BE45" s="20">
        <v>0</v>
      </c>
      <c r="BF45" s="20">
        <v>0</v>
      </c>
      <c r="BG45" s="20">
        <v>0</v>
      </c>
      <c r="BN45" s="20" t="s">
        <v>1178</v>
      </c>
      <c r="BV45" s="20">
        <v>0</v>
      </c>
      <c r="CL45" s="20">
        <v>0</v>
      </c>
      <c r="DD45" s="20" t="s">
        <v>1179</v>
      </c>
      <c r="DE45" s="20" t="s">
        <v>1179</v>
      </c>
      <c r="DI45" s="20">
        <v>0</v>
      </c>
      <c r="DP45" s="21" t="s">
        <v>1180</v>
      </c>
      <c r="DQ45" s="21" t="str">
        <f>PartsMaster!$A41</f>
        <v>CCC5589</v>
      </c>
      <c r="DR45" s="21" t="s">
        <v>1181</v>
      </c>
      <c r="DS45" s="21" t="str">
        <f>PartsMaster!$K42&amp;" "&amp;PartsMaster!L42&amp;" "&amp;PartsMaster!$M42</f>
        <v xml:space="preserve">FrontRear LeftRight </v>
      </c>
    </row>
    <row r="46" spans="1:123" ht="30" hidden="1" x14ac:dyDescent="0.25">
      <c r="A46" s="20" t="s">
        <v>1166</v>
      </c>
      <c r="B46" s="20" t="s">
        <v>1167</v>
      </c>
      <c r="C46" s="20" t="s">
        <v>1168</v>
      </c>
      <c r="D46" s="21" t="str">
        <f>PartsMaster!B42&amp;" "&amp;PartsMaster!$C42</f>
        <v>Jaguar XK8 XKR X100 XJ8 XJR X308 Domed wheel nut - Standard Shaft</v>
      </c>
      <c r="E46" s="20">
        <v>3000</v>
      </c>
      <c r="F46" s="20" t="s">
        <v>1182</v>
      </c>
      <c r="H46" s="21">
        <f>PartsMaster!$Q42</f>
        <v>0</v>
      </c>
      <c r="I46" s="20">
        <v>9886</v>
      </c>
      <c r="K46" s="20">
        <v>0</v>
      </c>
      <c r="L46" s="20">
        <v>0</v>
      </c>
      <c r="M46" s="21">
        <f>PartsMaster!$D42</f>
        <v>6</v>
      </c>
      <c r="O46" s="20" t="s">
        <v>1169</v>
      </c>
      <c r="P46" s="23">
        <f>PartsMaster!$S42/1.45</f>
        <v>3.4482758620689657</v>
      </c>
      <c r="S46" s="20">
        <v>30</v>
      </c>
      <c r="T46" s="20">
        <v>0</v>
      </c>
      <c r="U46" s="20" t="s">
        <v>1170</v>
      </c>
      <c r="Z46" s="26" t="str">
        <f>"&lt;P&gt;"&amp;PartsMaster!$I42&amp;" "&amp;PartsMaster!$H42&amp;"&lt;/P&gt;"&amp;"&lt;P&gt;Jaguar part name "&amp;PartsMaster!$E42&amp;"&lt;/P&gt;&lt;P&gt;Product numbers "&amp;PartsMaster!R42&amp;" "&amp;DQ46&amp;"&lt;/P&gt;&lt;P&gt;Fits starting from VIN/ModelYear "&amp;PartsMaster!$F42&amp;" until VIN/ModelYear "&amp;PartsMaster!$G42&amp;"&lt;/P&gt;&lt;P&gt;Condition: "&amp;PartsMaster!AB42&amp;"&lt;/P&gt;&lt;P&gt; (part source "&amp;PartsMaster!AD42&amp;")&lt;/P&gt;&lt;P&gt;Notes: "&amp;PartsMaster!AA42&amp;"&lt;/P&gt;"</f>
        <v>&lt;P&gt;Wheels / Rims Nut&lt;/P&gt;&lt;P&gt;Jaguar part name STEERING AND SUSPENSION/WHEELS - Domed wheel nut - Standard Shaft&lt;/P&gt;&lt;P&gt;Product numbers  CCC7028&lt;/P&gt;&lt;P&gt;Fits starting from VIN/ModelYear X100 MY1996 - X308 MY1998 until VIN/ModelYear X100 MY2006 - X308 All&lt;/P&gt;&lt;P&gt;Condition: &lt;/P&gt;&lt;P&gt; (part source )&lt;/P&gt;&lt;P&gt;Notes: R-Models may have rims needing Long Shaft!&lt;/P&gt;</v>
      </c>
      <c r="AA46" s="20" t="s">
        <v>1171</v>
      </c>
      <c r="AC46" s="20">
        <v>0</v>
      </c>
      <c r="AD46" s="20">
        <v>0</v>
      </c>
      <c r="AE46" s="20" t="s">
        <v>1172</v>
      </c>
      <c r="AF46" s="20">
        <v>7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O46" s="20" t="s">
        <v>1173</v>
      </c>
      <c r="AR46" s="20">
        <v>0</v>
      </c>
      <c r="AS46" s="20">
        <v>10112</v>
      </c>
      <c r="AV46" s="20" t="s">
        <v>1174</v>
      </c>
      <c r="AX46" s="20">
        <v>62128510024</v>
      </c>
      <c r="AY46" s="20">
        <v>62035811024</v>
      </c>
      <c r="AZ46" s="20">
        <v>55187694024</v>
      </c>
      <c r="BA46" s="20" t="s">
        <v>1175</v>
      </c>
      <c r="BB46" s="20" t="s">
        <v>1176</v>
      </c>
      <c r="BC46" s="20" t="s">
        <v>1177</v>
      </c>
      <c r="BD46" s="20">
        <v>1</v>
      </c>
      <c r="BE46" s="20">
        <v>0</v>
      </c>
      <c r="BF46" s="20">
        <v>0</v>
      </c>
      <c r="BG46" s="20">
        <v>0</v>
      </c>
      <c r="BN46" s="20" t="s">
        <v>1178</v>
      </c>
      <c r="BV46" s="20">
        <v>0</v>
      </c>
      <c r="CL46" s="20">
        <v>0</v>
      </c>
      <c r="DD46" s="20" t="s">
        <v>1179</v>
      </c>
      <c r="DE46" s="20" t="s">
        <v>1179</v>
      </c>
      <c r="DI46" s="20">
        <v>0</v>
      </c>
      <c r="DP46" s="21" t="s">
        <v>1180</v>
      </c>
      <c r="DQ46" s="21" t="str">
        <f>PartsMaster!$A42</f>
        <v>CCC7028</v>
      </c>
      <c r="DR46" s="21" t="s">
        <v>1181</v>
      </c>
      <c r="DS46" s="21" t="str">
        <f>PartsMaster!$K43&amp;" "&amp;PartsMaster!L43&amp;" "&amp;PartsMaster!$M43</f>
        <v xml:space="preserve">  </v>
      </c>
    </row>
    <row r="47" spans="1:123" ht="30" hidden="1" x14ac:dyDescent="0.25">
      <c r="A47" s="20" t="s">
        <v>1166</v>
      </c>
      <c r="B47" s="20" t="s">
        <v>1167</v>
      </c>
      <c r="C47" s="20" t="s">
        <v>1168</v>
      </c>
      <c r="D47" s="21" t="str">
        <f>PartsMaster!B43&amp;" "&amp;PartsMaster!$C43</f>
        <v>Jaguar XK8 XKR X100 XJ8 XJR X308 Timing Chain Primary</v>
      </c>
      <c r="E47" s="20">
        <v>3000</v>
      </c>
      <c r="F47" s="20" t="s">
        <v>1182</v>
      </c>
      <c r="H47" s="21" t="str">
        <f>PartsMaster!$Q43</f>
        <v>TIMING CHAIN</v>
      </c>
      <c r="I47" s="20">
        <v>9886</v>
      </c>
      <c r="K47" s="20">
        <v>0</v>
      </c>
      <c r="L47" s="20">
        <v>0</v>
      </c>
      <c r="M47" s="21">
        <f>PartsMaster!$D43</f>
        <v>0</v>
      </c>
      <c r="O47" s="20" t="s">
        <v>1169</v>
      </c>
      <c r="P47" s="23">
        <f>PartsMaster!$S43/1.45</f>
        <v>0</v>
      </c>
      <c r="S47" s="20">
        <v>30</v>
      </c>
      <c r="T47" s="20">
        <v>0</v>
      </c>
      <c r="U47" s="20" t="s">
        <v>1170</v>
      </c>
      <c r="Z47" s="26" t="str">
        <f>"&lt;P&gt;"&amp;PartsMaster!$I43&amp;" "&amp;PartsMaster!$H43&amp;"&lt;/P&gt;"&amp;"&lt;P&gt;Jaguar part name "&amp;PartsMaster!$E43&amp;"&lt;/P&gt;&lt;P&gt;Product numbers "&amp;PartsMaster!R43&amp;" "&amp;DQ47&amp;"&lt;/P&gt;&lt;P&gt;Fits starting from VIN/ModelYear "&amp;PartsMaster!$F43&amp;" until VIN/ModelYear "&amp;PartsMaster!$G43&amp;"&lt;/P&gt;&lt;P&gt;Condition: "&amp;PartsMaster!AB43&amp;"&lt;/P&gt;&lt;P&gt; (part source "&amp;PartsMaster!AD43&amp;")&lt;/P&gt;&lt;P&gt;Notes: "&amp;PartsMaster!AA43&amp;"&lt;/P&gt;"</f>
        <v>&lt;P&gt;Engine Timing Chain&lt;/P&gt;&lt;P&gt;Jaguar part name &lt;/P&gt;&lt;P&gt;Product numbers EAZ1269 EAZ1269&lt;/P&gt;&lt;P&gt;Fits starting from VIN/ModelYear X100, 1996 - X308, 1998 until VIN/ModelYear X100-X308 Engine #0108122359&lt;/P&gt;&lt;P&gt;Condition: British Parts&lt;/P&gt;&lt;P&gt; (part source )&lt;/P&gt;&lt;P&gt;Notes: &lt;/P&gt;</v>
      </c>
      <c r="AA47" s="20" t="s">
        <v>1171</v>
      </c>
      <c r="AC47" s="20">
        <v>0</v>
      </c>
      <c r="AD47" s="20">
        <v>0</v>
      </c>
      <c r="AE47" s="20" t="s">
        <v>1172</v>
      </c>
      <c r="AF47" s="20">
        <v>7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O47" s="20" t="s">
        <v>1173</v>
      </c>
      <c r="AR47" s="20">
        <v>0</v>
      </c>
      <c r="AS47" s="20">
        <v>10112</v>
      </c>
      <c r="AV47" s="20" t="s">
        <v>1174</v>
      </c>
      <c r="AX47" s="20">
        <v>62128510024</v>
      </c>
      <c r="AY47" s="20">
        <v>62035811024</v>
      </c>
      <c r="AZ47" s="20">
        <v>55187694024</v>
      </c>
      <c r="BA47" s="20" t="s">
        <v>1175</v>
      </c>
      <c r="BB47" s="20" t="s">
        <v>1176</v>
      </c>
      <c r="BC47" s="20" t="s">
        <v>1177</v>
      </c>
      <c r="BD47" s="20">
        <v>1</v>
      </c>
      <c r="BE47" s="20">
        <v>0</v>
      </c>
      <c r="BF47" s="20">
        <v>0</v>
      </c>
      <c r="BG47" s="20">
        <v>0</v>
      </c>
      <c r="BN47" s="20" t="s">
        <v>1178</v>
      </c>
      <c r="BV47" s="20">
        <v>0</v>
      </c>
      <c r="CL47" s="20">
        <v>0</v>
      </c>
      <c r="DD47" s="20" t="s">
        <v>1179</v>
      </c>
      <c r="DE47" s="20" t="s">
        <v>1179</v>
      </c>
      <c r="DI47" s="20">
        <v>0</v>
      </c>
      <c r="DP47" s="21" t="s">
        <v>1180</v>
      </c>
      <c r="DQ47" s="21" t="str">
        <f>PartsMaster!$A43</f>
        <v>EAZ1269</v>
      </c>
      <c r="DR47" s="21" t="s">
        <v>1181</v>
      </c>
      <c r="DS47" s="21" t="str">
        <f>PartsMaster!$K44&amp;" "&amp;PartsMaster!L44&amp;" "&amp;PartsMaster!$M44</f>
        <v xml:space="preserve">  </v>
      </c>
    </row>
    <row r="48" spans="1:123" hidden="1" x14ac:dyDescent="0.25">
      <c r="A48" s="20" t="s">
        <v>1166</v>
      </c>
      <c r="B48" s="20" t="s">
        <v>1167</v>
      </c>
      <c r="C48" s="20" t="s">
        <v>1168</v>
      </c>
      <c r="D48" s="21" t="str">
        <f>PartsMaster!B384&amp;" "&amp;PartsMaster!$C384</f>
        <v>Jaguar XK8 XKR X100 Seat  - Mechanism cover - Cream</v>
      </c>
      <c r="E48" s="20">
        <v>3000</v>
      </c>
      <c r="F48" s="20" t="s">
        <v>1182</v>
      </c>
      <c r="H48" s="21">
        <f>PartsMaster!$Q384</f>
        <v>0</v>
      </c>
      <c r="I48" s="20">
        <v>9886</v>
      </c>
      <c r="K48" s="20">
        <v>0</v>
      </c>
      <c r="L48" s="20">
        <v>0</v>
      </c>
      <c r="M48" s="21">
        <f>PartsMaster!$D384</f>
        <v>0</v>
      </c>
      <c r="O48" s="20" t="s">
        <v>1169</v>
      </c>
      <c r="P48" s="23">
        <f>PartsMaster!$S384/1.45</f>
        <v>0</v>
      </c>
      <c r="S48" s="20">
        <v>30</v>
      </c>
      <c r="T48" s="20">
        <v>0</v>
      </c>
      <c r="U48" s="20" t="s">
        <v>1170</v>
      </c>
      <c r="Z48" s="26" t="str">
        <f>"&lt;P&gt;"&amp;PartsMaster!$I384&amp;" "&amp;PartsMaster!$H384&amp;"&lt;/P&gt;"&amp;"&lt;P&gt;Jaguar part name "&amp;PartsMaster!$E384&amp;"&lt;/P&gt;&lt;P&gt;Product numbers "&amp;PartsMaster!R384&amp;" "&amp;DQ48&amp;"&lt;/P&gt;&lt;P&gt;Fits starting from VIN/ModelYear "&amp;PartsMaster!$F384&amp;" until VIN/ModelYear "&amp;PartsMaster!$G384&amp;"&lt;/P&gt;&lt;P&gt;Condition: "&amp;PartsMaster!AB384&amp;"&lt;/P&gt;&lt;P&gt; (part source "&amp;PartsMaster!AD384&amp;")&lt;/P&gt;&lt;P&gt;Notes: "&amp;PartsMaster!AA384&amp;"&lt;/P&gt;"</f>
        <v>&lt;P&gt;Cap / Cover Cap / Cover / Trim&lt;/P&gt;&lt;P&gt;Jaguar part name &lt;/P&gt;&lt;P&gt;Product numbers  0&lt;/P&gt;&lt;P&gt;Fits starting from VIN/ModelYear 18108 until VIN/ModelYear -&lt;/P&gt;&lt;P&gt;Condition: &lt;/P&gt;&lt;P&gt; (part source )&lt;/P&gt;&lt;P&gt;Notes: &lt;/P&gt;</v>
      </c>
      <c r="AA48" s="20" t="s">
        <v>1171</v>
      </c>
      <c r="AC48" s="20">
        <v>0</v>
      </c>
      <c r="AD48" s="20">
        <v>0</v>
      </c>
      <c r="AE48" s="20" t="s">
        <v>1172</v>
      </c>
      <c r="AF48" s="20">
        <v>7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O48" s="20" t="s">
        <v>1173</v>
      </c>
      <c r="AR48" s="20">
        <v>0</v>
      </c>
      <c r="AS48" s="20">
        <v>10112</v>
      </c>
      <c r="AV48" s="20" t="s">
        <v>1174</v>
      </c>
      <c r="AX48" s="20">
        <v>62128510024</v>
      </c>
      <c r="AY48" s="20">
        <v>62035811024</v>
      </c>
      <c r="AZ48" s="20">
        <v>55187694024</v>
      </c>
      <c r="BA48" s="20" t="s">
        <v>1175</v>
      </c>
      <c r="BB48" s="20" t="s">
        <v>1176</v>
      </c>
      <c r="BC48" s="20" t="s">
        <v>1177</v>
      </c>
      <c r="BD48" s="20">
        <v>1</v>
      </c>
      <c r="BE48" s="20">
        <v>0</v>
      </c>
      <c r="BF48" s="20">
        <v>0</v>
      </c>
      <c r="BG48" s="20">
        <v>0</v>
      </c>
      <c r="BN48" s="20" t="s">
        <v>1178</v>
      </c>
      <c r="BV48" s="20">
        <v>0</v>
      </c>
      <c r="CL48" s="20">
        <v>0</v>
      </c>
      <c r="DD48" s="20" t="s">
        <v>1179</v>
      </c>
      <c r="DE48" s="20" t="s">
        <v>1179</v>
      </c>
      <c r="DI48" s="20">
        <v>0</v>
      </c>
      <c r="DP48" s="21" t="s">
        <v>1180</v>
      </c>
      <c r="DQ48" s="21">
        <f>PartsMaster!$A384</f>
        <v>0</v>
      </c>
      <c r="DR48" s="21" t="s">
        <v>1181</v>
      </c>
      <c r="DS48" s="21" t="str">
        <f>PartsMaster!$K385&amp;" "&amp;PartsMaster!L385&amp;" "&amp;PartsMaster!$M385</f>
        <v>Front Left Low</v>
      </c>
    </row>
    <row r="49" spans="1:123" ht="30" hidden="1" x14ac:dyDescent="0.25">
      <c r="A49" s="20" t="s">
        <v>1166</v>
      </c>
      <c r="B49" s="20" t="s">
        <v>1167</v>
      </c>
      <c r="C49" s="20" t="s">
        <v>1168</v>
      </c>
      <c r="D49" s="21" t="str">
        <f>PartsMaster!B45&amp;" "&amp;PartsMaster!$C45</f>
        <v>Jaguar XK8 XKR X100 XJ8 XJR X308 Filter Engine Oil</v>
      </c>
      <c r="E49" s="20">
        <v>3000</v>
      </c>
      <c r="F49" s="20" t="s">
        <v>1182</v>
      </c>
      <c r="H49" s="21" t="str">
        <f>PartsMaster!$Q45</f>
        <v>OIL FILTER</v>
      </c>
      <c r="I49" s="20">
        <v>9886</v>
      </c>
      <c r="K49" s="20">
        <v>0</v>
      </c>
      <c r="L49" s="20">
        <v>0</v>
      </c>
      <c r="M49" s="21">
        <f>PartsMaster!$D45</f>
        <v>0</v>
      </c>
      <c r="O49" s="20" t="s">
        <v>1169</v>
      </c>
      <c r="P49" s="23">
        <f>PartsMaster!$S45/1.45</f>
        <v>17.241379310344829</v>
      </c>
      <c r="S49" s="20">
        <v>30</v>
      </c>
      <c r="T49" s="20">
        <v>0</v>
      </c>
      <c r="U49" s="20" t="s">
        <v>1170</v>
      </c>
      <c r="Z49" s="26" t="str">
        <f>"&lt;P&gt;"&amp;PartsMaster!$I45&amp;" "&amp;PartsMaster!$H45&amp;"&lt;/P&gt;"&amp;"&lt;P&gt;Jaguar part name "&amp;PartsMaster!$E45&amp;"&lt;/P&gt;&lt;P&gt;Product numbers "&amp;PartsMaster!R45&amp;" "&amp;DQ49&amp;"&lt;/P&gt;&lt;P&gt;Fits starting from VIN/ModelYear "&amp;PartsMaster!$F45&amp;" until VIN/ModelYear "&amp;PartsMaster!$G45&amp;"&lt;/P&gt;&lt;P&gt;Condition: "&amp;PartsMaster!AB45&amp;"&lt;/P&gt;&lt;P&gt; (part source "&amp;PartsMaster!AD45&amp;")&lt;/P&gt;&lt;P&gt;Notes: "&amp;PartsMaster!AA45&amp;"&lt;/P&gt;"</f>
        <v>&lt;P&gt;Engine Oil Filter&lt;/P&gt;&lt;P&gt;Jaguar part name &lt;/P&gt;&lt;P&gt;Product numbers EAZ1354G EAZ1354G&lt;/P&gt;&lt;P&gt;Fits starting from VIN/ModelYear  until VIN/ModelYear &lt;/P&gt;&lt;P&gt;Condition: British Parts&lt;/P&gt;&lt;P&gt; (part source )&lt;/P&gt;&lt;P&gt;Notes: &lt;/P&gt;</v>
      </c>
      <c r="AA49" s="20" t="s">
        <v>1171</v>
      </c>
      <c r="AC49" s="20">
        <v>0</v>
      </c>
      <c r="AD49" s="20">
        <v>0</v>
      </c>
      <c r="AE49" s="20" t="s">
        <v>1172</v>
      </c>
      <c r="AF49" s="20">
        <v>7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O49" s="20" t="s">
        <v>1173</v>
      </c>
      <c r="AR49" s="20">
        <v>0</v>
      </c>
      <c r="AS49" s="20">
        <v>10112</v>
      </c>
      <c r="AV49" s="20" t="s">
        <v>1174</v>
      </c>
      <c r="AX49" s="20">
        <v>62128510024</v>
      </c>
      <c r="AY49" s="20">
        <v>62035811024</v>
      </c>
      <c r="AZ49" s="20">
        <v>55187694024</v>
      </c>
      <c r="BA49" s="20" t="s">
        <v>1175</v>
      </c>
      <c r="BB49" s="20" t="s">
        <v>1176</v>
      </c>
      <c r="BC49" s="20" t="s">
        <v>1177</v>
      </c>
      <c r="BD49" s="20">
        <v>1</v>
      </c>
      <c r="BE49" s="20">
        <v>0</v>
      </c>
      <c r="BF49" s="20">
        <v>0</v>
      </c>
      <c r="BG49" s="20">
        <v>0</v>
      </c>
      <c r="BN49" s="20" t="s">
        <v>1178</v>
      </c>
      <c r="BV49" s="20">
        <v>0</v>
      </c>
      <c r="CL49" s="20">
        <v>0</v>
      </c>
      <c r="DD49" s="20" t="s">
        <v>1179</v>
      </c>
      <c r="DE49" s="20" t="s">
        <v>1179</v>
      </c>
      <c r="DI49" s="20">
        <v>0</v>
      </c>
      <c r="DP49" s="21" t="s">
        <v>1180</v>
      </c>
      <c r="DQ49" s="21" t="str">
        <f>PartsMaster!$A45</f>
        <v>EAZ1354G</v>
      </c>
      <c r="DR49" s="21" t="s">
        <v>1181</v>
      </c>
      <c r="DS49" s="21" t="str">
        <f>PartsMaster!$K46&amp;" "&amp;PartsMaster!L46&amp;" "&amp;PartsMaster!$M46</f>
        <v>Front Left/Right Top</v>
      </c>
    </row>
    <row r="50" spans="1:123" ht="30" x14ac:dyDescent="0.25">
      <c r="A50" s="20" t="s">
        <v>1166</v>
      </c>
      <c r="B50" s="20" t="s">
        <v>1167</v>
      </c>
      <c r="C50" s="20" t="s">
        <v>1168</v>
      </c>
      <c r="D50" s="21" t="str">
        <f>PartsMaster!B102&amp;" "&amp;PartsMaster!$C102</f>
        <v>Jaguar XK8 XKR X100 Clamp Bolt</v>
      </c>
      <c r="E50" s="20">
        <v>3000</v>
      </c>
      <c r="F50" s="20" t="s">
        <v>1182</v>
      </c>
      <c r="H50" s="21" t="str">
        <f>PartsMaster!$Q102</f>
        <v>Clamp Bolt</v>
      </c>
      <c r="I50" s="20">
        <v>9886</v>
      </c>
      <c r="K50" s="20">
        <v>0</v>
      </c>
      <c r="L50" s="20">
        <v>0</v>
      </c>
      <c r="M50" s="21">
        <f>PartsMaster!$D102</f>
        <v>0</v>
      </c>
      <c r="O50" s="20" t="s">
        <v>1169</v>
      </c>
      <c r="P50" s="23">
        <f>PartsMaster!$S102/1.45</f>
        <v>0</v>
      </c>
      <c r="S50" s="20">
        <v>30</v>
      </c>
      <c r="T50" s="20">
        <v>0</v>
      </c>
      <c r="U50" s="20" t="s">
        <v>1170</v>
      </c>
      <c r="Z50" s="26" t="str">
        <f>"&lt;P&gt;"&amp;PartsMaster!$I102&amp;" "&amp;PartsMaster!$H102&amp;"&lt;/P&gt;"&amp;"&lt;P&gt;Jaguar part name "&amp;PartsMaster!$E102&amp;"&lt;/P&gt;&lt;P&gt;Product numbers "&amp;PartsMaster!R102&amp;" "&amp;DQ50&amp;"&lt;/P&gt;&lt;P&gt;Fits starting from VIN/ModelYear "&amp;PartsMaster!$F102&amp;" until VIN/ModelYear "&amp;PartsMaster!$G102&amp;"&lt;/P&gt;&lt;P&gt;Condition: "&amp;PartsMaster!AB102&amp;"&lt;/P&gt;&lt;P&gt; (part source "&amp;PartsMaster!AD102&amp;")&lt;/P&gt;&lt;P&gt;Notes: "&amp;PartsMaster!AA102&amp;"&lt;/P&gt;"</f>
        <v>&lt;P&gt;Mounting Bolt / Screw&lt;/P&gt;&lt;P&gt;Jaguar part name BATTERY/STARTER MOTOR/ALTERNATOR/BATTERY AND FIXINGS &lt;/P&gt;&lt;P&gt;Product numbers  GNB3544AB/USA&lt;/P&gt;&lt;P&gt;Fits starting from VIN/ModelYear MY1996 until VIN/ModelYear 013377&lt;/P&gt;&lt;P&gt;Condition: &lt;/P&gt;&lt;P&gt; (part source )&lt;/P&gt;&lt;P&gt;Notes: &lt;/P&gt;</v>
      </c>
      <c r="AA50" s="20" t="s">
        <v>1171</v>
      </c>
      <c r="AC50" s="20">
        <v>0</v>
      </c>
      <c r="AD50" s="20">
        <v>0</v>
      </c>
      <c r="AE50" s="20" t="s">
        <v>1172</v>
      </c>
      <c r="AF50" s="20">
        <v>7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O50" s="20" t="s">
        <v>1173</v>
      </c>
      <c r="AR50" s="20">
        <v>0</v>
      </c>
      <c r="AS50" s="20">
        <v>10112</v>
      </c>
      <c r="AV50" s="20" t="s">
        <v>1174</v>
      </c>
      <c r="AX50" s="20">
        <v>62128510024</v>
      </c>
      <c r="AY50" s="20">
        <v>62035811024</v>
      </c>
      <c r="AZ50" s="20">
        <v>55187694024</v>
      </c>
      <c r="BA50" s="20" t="s">
        <v>1175</v>
      </c>
      <c r="BB50" s="20" t="s">
        <v>1176</v>
      </c>
      <c r="BC50" s="20" t="s">
        <v>1177</v>
      </c>
      <c r="BD50" s="20">
        <v>1</v>
      </c>
      <c r="BE50" s="20">
        <v>0</v>
      </c>
      <c r="BF50" s="20">
        <v>0</v>
      </c>
      <c r="BG50" s="20">
        <v>0</v>
      </c>
      <c r="BN50" s="20" t="s">
        <v>1178</v>
      </c>
      <c r="BV50" s="20">
        <v>0</v>
      </c>
      <c r="CL50" s="20">
        <v>0</v>
      </c>
      <c r="DD50" s="20" t="s">
        <v>1179</v>
      </c>
      <c r="DE50" s="20" t="s">
        <v>1179</v>
      </c>
      <c r="DI50" s="20">
        <v>0</v>
      </c>
      <c r="DP50" s="21" t="s">
        <v>1180</v>
      </c>
      <c r="DQ50" s="21" t="str">
        <f>PartsMaster!$A102</f>
        <v>GNB3544AB/USA</v>
      </c>
      <c r="DR50" s="21" t="s">
        <v>1181</v>
      </c>
      <c r="DS50" s="21" t="str">
        <f>PartsMaster!$K103&amp;" "&amp;PartsMaster!L103&amp;" "&amp;PartsMaster!$M103</f>
        <v>Front Right Bottom</v>
      </c>
    </row>
    <row r="51" spans="1:123" ht="30" x14ac:dyDescent="0.25">
      <c r="A51" s="20" t="s">
        <v>1166</v>
      </c>
      <c r="B51" s="20" t="s">
        <v>1167</v>
      </c>
      <c r="C51" s="20" t="s">
        <v>1168</v>
      </c>
      <c r="D51" s="21" t="str">
        <f>PartsMaster!B103&amp;" "&amp;PartsMaster!$C103</f>
        <v>Jaguar XK8 XKR X100 Battery Clamp Bolt</v>
      </c>
      <c r="E51" s="20">
        <v>3000</v>
      </c>
      <c r="F51" s="20" t="s">
        <v>1182</v>
      </c>
      <c r="H51" s="21" t="str">
        <f>PartsMaster!$Q103</f>
        <v>Battery Clamp Bolt</v>
      </c>
      <c r="I51" s="20">
        <v>9886</v>
      </c>
      <c r="K51" s="20">
        <v>0</v>
      </c>
      <c r="L51" s="20">
        <v>0</v>
      </c>
      <c r="M51" s="21">
        <f>PartsMaster!$D103</f>
        <v>2</v>
      </c>
      <c r="O51" s="20" t="s">
        <v>1169</v>
      </c>
      <c r="P51" s="23">
        <f>PartsMaster!$S103/1.45</f>
        <v>0</v>
      </c>
      <c r="S51" s="20">
        <v>30</v>
      </c>
      <c r="T51" s="20">
        <v>0</v>
      </c>
      <c r="U51" s="20" t="s">
        <v>1170</v>
      </c>
      <c r="Z51" s="26" t="str">
        <f>"&lt;P&gt;"&amp;PartsMaster!$I103&amp;" "&amp;PartsMaster!$H103&amp;"&lt;/P&gt;"&amp;"&lt;P&gt;Jaguar part name "&amp;PartsMaster!$E103&amp;"&lt;/P&gt;&lt;P&gt;Product numbers "&amp;PartsMaster!R103&amp;" "&amp;DQ51&amp;"&lt;/P&gt;&lt;P&gt;Fits starting from VIN/ModelYear "&amp;PartsMaster!$F103&amp;" until VIN/ModelYear "&amp;PartsMaster!$G103&amp;"&lt;/P&gt;&lt;P&gt;Condition: "&amp;PartsMaster!AB103&amp;"&lt;/P&gt;&lt;P&gt; (part source "&amp;PartsMaster!AD103&amp;")&lt;/P&gt;&lt;P&gt;Notes: "&amp;PartsMaster!AA103&amp;"&lt;/P&gt;"</f>
        <v>&lt;P&gt;Mounting Bolt / Screw&lt;/P&gt;&lt;P&gt;Jaguar part name BATTERY/STARTER MOTOR/ALTERNATOR/BATTERY AND FIXINGS &lt;/P&gt;&lt;P&gt;Product numbers  GNB3544AC&lt;/P&gt;&lt;P&gt;Fits starting from VIN/ModelYear MY1996 until VIN/ModelYear End&lt;/P&gt;&lt;P&gt;Condition: &lt;/P&gt;&lt;P&gt; (part source )&lt;/P&gt;&lt;P&gt;Notes: &lt;/P&gt;</v>
      </c>
      <c r="AA51" s="20" t="s">
        <v>1171</v>
      </c>
      <c r="AC51" s="20">
        <v>0</v>
      </c>
      <c r="AD51" s="20">
        <v>0</v>
      </c>
      <c r="AE51" s="20" t="s">
        <v>1172</v>
      </c>
      <c r="AF51" s="20">
        <v>7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O51" s="20" t="s">
        <v>1173</v>
      </c>
      <c r="AR51" s="20">
        <v>0</v>
      </c>
      <c r="AS51" s="20">
        <v>10112</v>
      </c>
      <c r="AV51" s="20" t="s">
        <v>1174</v>
      </c>
      <c r="AX51" s="20">
        <v>62128510024</v>
      </c>
      <c r="AY51" s="20">
        <v>62035811024</v>
      </c>
      <c r="AZ51" s="20">
        <v>55187694024</v>
      </c>
      <c r="BA51" s="20" t="s">
        <v>1175</v>
      </c>
      <c r="BB51" s="20" t="s">
        <v>1176</v>
      </c>
      <c r="BC51" s="20" t="s">
        <v>1177</v>
      </c>
      <c r="BD51" s="20">
        <v>1</v>
      </c>
      <c r="BE51" s="20">
        <v>0</v>
      </c>
      <c r="BF51" s="20">
        <v>0</v>
      </c>
      <c r="BG51" s="20">
        <v>0</v>
      </c>
      <c r="BN51" s="20" t="s">
        <v>1178</v>
      </c>
      <c r="BV51" s="20">
        <v>0</v>
      </c>
      <c r="CL51" s="20">
        <v>0</v>
      </c>
      <c r="DD51" s="20" t="s">
        <v>1179</v>
      </c>
      <c r="DE51" s="20" t="s">
        <v>1179</v>
      </c>
      <c r="DI51" s="20">
        <v>0</v>
      </c>
      <c r="DP51" s="21" t="s">
        <v>1180</v>
      </c>
      <c r="DQ51" s="21" t="str">
        <f>PartsMaster!$A103</f>
        <v>GNB3544AC</v>
      </c>
      <c r="DR51" s="21" t="s">
        <v>1181</v>
      </c>
      <c r="DS51" s="21" t="str">
        <f>PartsMaster!$K104&amp;" "&amp;PartsMaster!L104&amp;" "&amp;PartsMaster!$M104</f>
        <v xml:space="preserve">Front Left/Right </v>
      </c>
    </row>
    <row r="52" spans="1:123" ht="60" hidden="1" x14ac:dyDescent="0.25">
      <c r="A52" s="20" t="s">
        <v>1166</v>
      </c>
      <c r="B52" s="20" t="s">
        <v>1167</v>
      </c>
      <c r="C52" s="20" t="s">
        <v>1168</v>
      </c>
      <c r="D52" s="21" t="str">
        <f>PartsMaster!B113&amp;" "&amp;PartsMaster!$C113</f>
        <v>Jaguar XK8 XKR X100 Bonnet / Bulkhead - Seal / Insulation</v>
      </c>
      <c r="E52" s="20">
        <v>3000</v>
      </c>
      <c r="F52" s="20" t="s">
        <v>1182</v>
      </c>
      <c r="H52" s="21">
        <f>PartsMaster!$Q113</f>
        <v>0</v>
      </c>
      <c r="I52" s="20">
        <v>9886</v>
      </c>
      <c r="K52" s="20">
        <v>0</v>
      </c>
      <c r="L52" s="20">
        <v>0</v>
      </c>
      <c r="M52" s="21">
        <f>PartsMaster!$D113</f>
        <v>1</v>
      </c>
      <c r="O52" s="20" t="s">
        <v>1169</v>
      </c>
      <c r="P52" s="23">
        <f>PartsMaster!$S113/1.45</f>
        <v>24.137931034482758</v>
      </c>
      <c r="S52" s="20">
        <v>30</v>
      </c>
      <c r="T52" s="20">
        <v>0</v>
      </c>
      <c r="U52" s="20" t="s">
        <v>1170</v>
      </c>
      <c r="Z52" s="26" t="str">
        <f>"&lt;P&gt;"&amp;PartsMaster!$I113&amp;" "&amp;PartsMaster!$H113&amp;"&lt;/P&gt;"&amp;"&lt;P&gt;Jaguar part name "&amp;PartsMaster!$E113&amp;"&lt;/P&gt;&lt;P&gt;Product numbers "&amp;PartsMaster!R113&amp;" "&amp;DQ52&amp;"&lt;/P&gt;&lt;P&gt;Fits starting from VIN/ModelYear "&amp;PartsMaster!$F113&amp;" until VIN/ModelYear "&amp;PartsMaster!$G113&amp;"&lt;/P&gt;&lt;P&gt;Condition: "&amp;PartsMaster!AB113&amp;"&lt;/P&gt;&lt;P&gt; (part source "&amp;PartsMaster!AD113&amp;")&lt;/P&gt;&lt;P&gt;Notes: "&amp;PartsMaster!AA113&amp;"&lt;/P&gt;"</f>
        <v>&lt;P&gt;Air Insulation Seal / Insulation&lt;/P&gt;&lt;P&gt;Jaguar part name BODY CLOSURES AND SEALING/BONNET LATCHING MECHANISM AND SEALS 
Bulkhead Seal LH&lt;/P&gt;&lt;P&gt;Product numbers HJA5246BC HJA5246BC&lt;/P&gt;&lt;P&gt;Fits starting from VIN/ModelYear MY97 until VIN/ModelYear 010097&lt;/P&gt;&lt;P&gt;Condition: Dismantled from bottom &amp; engine damaged MY1997 XK8 Convertible VIN 0136xx&lt;/P&gt;&lt;P&gt; (part source KK)&lt;/P&gt;&lt;P&gt;Notes: &lt;/P&gt;</v>
      </c>
      <c r="AA52" s="20" t="s">
        <v>1171</v>
      </c>
      <c r="AC52" s="20">
        <v>0</v>
      </c>
      <c r="AD52" s="20">
        <v>0</v>
      </c>
      <c r="AE52" s="20" t="s">
        <v>1172</v>
      </c>
      <c r="AF52" s="20">
        <v>7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O52" s="20" t="s">
        <v>1173</v>
      </c>
      <c r="AR52" s="20">
        <v>0</v>
      </c>
      <c r="AS52" s="20">
        <v>10112</v>
      </c>
      <c r="AV52" s="20" t="s">
        <v>1174</v>
      </c>
      <c r="AX52" s="20">
        <v>62128510024</v>
      </c>
      <c r="AY52" s="20">
        <v>62035811024</v>
      </c>
      <c r="AZ52" s="20">
        <v>55187694024</v>
      </c>
      <c r="BA52" s="20" t="s">
        <v>1175</v>
      </c>
      <c r="BB52" s="20" t="s">
        <v>1176</v>
      </c>
      <c r="BC52" s="20" t="s">
        <v>1177</v>
      </c>
      <c r="BD52" s="20">
        <v>1</v>
      </c>
      <c r="BE52" s="20">
        <v>0</v>
      </c>
      <c r="BF52" s="20">
        <v>0</v>
      </c>
      <c r="BG52" s="20">
        <v>0</v>
      </c>
      <c r="BN52" s="20" t="s">
        <v>1178</v>
      </c>
      <c r="BV52" s="20">
        <v>0</v>
      </c>
      <c r="CL52" s="20">
        <v>0</v>
      </c>
      <c r="DD52" s="20" t="s">
        <v>1179</v>
      </c>
      <c r="DE52" s="20" t="s">
        <v>1179</v>
      </c>
      <c r="DI52" s="20">
        <v>0</v>
      </c>
      <c r="DP52" s="21" t="s">
        <v>1180</v>
      </c>
      <c r="DQ52" s="21" t="str">
        <f>PartsMaster!$A113</f>
        <v>HJA5246BC</v>
      </c>
      <c r="DR52" s="21" t="s">
        <v>1181</v>
      </c>
      <c r="DS52" s="21" t="str">
        <f>PartsMaster!$K114&amp;" "&amp;PartsMaster!L114&amp;" "&amp;PartsMaster!$M114</f>
        <v>Rear Right Top</v>
      </c>
    </row>
    <row r="53" spans="1:123" ht="30" hidden="1" x14ac:dyDescent="0.25">
      <c r="A53" s="20" t="s">
        <v>1166</v>
      </c>
      <c r="B53" s="20" t="s">
        <v>1167</v>
      </c>
      <c r="C53" s="20" t="s">
        <v>1168</v>
      </c>
      <c r="D53" s="21" t="str">
        <f>PartsMaster!B112&amp;" "&amp;PartsMaster!$C112</f>
        <v>Jaguar XK8 XKR X100 Bonnet / Bulkhead - Seal / Insulation</v>
      </c>
      <c r="E53" s="20">
        <v>3000</v>
      </c>
      <c r="F53" s="20" t="s">
        <v>1182</v>
      </c>
      <c r="H53" s="21">
        <f>PartsMaster!$Q112</f>
        <v>0</v>
      </c>
      <c r="I53" s="20">
        <v>9886</v>
      </c>
      <c r="K53" s="20">
        <v>0</v>
      </c>
      <c r="L53" s="20">
        <v>0</v>
      </c>
      <c r="M53" s="21">
        <f>PartsMaster!$D112</f>
        <v>0</v>
      </c>
      <c r="O53" s="20" t="s">
        <v>1169</v>
      </c>
      <c r="P53" s="23">
        <f>PartsMaster!$S112/1.45</f>
        <v>0</v>
      </c>
      <c r="S53" s="20">
        <v>30</v>
      </c>
      <c r="T53" s="20">
        <v>0</v>
      </c>
      <c r="U53" s="20" t="s">
        <v>1170</v>
      </c>
      <c r="Z53" s="26" t="str">
        <f>"&lt;P&gt;"&amp;PartsMaster!$I112&amp;" "&amp;PartsMaster!$H112&amp;"&lt;/P&gt;"&amp;"&lt;P&gt;Jaguar part name "&amp;PartsMaster!$E112&amp;"&lt;/P&gt;&lt;P&gt;Product numbers "&amp;PartsMaster!R112&amp;" "&amp;DQ53&amp;"&lt;/P&gt;&lt;P&gt;Fits starting from VIN/ModelYear "&amp;PartsMaster!$F112&amp;" until VIN/ModelYear "&amp;PartsMaster!$G112&amp;"&lt;/P&gt;&lt;P&gt;Condition: "&amp;PartsMaster!AB112&amp;"&lt;/P&gt;&lt;P&gt; (part source "&amp;PartsMaster!AD112&amp;")&lt;/P&gt;&lt;P&gt;Notes: "&amp;PartsMaster!AA112&amp;"&lt;/P&gt;"</f>
        <v>&lt;P&gt;Air Insulation Seal / Insulation&lt;/P&gt;&lt;P&gt;Jaguar part name BODY CLOSURES AND SEALING/BONNET LATCHING MECHANISM AND SEALS 
Bulkhead Seal&lt;/P&gt;&lt;P&gt;Product numbers HJA5245AA  HJA5245AA &lt;/P&gt;&lt;P&gt;Fits starting from VIN/ModelYear 010098 until VIN/ModelYear 042775&lt;/P&gt;&lt;P&gt;Condition: &lt;/P&gt;&lt;P&gt; (part source )&lt;/P&gt;&lt;P&gt;Notes: &lt;/P&gt;</v>
      </c>
      <c r="AA53" s="20" t="s">
        <v>1171</v>
      </c>
      <c r="AC53" s="20">
        <v>0</v>
      </c>
      <c r="AD53" s="20">
        <v>0</v>
      </c>
      <c r="AE53" s="20" t="s">
        <v>1172</v>
      </c>
      <c r="AF53" s="20">
        <v>7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O53" s="20" t="s">
        <v>1173</v>
      </c>
      <c r="AR53" s="20">
        <v>0</v>
      </c>
      <c r="AS53" s="20">
        <v>10112</v>
      </c>
      <c r="AV53" s="20" t="s">
        <v>1174</v>
      </c>
      <c r="AX53" s="20">
        <v>62128510024</v>
      </c>
      <c r="AY53" s="20">
        <v>62035811024</v>
      </c>
      <c r="AZ53" s="20">
        <v>55187694024</v>
      </c>
      <c r="BA53" s="20" t="s">
        <v>1175</v>
      </c>
      <c r="BB53" s="20" t="s">
        <v>1176</v>
      </c>
      <c r="BC53" s="20" t="s">
        <v>1177</v>
      </c>
      <c r="BD53" s="20">
        <v>1</v>
      </c>
      <c r="BE53" s="20">
        <v>0</v>
      </c>
      <c r="BF53" s="20">
        <v>0</v>
      </c>
      <c r="BG53" s="20">
        <v>0</v>
      </c>
      <c r="BN53" s="20" t="s">
        <v>1178</v>
      </c>
      <c r="BV53" s="20">
        <v>0</v>
      </c>
      <c r="CL53" s="20">
        <v>0</v>
      </c>
      <c r="DD53" s="20" t="s">
        <v>1179</v>
      </c>
      <c r="DE53" s="20" t="s">
        <v>1179</v>
      </c>
      <c r="DI53" s="20">
        <v>0</v>
      </c>
      <c r="DP53" s="21" t="s">
        <v>1180</v>
      </c>
      <c r="DQ53" s="21" t="str">
        <f>PartsMaster!$A112</f>
        <v xml:space="preserve">HJA5245AA </v>
      </c>
      <c r="DR53" s="21" t="s">
        <v>1181</v>
      </c>
      <c r="DS53" s="21" t="str">
        <f>PartsMaster!$K113&amp;" "&amp;PartsMaster!L113&amp;" "&amp;PartsMaster!$M113</f>
        <v>Rear Left Top</v>
      </c>
    </row>
    <row r="54" spans="1:123" x14ac:dyDescent="0.25">
      <c r="A54" s="20" t="s">
        <v>1166</v>
      </c>
      <c r="B54" s="20" t="s">
        <v>1167</v>
      </c>
      <c r="C54" s="20" t="s">
        <v>1168</v>
      </c>
      <c r="D54" s="21" t="str">
        <f>PartsMaster!B315&amp;" "&amp;PartsMaster!$C315</f>
        <v>Jaguar XK8 XKR X100 XJ8 XJR X308 Filter Air</v>
      </c>
      <c r="E54" s="20">
        <v>3000</v>
      </c>
      <c r="F54" s="20" t="s">
        <v>1182</v>
      </c>
      <c r="H54" s="21">
        <f>PartsMaster!$Q315</f>
        <v>0</v>
      </c>
      <c r="I54" s="20">
        <v>9886</v>
      </c>
      <c r="K54" s="20">
        <v>0</v>
      </c>
      <c r="L54" s="20">
        <v>0</v>
      </c>
      <c r="M54" s="21">
        <f>PartsMaster!$D315</f>
        <v>0</v>
      </c>
      <c r="O54" s="20" t="s">
        <v>1169</v>
      </c>
      <c r="P54" s="23">
        <f>PartsMaster!$S315/1.45</f>
        <v>13.793103448275863</v>
      </c>
      <c r="S54" s="20">
        <v>30</v>
      </c>
      <c r="T54" s="20">
        <v>0</v>
      </c>
      <c r="U54" s="20" t="s">
        <v>1170</v>
      </c>
      <c r="Z54" s="26" t="str">
        <f>"&lt;P&gt;"&amp;PartsMaster!$I315&amp;" "&amp;PartsMaster!$H315&amp;"&lt;/P&gt;"&amp;"&lt;P&gt;Jaguar part name "&amp;PartsMaster!$E315&amp;"&lt;/P&gt;&lt;P&gt;Product numbers "&amp;PartsMaster!R315&amp;" "&amp;DQ54&amp;"&lt;/P&gt;&lt;P&gt;Fits starting from VIN/ModelYear "&amp;PartsMaster!$F315&amp;" until VIN/ModelYear "&amp;PartsMaster!$G315&amp;"&lt;/P&gt;&lt;P&gt;Condition: "&amp;PartsMaster!AB315&amp;"&lt;/P&gt;&lt;P&gt; (part source "&amp;PartsMaster!AD315&amp;")&lt;/P&gt;&lt;P&gt;Notes: "&amp;PartsMaster!AA315&amp;"&lt;/P&gt;"</f>
        <v>&lt;P&gt;Air Filter Filter&lt;/P&gt;&lt;P&gt;Jaguar part name &lt;/P&gt;&lt;P&gt;Product numbers  NJA3558AA&lt;/P&gt;&lt;P&gt;Fits starting from VIN/ModelYear  until VIN/ModelYear &lt;/P&gt;&lt;P&gt;Condition: &lt;/P&gt;&lt;P&gt; (part source )&lt;/P&gt;&lt;P&gt;Notes: &lt;/P&gt;</v>
      </c>
      <c r="AA54" s="20" t="s">
        <v>1171</v>
      </c>
      <c r="AC54" s="20">
        <v>0</v>
      </c>
      <c r="AD54" s="20">
        <v>0</v>
      </c>
      <c r="AE54" s="20" t="s">
        <v>1172</v>
      </c>
      <c r="AF54" s="20">
        <v>7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O54" s="20" t="s">
        <v>1173</v>
      </c>
      <c r="AR54" s="20">
        <v>0</v>
      </c>
      <c r="AS54" s="20">
        <v>10112</v>
      </c>
      <c r="AV54" s="20" t="s">
        <v>1174</v>
      </c>
      <c r="AX54" s="20">
        <v>62128510024</v>
      </c>
      <c r="AY54" s="20">
        <v>62035811024</v>
      </c>
      <c r="AZ54" s="20">
        <v>55187694024</v>
      </c>
      <c r="BA54" s="20" t="s">
        <v>1175</v>
      </c>
      <c r="BB54" s="20" t="s">
        <v>1176</v>
      </c>
      <c r="BC54" s="20" t="s">
        <v>1177</v>
      </c>
      <c r="BD54" s="20">
        <v>1</v>
      </c>
      <c r="BE54" s="20">
        <v>0</v>
      </c>
      <c r="BF54" s="20">
        <v>0</v>
      </c>
      <c r="BG54" s="20">
        <v>0</v>
      </c>
      <c r="BN54" s="20" t="s">
        <v>1178</v>
      </c>
      <c r="BV54" s="20">
        <v>0</v>
      </c>
      <c r="CL54" s="20">
        <v>0</v>
      </c>
      <c r="DD54" s="20" t="s">
        <v>1179</v>
      </c>
      <c r="DE54" s="20" t="s">
        <v>1179</v>
      </c>
      <c r="DI54" s="20">
        <v>0</v>
      </c>
      <c r="DP54" s="21" t="s">
        <v>1180</v>
      </c>
      <c r="DQ54" s="21" t="str">
        <f>PartsMaster!$A315</f>
        <v>NJA3558AA</v>
      </c>
      <c r="DR54" s="21" t="s">
        <v>1181</v>
      </c>
      <c r="DS54" s="21" t="str">
        <f>PartsMaster!$K316&amp;" "&amp;PartsMaster!L316&amp;" "&amp;PartsMaster!$M316</f>
        <v>Front  Top</v>
      </c>
    </row>
    <row r="55" spans="1:123" ht="30" x14ac:dyDescent="0.25">
      <c r="A55" s="20" t="s">
        <v>1166</v>
      </c>
      <c r="B55" s="20" t="s">
        <v>1167</v>
      </c>
      <c r="C55" s="20" t="s">
        <v>1168</v>
      </c>
      <c r="D55" s="21" t="str">
        <f>PartsMaster!B174&amp;" "&amp;PartsMaster!$C174</f>
        <v>Jaguar XK8 XKR X100 Wheel Bearing Kit - Rear</v>
      </c>
      <c r="E55" s="20">
        <v>3000</v>
      </c>
      <c r="F55" s="20" t="s">
        <v>1182</v>
      </c>
      <c r="H55" s="21" t="str">
        <f>PartsMaster!$Q174</f>
        <v>BRG SPACER</v>
      </c>
      <c r="I55" s="20">
        <v>9886</v>
      </c>
      <c r="K55" s="20">
        <v>0</v>
      </c>
      <c r="L55" s="20">
        <v>0</v>
      </c>
      <c r="M55" s="21">
        <f>PartsMaster!$D174</f>
        <v>2</v>
      </c>
      <c r="O55" s="20" t="s">
        <v>1169</v>
      </c>
      <c r="P55" s="23">
        <f>PartsMaster!$S174/1.45</f>
        <v>24.137931034482758</v>
      </c>
      <c r="S55" s="20">
        <v>30</v>
      </c>
      <c r="T55" s="20">
        <v>0</v>
      </c>
      <c r="U55" s="20" t="s">
        <v>1170</v>
      </c>
      <c r="Z55" s="26" t="str">
        <f>"&lt;P&gt;"&amp;PartsMaster!$I174&amp;" "&amp;PartsMaster!$H174&amp;"&lt;/P&gt;"&amp;"&lt;P&gt;Jaguar part name "&amp;PartsMaster!$E174&amp;"&lt;/P&gt;&lt;P&gt;Product numbers "&amp;PartsMaster!R174&amp;" "&amp;DQ55&amp;"&lt;/P&gt;&lt;P&gt;Fits starting from VIN/ModelYear "&amp;PartsMaster!$F174&amp;" until VIN/ModelYear "&amp;PartsMaster!$G174&amp;"&lt;/P&gt;&lt;P&gt;Condition: "&amp;PartsMaster!AB174&amp;"&lt;/P&gt;&lt;P&gt; (part source "&amp;PartsMaster!AD174&amp;")&lt;/P&gt;&lt;P&gt;Notes: "&amp;PartsMaster!AA174&amp;"&lt;/P&gt;"</f>
        <v>&lt;P&gt;Bearing Kit&lt;/P&gt;&lt;P&gt;Jaguar part name STEERING AND SUSPENSION/HUB AND CARRIER-REAR - Hub bearing kit&lt;/P&gt;&lt;P&gt;Product numbers JLM1708 JLM1708&lt;/P&gt;&lt;P&gt;Fits starting from VIN/ModelYear  until VIN/ModelYear &lt;/P&gt;&lt;P&gt;Condition: &lt;/P&gt;&lt;P&gt; (part source )&lt;/P&gt;&lt;P&gt;Notes: &lt;/P&gt;</v>
      </c>
      <c r="AA55" s="20" t="s">
        <v>1171</v>
      </c>
      <c r="AC55" s="20">
        <v>0</v>
      </c>
      <c r="AD55" s="20">
        <v>0</v>
      </c>
      <c r="AE55" s="20" t="s">
        <v>1172</v>
      </c>
      <c r="AF55" s="20">
        <v>7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O55" s="20" t="s">
        <v>1173</v>
      </c>
      <c r="AR55" s="20">
        <v>0</v>
      </c>
      <c r="AS55" s="20">
        <v>10112</v>
      </c>
      <c r="AV55" s="20" t="s">
        <v>1174</v>
      </c>
      <c r="AX55" s="20">
        <v>62128510024</v>
      </c>
      <c r="AY55" s="20">
        <v>62035811024</v>
      </c>
      <c r="AZ55" s="20">
        <v>55187694024</v>
      </c>
      <c r="BA55" s="20" t="s">
        <v>1175</v>
      </c>
      <c r="BB55" s="20" t="s">
        <v>1176</v>
      </c>
      <c r="BC55" s="20" t="s">
        <v>1177</v>
      </c>
      <c r="BD55" s="20">
        <v>1</v>
      </c>
      <c r="BE55" s="20">
        <v>0</v>
      </c>
      <c r="BF55" s="20">
        <v>0</v>
      </c>
      <c r="BG55" s="20">
        <v>0</v>
      </c>
      <c r="BN55" s="20" t="s">
        <v>1178</v>
      </c>
      <c r="BV55" s="20">
        <v>0</v>
      </c>
      <c r="CL55" s="20">
        <v>0</v>
      </c>
      <c r="DD55" s="20" t="s">
        <v>1179</v>
      </c>
      <c r="DE55" s="20" t="s">
        <v>1179</v>
      </c>
      <c r="DI55" s="20">
        <v>0</v>
      </c>
      <c r="DP55" s="21" t="s">
        <v>1180</v>
      </c>
      <c r="DQ55" s="21" t="str">
        <f>PartsMaster!$A174</f>
        <v>JLM1708</v>
      </c>
      <c r="DR55" s="21" t="s">
        <v>1181</v>
      </c>
      <c r="DS55" s="21" t="str">
        <f>PartsMaster!$K175&amp;" "&amp;PartsMaster!L175&amp;" "&amp;PartsMaster!$M175</f>
        <v xml:space="preserve">Front  </v>
      </c>
    </row>
    <row r="56" spans="1:123" x14ac:dyDescent="0.25">
      <c r="A56" s="20" t="s">
        <v>1166</v>
      </c>
      <c r="B56" s="20" t="s">
        <v>1167</v>
      </c>
      <c r="C56" s="20" t="s">
        <v>1168</v>
      </c>
      <c r="D56" s="21" t="str">
        <f>PartsMaster!B173&amp;" "&amp;PartsMaster!$C173</f>
        <v>Jaguar XK8 XKR X100 XJ8 XJR X308 Drive shaft Universal Join</v>
      </c>
      <c r="E56" s="20">
        <v>3000</v>
      </c>
      <c r="F56" s="20" t="s">
        <v>1182</v>
      </c>
      <c r="H56" s="21">
        <f>PartsMaster!$Q173</f>
        <v>0</v>
      </c>
      <c r="I56" s="20">
        <v>9886</v>
      </c>
      <c r="K56" s="20">
        <v>0</v>
      </c>
      <c r="L56" s="20">
        <v>0</v>
      </c>
      <c r="M56" s="21">
        <f>PartsMaster!$D173</f>
        <v>0</v>
      </c>
      <c r="O56" s="20" t="s">
        <v>1169</v>
      </c>
      <c r="P56" s="23">
        <f>PartsMaster!$S173/1.45</f>
        <v>27.586206896551726</v>
      </c>
      <c r="S56" s="20">
        <v>30</v>
      </c>
      <c r="T56" s="20">
        <v>0</v>
      </c>
      <c r="U56" s="20" t="s">
        <v>1170</v>
      </c>
      <c r="Z56" s="26" t="str">
        <f>"&lt;P&gt;"&amp;PartsMaster!$I173&amp;" "&amp;PartsMaster!$H173&amp;"&lt;/P&gt;"&amp;"&lt;P&gt;Jaguar part name "&amp;PartsMaster!$E173&amp;"&lt;/P&gt;&lt;P&gt;Product numbers "&amp;PartsMaster!R173&amp;" "&amp;DQ56&amp;"&lt;/P&gt;&lt;P&gt;Fits starting from VIN/ModelYear "&amp;PartsMaster!$F173&amp;" until VIN/ModelYear "&amp;PartsMaster!$G173&amp;"&lt;/P&gt;&lt;P&gt;Condition: "&amp;PartsMaster!AB173&amp;"&lt;/P&gt;&lt;P&gt; (part source "&amp;PartsMaster!AD173&amp;")&lt;/P&gt;&lt;P&gt;Notes: "&amp;PartsMaster!AA173&amp;"&lt;/P&gt;"</f>
        <v>&lt;P&gt;Universal joint Universal joint&lt;/P&gt;&lt;P&gt;Jaguar part name &lt;/P&gt;&lt;P&gt;Product numbers  JLM1388&lt;/P&gt;&lt;P&gt;Fits starting from VIN/ModelYear  until VIN/ModelYear &lt;/P&gt;&lt;P&gt;Condition: &lt;/P&gt;&lt;P&gt; (part source )&lt;/P&gt;&lt;P&gt;Notes: &lt;/P&gt;</v>
      </c>
      <c r="AA56" s="20" t="s">
        <v>1171</v>
      </c>
      <c r="AC56" s="20">
        <v>0</v>
      </c>
      <c r="AD56" s="20">
        <v>0</v>
      </c>
      <c r="AE56" s="20" t="s">
        <v>1172</v>
      </c>
      <c r="AF56" s="20">
        <v>7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O56" s="20" t="s">
        <v>1173</v>
      </c>
      <c r="AR56" s="20">
        <v>0</v>
      </c>
      <c r="AS56" s="20">
        <v>10112</v>
      </c>
      <c r="AV56" s="20" t="s">
        <v>1174</v>
      </c>
      <c r="AX56" s="20">
        <v>62128510024</v>
      </c>
      <c r="AY56" s="20">
        <v>62035811024</v>
      </c>
      <c r="AZ56" s="20">
        <v>55187694024</v>
      </c>
      <c r="BA56" s="20" t="s">
        <v>1175</v>
      </c>
      <c r="BB56" s="20" t="s">
        <v>1176</v>
      </c>
      <c r="BC56" s="20" t="s">
        <v>1177</v>
      </c>
      <c r="BD56" s="20">
        <v>1</v>
      </c>
      <c r="BE56" s="20">
        <v>0</v>
      </c>
      <c r="BF56" s="20">
        <v>0</v>
      </c>
      <c r="BG56" s="20">
        <v>0</v>
      </c>
      <c r="BN56" s="20" t="s">
        <v>1178</v>
      </c>
      <c r="BV56" s="20">
        <v>0</v>
      </c>
      <c r="CL56" s="20">
        <v>0</v>
      </c>
      <c r="DD56" s="20" t="s">
        <v>1179</v>
      </c>
      <c r="DE56" s="20" t="s">
        <v>1179</v>
      </c>
      <c r="DI56" s="20">
        <v>0</v>
      </c>
      <c r="DP56" s="21" t="s">
        <v>1180</v>
      </c>
      <c r="DQ56" s="21" t="str">
        <f>PartsMaster!$A173</f>
        <v>JLM1388</v>
      </c>
      <c r="DR56" s="21" t="s">
        <v>1181</v>
      </c>
      <c r="DS56" s="21" t="str">
        <f>PartsMaster!$K174&amp;" "&amp;PartsMaster!L174&amp;" "&amp;PartsMaster!$M174</f>
        <v xml:space="preserve">Rear Left/Right </v>
      </c>
    </row>
    <row r="57" spans="1:123" hidden="1" x14ac:dyDescent="0.25">
      <c r="A57" s="20" t="s">
        <v>1166</v>
      </c>
      <c r="B57" s="20" t="s">
        <v>1167</v>
      </c>
      <c r="C57" s="20" t="s">
        <v>1168</v>
      </c>
      <c r="D57" s="21" t="str">
        <f>PartsMaster!B94&amp;" "&amp;PartsMaster!$C94</f>
        <v>Jaguar XK8 XKR X100 Footrest</v>
      </c>
      <c r="E57" s="20">
        <v>3000</v>
      </c>
      <c r="F57" s="20" t="s">
        <v>1182</v>
      </c>
      <c r="H57" s="21" t="str">
        <f>PartsMaster!$Q94</f>
        <v>Footrest</v>
      </c>
      <c r="I57" s="20">
        <v>9886</v>
      </c>
      <c r="K57" s="20">
        <v>0</v>
      </c>
      <c r="L57" s="20">
        <v>0</v>
      </c>
      <c r="M57" s="21">
        <f>PartsMaster!$D94</f>
        <v>1</v>
      </c>
      <c r="O57" s="20" t="s">
        <v>1169</v>
      </c>
      <c r="P57" s="23">
        <f>PartsMaster!$S94/1.45</f>
        <v>0</v>
      </c>
      <c r="S57" s="20">
        <v>30</v>
      </c>
      <c r="T57" s="20">
        <v>0</v>
      </c>
      <c r="U57" s="20" t="s">
        <v>1170</v>
      </c>
      <c r="Z57" s="26" t="str">
        <f>"&lt;P&gt;"&amp;PartsMaster!$I94&amp;" "&amp;PartsMaster!$H94&amp;"&lt;/P&gt;"&amp;"&lt;P&gt;Jaguar part name "&amp;PartsMaster!$E94&amp;"&lt;/P&gt;&lt;P&gt;Product numbers "&amp;PartsMaster!R94&amp;" "&amp;DQ57&amp;"&lt;/P&gt;&lt;P&gt;Fits starting from VIN/ModelYear "&amp;PartsMaster!$F94&amp;" until VIN/ModelYear "&amp;PartsMaster!$G94&amp;"&lt;/P&gt;&lt;P&gt;Condition: "&amp;PartsMaster!AB94&amp;"&lt;/P&gt;&lt;P&gt; (part source "&amp;PartsMaster!AD94&amp;")&lt;/P&gt;&lt;P&gt;Notes: "&amp;PartsMaster!AA94&amp;"&lt;/P&gt;"</f>
        <v>&lt;P&gt;Footrest Footrest&lt;/P&gt;&lt;P&gt;Jaguar part name INTERIOR TRIMS AND LININGS/BODY INTERIOR FIXTURES AND FITTINGS - Footrest - Low rest&lt;/P&gt;&lt;P&gt;Product numbers GJA9660CC GJA9660CC&lt;/P&gt;&lt;P&gt;Fits starting from VIN/ModelYear  until VIN/ModelYear &lt;/P&gt;&lt;P&gt;Condition: Dismantled from bottom &amp; engine damaged MY1997 XK8 Convertible VIN 0136xx&lt;/P&gt;&lt;P&gt; (part source KK)&lt;/P&gt;&lt;P&gt;Notes: USA / LHD&lt;/P&gt;</v>
      </c>
      <c r="AA57" s="20" t="s">
        <v>1171</v>
      </c>
      <c r="AC57" s="20">
        <v>0</v>
      </c>
      <c r="AD57" s="20">
        <v>0</v>
      </c>
      <c r="AE57" s="20" t="s">
        <v>1172</v>
      </c>
      <c r="AF57" s="20">
        <v>7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O57" s="20" t="s">
        <v>1173</v>
      </c>
      <c r="AR57" s="20">
        <v>0</v>
      </c>
      <c r="AS57" s="20">
        <v>10112</v>
      </c>
      <c r="AV57" s="20" t="s">
        <v>1174</v>
      </c>
      <c r="AX57" s="20">
        <v>62128510024</v>
      </c>
      <c r="AY57" s="20">
        <v>62035811024</v>
      </c>
      <c r="AZ57" s="20">
        <v>55187694024</v>
      </c>
      <c r="BA57" s="20" t="s">
        <v>1175</v>
      </c>
      <c r="BB57" s="20" t="s">
        <v>1176</v>
      </c>
      <c r="BC57" s="20" t="s">
        <v>1177</v>
      </c>
      <c r="BD57" s="20">
        <v>1</v>
      </c>
      <c r="BE57" s="20">
        <v>0</v>
      </c>
      <c r="BF57" s="20">
        <v>0</v>
      </c>
      <c r="BG57" s="20">
        <v>0</v>
      </c>
      <c r="BN57" s="20" t="s">
        <v>1178</v>
      </c>
      <c r="BV57" s="20">
        <v>0</v>
      </c>
      <c r="CL57" s="20">
        <v>0</v>
      </c>
      <c r="DD57" s="20" t="s">
        <v>1179</v>
      </c>
      <c r="DE57" s="20" t="s">
        <v>1179</v>
      </c>
      <c r="DI57" s="20">
        <v>0</v>
      </c>
      <c r="DP57" s="21" t="s">
        <v>1180</v>
      </c>
      <c r="DQ57" s="21" t="str">
        <f>PartsMaster!$A94</f>
        <v>GJA9660CC</v>
      </c>
      <c r="DR57" s="21" t="s">
        <v>1181</v>
      </c>
      <c r="DS57" s="21" t="str">
        <f>PartsMaster!$K95&amp;" "&amp;PartsMaster!L95&amp;" "&amp;PartsMaster!$M95</f>
        <v>Front Left Bottom</v>
      </c>
    </row>
    <row r="58" spans="1:123" ht="30" hidden="1" x14ac:dyDescent="0.25">
      <c r="A58" s="20" t="s">
        <v>1166</v>
      </c>
      <c r="B58" s="20" t="s">
        <v>1167</v>
      </c>
      <c r="C58" s="20" t="s">
        <v>1168</v>
      </c>
      <c r="D58" s="21" t="str">
        <f>PartsMaster!B95&amp;" "&amp;PartsMaster!$C95</f>
        <v>Jaguar XK8 XKR X100 Footrest support plate</v>
      </c>
      <c r="E58" s="20">
        <v>3000</v>
      </c>
      <c r="F58" s="20" t="s">
        <v>1182</v>
      </c>
      <c r="H58" s="21" t="str">
        <f>PartsMaster!$Q95</f>
        <v>Footrest support plate</v>
      </c>
      <c r="I58" s="20">
        <v>9886</v>
      </c>
      <c r="K58" s="20">
        <v>0</v>
      </c>
      <c r="L58" s="20">
        <v>0</v>
      </c>
      <c r="M58" s="21">
        <f>PartsMaster!$D95</f>
        <v>1</v>
      </c>
      <c r="O58" s="20" t="s">
        <v>1169</v>
      </c>
      <c r="P58" s="23">
        <f>PartsMaster!$S95/1.45</f>
        <v>0</v>
      </c>
      <c r="S58" s="20">
        <v>30</v>
      </c>
      <c r="T58" s="20">
        <v>0</v>
      </c>
      <c r="U58" s="20" t="s">
        <v>1170</v>
      </c>
      <c r="Z58" s="26" t="str">
        <f>"&lt;P&gt;"&amp;PartsMaster!$I95&amp;" "&amp;PartsMaster!$H95&amp;"&lt;/P&gt;"&amp;"&lt;P&gt;Jaguar part name "&amp;PartsMaster!$E95&amp;"&lt;/P&gt;&lt;P&gt;Product numbers "&amp;PartsMaster!R95&amp;" "&amp;DQ58&amp;"&lt;/P&gt;&lt;P&gt;Fits starting from VIN/ModelYear "&amp;PartsMaster!$F95&amp;" until VIN/ModelYear "&amp;PartsMaster!$G95&amp;"&lt;/P&gt;&lt;P&gt;Condition: "&amp;PartsMaster!AB95&amp;"&lt;/P&gt;&lt;P&gt; (part source "&amp;PartsMaster!AD95&amp;")&lt;/P&gt;&lt;P&gt;Notes: "&amp;PartsMaster!AA95&amp;"&lt;/P&gt;"</f>
        <v>&lt;P&gt;Footrest Footrest&lt;/P&gt;&lt;P&gt;Jaguar part name INTERIOR TRIMS AND LININGS/BODY INTERIOR FIXTURES AND FITTINGS - Footrest support&lt;/P&gt;&lt;P&gt;Product numbers GJA9668AB GJA9668AB&lt;/P&gt;&lt;P&gt;Fits starting from VIN/ModelYear  until VIN/ModelYear &lt;/P&gt;&lt;P&gt;Condition: Dismantled from bottom &amp; engine damaged MY1997 XK8 Convertible VIN 0136xx&lt;/P&gt;&lt;P&gt; (part source KK)&lt;/P&gt;&lt;P&gt;Notes: USA / LHD&lt;/P&gt;</v>
      </c>
      <c r="AA58" s="20" t="s">
        <v>1171</v>
      </c>
      <c r="AC58" s="20">
        <v>0</v>
      </c>
      <c r="AD58" s="20">
        <v>0</v>
      </c>
      <c r="AE58" s="20" t="s">
        <v>1172</v>
      </c>
      <c r="AF58" s="20">
        <v>7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O58" s="20" t="s">
        <v>1173</v>
      </c>
      <c r="AR58" s="20">
        <v>0</v>
      </c>
      <c r="AS58" s="20">
        <v>10112</v>
      </c>
      <c r="AV58" s="20" t="s">
        <v>1174</v>
      </c>
      <c r="AX58" s="20">
        <v>62128510024</v>
      </c>
      <c r="AY58" s="20">
        <v>62035811024</v>
      </c>
      <c r="AZ58" s="20">
        <v>55187694024</v>
      </c>
      <c r="BA58" s="20" t="s">
        <v>1175</v>
      </c>
      <c r="BB58" s="20" t="s">
        <v>1176</v>
      </c>
      <c r="BC58" s="20" t="s">
        <v>1177</v>
      </c>
      <c r="BD58" s="20">
        <v>1</v>
      </c>
      <c r="BE58" s="20">
        <v>0</v>
      </c>
      <c r="BF58" s="20">
        <v>0</v>
      </c>
      <c r="BG58" s="20">
        <v>0</v>
      </c>
      <c r="BN58" s="20" t="s">
        <v>1178</v>
      </c>
      <c r="BV58" s="20">
        <v>0</v>
      </c>
      <c r="CL58" s="20">
        <v>0</v>
      </c>
      <c r="DD58" s="20" t="s">
        <v>1179</v>
      </c>
      <c r="DE58" s="20" t="s">
        <v>1179</v>
      </c>
      <c r="DI58" s="20">
        <v>0</v>
      </c>
      <c r="DP58" s="21" t="s">
        <v>1180</v>
      </c>
      <c r="DQ58" s="21" t="str">
        <f>PartsMaster!$A95</f>
        <v>GJA9668AB</v>
      </c>
      <c r="DR58" s="21" t="s">
        <v>1181</v>
      </c>
      <c r="DS58" s="21" t="str">
        <f>PartsMaster!$K96&amp;" "&amp;PartsMaster!L96&amp;" "&amp;PartsMaster!$M96</f>
        <v>Front Right Low</v>
      </c>
    </row>
    <row r="59" spans="1:123" ht="30" hidden="1" x14ac:dyDescent="0.25">
      <c r="A59" s="20" t="s">
        <v>1166</v>
      </c>
      <c r="B59" s="20" t="s">
        <v>1167</v>
      </c>
      <c r="C59" s="20" t="s">
        <v>1168</v>
      </c>
      <c r="D59" s="21" t="str">
        <f>PartsMaster!B60&amp;" "&amp;PartsMaster!$C60</f>
        <v>Jaguar XK8 XKR X100 Trunk lid hinge</v>
      </c>
      <c r="E59" s="20">
        <v>3000</v>
      </c>
      <c r="F59" s="20" t="s">
        <v>1182</v>
      </c>
      <c r="H59" s="21" t="str">
        <f>PartsMaster!$Q60</f>
        <v>Trunk lid hinge</v>
      </c>
      <c r="I59" s="20">
        <v>9886</v>
      </c>
      <c r="K59" s="20">
        <v>0</v>
      </c>
      <c r="L59" s="20">
        <v>0</v>
      </c>
      <c r="M59" s="21">
        <f>PartsMaster!$D60</f>
        <v>1</v>
      </c>
      <c r="O59" s="20" t="s">
        <v>1169</v>
      </c>
      <c r="P59" s="23">
        <f>PartsMaster!$S60/1.45</f>
        <v>113.79310344827587</v>
      </c>
      <c r="S59" s="20">
        <v>30</v>
      </c>
      <c r="T59" s="20">
        <v>0</v>
      </c>
      <c r="U59" s="20" t="s">
        <v>1170</v>
      </c>
      <c r="Z59" s="26" t="str">
        <f>"&lt;P&gt;"&amp;PartsMaster!$I60&amp;" "&amp;PartsMaster!$H60&amp;"&lt;/P&gt;"&amp;"&lt;P&gt;Jaguar part name "&amp;PartsMaster!$E60&amp;"&lt;/P&gt;&lt;P&gt;Product numbers "&amp;PartsMaster!R60&amp;" "&amp;DQ59&amp;"&lt;/P&gt;&lt;P&gt;Fits starting from VIN/ModelYear "&amp;PartsMaster!$F60&amp;" until VIN/ModelYear "&amp;PartsMaster!$G60&amp;"&lt;/P&gt;&lt;P&gt;Condition: "&amp;PartsMaster!AB60&amp;"&lt;/P&gt;&lt;P&gt; (part source "&amp;PartsMaster!AD60&amp;")&lt;/P&gt;&lt;P&gt;Notes: "&amp;PartsMaster!AA60&amp;"&lt;/P&gt;"</f>
        <v>&lt;P&gt;Hinge Mount&lt;/P&gt;&lt;P&gt;Jaguar part name BODY METAL PANELS AND SEALING/BOLTED BODY PANELS&lt;/P&gt;&lt;P&gt;Product numbers FJA3027AD FJA3027AD&lt;/P&gt;&lt;P&gt;Fits starting from VIN/ModelYear  until VIN/ModelYear 023170&lt;/P&gt;&lt;P&gt;Condition: Dismantled from bottom &amp; engine damaged MY1997 XK8 Convertible VIN 0136xx&lt;/P&gt;&lt;P&gt; (part source KK)&lt;/P&gt;&lt;P&gt;Notes: Convertible&lt;/P&gt;</v>
      </c>
      <c r="AA59" s="20" t="s">
        <v>1171</v>
      </c>
      <c r="AC59" s="20">
        <v>0</v>
      </c>
      <c r="AD59" s="20">
        <v>0</v>
      </c>
      <c r="AE59" s="20" t="s">
        <v>1172</v>
      </c>
      <c r="AF59" s="20">
        <v>7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O59" s="20" t="s">
        <v>1173</v>
      </c>
      <c r="AR59" s="20">
        <v>0</v>
      </c>
      <c r="AS59" s="20">
        <v>10112</v>
      </c>
      <c r="AV59" s="20" t="s">
        <v>1174</v>
      </c>
      <c r="AX59" s="20">
        <v>62128510024</v>
      </c>
      <c r="AY59" s="20">
        <v>62035811024</v>
      </c>
      <c r="AZ59" s="20">
        <v>55187694024</v>
      </c>
      <c r="BA59" s="20" t="s">
        <v>1175</v>
      </c>
      <c r="BB59" s="20" t="s">
        <v>1176</v>
      </c>
      <c r="BC59" s="20" t="s">
        <v>1177</v>
      </c>
      <c r="BD59" s="20">
        <v>1</v>
      </c>
      <c r="BE59" s="20">
        <v>0</v>
      </c>
      <c r="BF59" s="20">
        <v>0</v>
      </c>
      <c r="BG59" s="20">
        <v>0</v>
      </c>
      <c r="BN59" s="20" t="s">
        <v>1178</v>
      </c>
      <c r="BV59" s="20">
        <v>0</v>
      </c>
      <c r="CL59" s="20">
        <v>0</v>
      </c>
      <c r="DD59" s="20" t="s">
        <v>1179</v>
      </c>
      <c r="DE59" s="20" t="s">
        <v>1179</v>
      </c>
      <c r="DI59" s="20">
        <v>0</v>
      </c>
      <c r="DP59" s="21" t="s">
        <v>1180</v>
      </c>
      <c r="DQ59" s="21" t="str">
        <f>PartsMaster!$A60</f>
        <v>FJA3027AD</v>
      </c>
      <c r="DR59" s="21" t="s">
        <v>1181</v>
      </c>
      <c r="DS59" s="21" t="str">
        <f>PartsMaster!$K61&amp;" "&amp;PartsMaster!L61&amp;" "&amp;PartsMaster!$M61</f>
        <v>Front Right NA</v>
      </c>
    </row>
    <row r="60" spans="1:123" ht="30" hidden="1" x14ac:dyDescent="0.25">
      <c r="A60" s="20" t="s">
        <v>1166</v>
      </c>
      <c r="B60" s="20" t="s">
        <v>1167</v>
      </c>
      <c r="C60" s="20" t="s">
        <v>1168</v>
      </c>
      <c r="D60" s="21" t="str">
        <f>PartsMaster!B56&amp;" "&amp;PartsMaster!$C56</f>
        <v>Jaguar XK8 XKR X100 Wing panel</v>
      </c>
      <c r="E60" s="20">
        <v>3000</v>
      </c>
      <c r="F60" s="20" t="s">
        <v>1182</v>
      </c>
      <c r="H60" s="21" t="str">
        <f>PartsMaster!$Q56</f>
        <v>Wing panel</v>
      </c>
      <c r="I60" s="20">
        <v>9886</v>
      </c>
      <c r="K60" s="20">
        <v>0</v>
      </c>
      <c r="L60" s="20">
        <v>0</v>
      </c>
      <c r="M60" s="21">
        <f>PartsMaster!$D56</f>
        <v>0</v>
      </c>
      <c r="O60" s="20" t="s">
        <v>1169</v>
      </c>
      <c r="P60" s="23">
        <f>PartsMaster!$S56/1.45</f>
        <v>134.48275862068965</v>
      </c>
      <c r="S60" s="20">
        <v>30</v>
      </c>
      <c r="T60" s="20">
        <v>0</v>
      </c>
      <c r="U60" s="20" t="s">
        <v>1170</v>
      </c>
      <c r="Z60" s="26" t="str">
        <f>"&lt;P&gt;"&amp;PartsMaster!$I56&amp;" "&amp;PartsMaster!$H56&amp;"&lt;/P&gt;"&amp;"&lt;P&gt;Jaguar part name "&amp;PartsMaster!$E56&amp;"&lt;/P&gt;&lt;P&gt;Product numbers "&amp;PartsMaster!R56&amp;" "&amp;DQ60&amp;"&lt;/P&gt;&lt;P&gt;Fits starting from VIN/ModelYear "&amp;PartsMaster!$F56&amp;" until VIN/ModelYear "&amp;PartsMaster!$G56&amp;"&lt;/P&gt;&lt;P&gt;Condition: "&amp;PartsMaster!AB56&amp;"&lt;/P&gt;&lt;P&gt; (part source "&amp;PartsMaster!AD56&amp;")&lt;/P&gt;&lt;P&gt;Notes: "&amp;PartsMaster!AA56&amp;"&lt;/P&gt;"</f>
        <v>&lt;P&gt;Body Body panel&lt;/P&gt;&lt;P&gt;Jaguar part name BODY METAL PANELS AND SEALING/BOLTED BODY PANELS - Wing panel -RH front&lt;/P&gt;&lt;P&gt;Product numbers FJA1070AE FJA1070AE&lt;/P&gt;&lt;P&gt;Fits starting from VIN/ModelYear MY1996 until VIN/ModelYear 042775&lt;/P&gt;&lt;P&gt;Condition: Extra spare&lt;/P&gt;&lt;P&gt; (part source TR)&lt;/P&gt;&lt;P&gt;Notes: Needs proper re-primer before paint&lt;/P&gt;</v>
      </c>
      <c r="AA60" s="20" t="s">
        <v>1171</v>
      </c>
      <c r="AC60" s="20">
        <v>0</v>
      </c>
      <c r="AD60" s="20">
        <v>0</v>
      </c>
      <c r="AE60" s="20" t="s">
        <v>1172</v>
      </c>
      <c r="AF60" s="20">
        <v>7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O60" s="20" t="s">
        <v>1173</v>
      </c>
      <c r="AR60" s="20">
        <v>0</v>
      </c>
      <c r="AS60" s="20">
        <v>10112</v>
      </c>
      <c r="AV60" s="20" t="s">
        <v>1174</v>
      </c>
      <c r="AX60" s="20">
        <v>62128510024</v>
      </c>
      <c r="AY60" s="20">
        <v>62035811024</v>
      </c>
      <c r="AZ60" s="20">
        <v>55187694024</v>
      </c>
      <c r="BA60" s="20" t="s">
        <v>1175</v>
      </c>
      <c r="BB60" s="20" t="s">
        <v>1176</v>
      </c>
      <c r="BC60" s="20" t="s">
        <v>1177</v>
      </c>
      <c r="BD60" s="20">
        <v>1</v>
      </c>
      <c r="BE60" s="20">
        <v>0</v>
      </c>
      <c r="BF60" s="20">
        <v>0</v>
      </c>
      <c r="BG60" s="20">
        <v>0</v>
      </c>
      <c r="BN60" s="20" t="s">
        <v>1178</v>
      </c>
      <c r="BV60" s="20">
        <v>0</v>
      </c>
      <c r="CL60" s="20">
        <v>0</v>
      </c>
      <c r="DD60" s="20" t="s">
        <v>1179</v>
      </c>
      <c r="DE60" s="20" t="s">
        <v>1179</v>
      </c>
      <c r="DI60" s="20">
        <v>0</v>
      </c>
      <c r="DP60" s="21" t="s">
        <v>1180</v>
      </c>
      <c r="DQ60" s="21" t="str">
        <f>PartsMaster!$A56</f>
        <v>FJA1070AE</v>
      </c>
      <c r="DR60" s="21" t="s">
        <v>1181</v>
      </c>
      <c r="DS60" s="21" t="str">
        <f>PartsMaster!$K57&amp;" "&amp;PartsMaster!L57&amp;" "&amp;PartsMaster!$M57</f>
        <v xml:space="preserve">Front Left </v>
      </c>
    </row>
    <row r="61" spans="1:123" x14ac:dyDescent="0.25">
      <c r="A61" s="20" t="s">
        <v>1166</v>
      </c>
      <c r="B61" s="20" t="s">
        <v>1167</v>
      </c>
      <c r="C61" s="20" t="s">
        <v>1168</v>
      </c>
      <c r="D61" s="21" t="str">
        <f>PartsMaster!B376&amp;" "&amp;PartsMaster!$C376</f>
        <v>Jaguar XK8 XKR X100 Seat  - Mechanism cover - Coffee</v>
      </c>
      <c r="E61" s="20">
        <v>3000</v>
      </c>
      <c r="F61" s="20" t="s">
        <v>1182</v>
      </c>
      <c r="H61" s="21">
        <f>PartsMaster!$Q376</f>
        <v>0</v>
      </c>
      <c r="I61" s="20">
        <v>9886</v>
      </c>
      <c r="K61" s="20">
        <v>0</v>
      </c>
      <c r="L61" s="20">
        <v>0</v>
      </c>
      <c r="M61" s="21">
        <f>PartsMaster!$D376</f>
        <v>0</v>
      </c>
      <c r="O61" s="20" t="s">
        <v>1169</v>
      </c>
      <c r="P61" s="23">
        <f>PartsMaster!$S376/1.45</f>
        <v>0</v>
      </c>
      <c r="S61" s="20">
        <v>30</v>
      </c>
      <c r="T61" s="20">
        <v>0</v>
      </c>
      <c r="U61" s="20" t="s">
        <v>1170</v>
      </c>
      <c r="Z61" s="26" t="str">
        <f>"&lt;P&gt;"&amp;PartsMaster!$I376&amp;" "&amp;PartsMaster!$H376&amp;"&lt;/P&gt;"&amp;"&lt;P&gt;Jaguar part name "&amp;PartsMaster!$E376&amp;"&lt;/P&gt;&lt;P&gt;Product numbers "&amp;PartsMaster!R376&amp;" "&amp;DQ61&amp;"&lt;/P&gt;&lt;P&gt;Fits starting from VIN/ModelYear "&amp;PartsMaster!$F376&amp;" until VIN/ModelYear "&amp;PartsMaster!$G376&amp;"&lt;/P&gt;&lt;P&gt;Condition: "&amp;PartsMaster!AB376&amp;"&lt;/P&gt;&lt;P&gt; (part source "&amp;PartsMaster!AD376&amp;")&lt;/P&gt;&lt;P&gt;Notes: "&amp;PartsMaster!AA376&amp;"&lt;/P&gt;"</f>
        <v>&lt;P&gt;Cap / Cover Cap / Cover / Trim&lt;/P&gt;&lt;P&gt;Jaguar part name &lt;/P&gt;&lt;P&gt;Product numbers  0&lt;/P&gt;&lt;P&gt;Fits starting from VIN/ModelYear 18108 until VIN/ModelYear -&lt;/P&gt;&lt;P&gt;Condition: &lt;/P&gt;&lt;P&gt; (part source )&lt;/P&gt;&lt;P&gt;Notes: &lt;/P&gt;</v>
      </c>
      <c r="AA61" s="20" t="s">
        <v>1171</v>
      </c>
      <c r="AC61" s="20">
        <v>0</v>
      </c>
      <c r="AD61" s="20">
        <v>0</v>
      </c>
      <c r="AE61" s="20" t="s">
        <v>1172</v>
      </c>
      <c r="AF61" s="20">
        <v>7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O61" s="20" t="s">
        <v>1173</v>
      </c>
      <c r="AR61" s="20">
        <v>0</v>
      </c>
      <c r="AS61" s="20">
        <v>10112</v>
      </c>
      <c r="AV61" s="20" t="s">
        <v>1174</v>
      </c>
      <c r="AX61" s="20">
        <v>62128510024</v>
      </c>
      <c r="AY61" s="20">
        <v>62035811024</v>
      </c>
      <c r="AZ61" s="20">
        <v>55187694024</v>
      </c>
      <c r="BA61" s="20" t="s">
        <v>1175</v>
      </c>
      <c r="BB61" s="20" t="s">
        <v>1176</v>
      </c>
      <c r="BC61" s="20" t="s">
        <v>1177</v>
      </c>
      <c r="BD61" s="20">
        <v>1</v>
      </c>
      <c r="BE61" s="20">
        <v>0</v>
      </c>
      <c r="BF61" s="20">
        <v>0</v>
      </c>
      <c r="BG61" s="20">
        <v>0</v>
      </c>
      <c r="BN61" s="20" t="s">
        <v>1178</v>
      </c>
      <c r="BV61" s="20">
        <v>0</v>
      </c>
      <c r="CL61" s="20">
        <v>0</v>
      </c>
      <c r="DD61" s="20" t="s">
        <v>1179</v>
      </c>
      <c r="DE61" s="20" t="s">
        <v>1179</v>
      </c>
      <c r="DI61" s="20">
        <v>0</v>
      </c>
      <c r="DP61" s="21" t="s">
        <v>1180</v>
      </c>
      <c r="DQ61" s="21">
        <f>PartsMaster!$A376</f>
        <v>0</v>
      </c>
      <c r="DR61" s="21" t="s">
        <v>1181</v>
      </c>
      <c r="DS61" s="21" t="str">
        <f>PartsMaster!$K377&amp;" "&amp;PartsMaster!L377&amp;" "&amp;PartsMaster!$M377</f>
        <v>Front Left Low</v>
      </c>
    </row>
    <row r="62" spans="1:123" ht="30" hidden="1" x14ac:dyDescent="0.25">
      <c r="A62" s="20" t="s">
        <v>1166</v>
      </c>
      <c r="B62" s="20" t="s">
        <v>1167</v>
      </c>
      <c r="C62" s="20" t="s">
        <v>1168</v>
      </c>
      <c r="D62" s="21" t="str">
        <f>PartsMaster!B58&amp;" "&amp;PartsMaster!$C58</f>
        <v>Jaguar XK8 XKR X100 Tonneau panel</v>
      </c>
      <c r="E62" s="20">
        <v>3000</v>
      </c>
      <c r="F62" s="20" t="s">
        <v>1182</v>
      </c>
      <c r="H62" s="21" t="str">
        <f>PartsMaster!$Q58</f>
        <v>Tonneau panel</v>
      </c>
      <c r="I62" s="20">
        <v>9886</v>
      </c>
      <c r="K62" s="20">
        <v>0</v>
      </c>
      <c r="L62" s="20">
        <v>0</v>
      </c>
      <c r="M62" s="21">
        <f>PartsMaster!$D58</f>
        <v>0</v>
      </c>
      <c r="O62" s="20" t="s">
        <v>1169</v>
      </c>
      <c r="P62" s="23">
        <f>PartsMaster!$S58/1.45</f>
        <v>517.24137931034488</v>
      </c>
      <c r="S62" s="20">
        <v>30</v>
      </c>
      <c r="T62" s="20">
        <v>0</v>
      </c>
      <c r="U62" s="20" t="s">
        <v>1170</v>
      </c>
      <c r="Z62" s="26" t="str">
        <f>"&lt;P&gt;"&amp;PartsMaster!$I58&amp;" "&amp;PartsMaster!$H58&amp;"&lt;/P&gt;"&amp;"&lt;P&gt;Jaguar part name "&amp;PartsMaster!$E58&amp;"&lt;/P&gt;&lt;P&gt;Product numbers "&amp;PartsMaster!R58&amp;" "&amp;DQ62&amp;"&lt;/P&gt;&lt;P&gt;Fits starting from VIN/ModelYear "&amp;PartsMaster!$F58&amp;" until VIN/ModelYear "&amp;PartsMaster!$G58&amp;"&lt;/P&gt;&lt;P&gt;Condition: "&amp;PartsMaster!AB58&amp;"&lt;/P&gt;&lt;P&gt; (part source "&amp;PartsMaster!AD58&amp;")&lt;/P&gt;&lt;P&gt;Notes: "&amp;PartsMaster!AA58&amp;"&lt;/P&gt;"</f>
        <v>&lt;P&gt;Body Body panel&lt;/P&gt;&lt;P&gt;Jaguar part name BODY METAL PANELS AND SEALING/FIXED BODY PANELS - Tonneau panel&lt;/P&gt;&lt;P&gt;Product numbers FJA1320BE  FJA1320BE &lt;/P&gt;&lt;P&gt;Fits starting from VIN/ModelYear MY1996 until VIN/ModelYear MY2006&lt;/P&gt;&lt;P&gt;Condition: Dismantled from bottom &amp; engine damaged MY1997 XK8 Convertible VIN 0136xx&lt;/P&gt;&lt;P&gt; (part source KK)&lt;/P&gt;&lt;P&gt;Notes: Color Blue - One Small Dent&lt;/P&gt;</v>
      </c>
      <c r="AA62" s="20" t="s">
        <v>1171</v>
      </c>
      <c r="AC62" s="20">
        <v>0</v>
      </c>
      <c r="AD62" s="20">
        <v>0</v>
      </c>
      <c r="AE62" s="20" t="s">
        <v>1172</v>
      </c>
      <c r="AF62" s="20">
        <v>7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O62" s="20" t="s">
        <v>1173</v>
      </c>
      <c r="AR62" s="20">
        <v>0</v>
      </c>
      <c r="AS62" s="20">
        <v>10112</v>
      </c>
      <c r="AV62" s="20" t="s">
        <v>1174</v>
      </c>
      <c r="AX62" s="20">
        <v>62128510024</v>
      </c>
      <c r="AY62" s="20">
        <v>62035811024</v>
      </c>
      <c r="AZ62" s="20">
        <v>55187694024</v>
      </c>
      <c r="BA62" s="20" t="s">
        <v>1175</v>
      </c>
      <c r="BB62" s="20" t="s">
        <v>1176</v>
      </c>
      <c r="BC62" s="20" t="s">
        <v>1177</v>
      </c>
      <c r="BD62" s="20">
        <v>1</v>
      </c>
      <c r="BE62" s="20">
        <v>0</v>
      </c>
      <c r="BF62" s="20">
        <v>0</v>
      </c>
      <c r="BG62" s="20">
        <v>0</v>
      </c>
      <c r="BN62" s="20" t="s">
        <v>1178</v>
      </c>
      <c r="BV62" s="20">
        <v>0</v>
      </c>
      <c r="CL62" s="20">
        <v>0</v>
      </c>
      <c r="DD62" s="20" t="s">
        <v>1179</v>
      </c>
      <c r="DE62" s="20" t="s">
        <v>1179</v>
      </c>
      <c r="DI62" s="20">
        <v>0</v>
      </c>
      <c r="DP62" s="21" t="s">
        <v>1180</v>
      </c>
      <c r="DQ62" s="21" t="str">
        <f>PartsMaster!$A58</f>
        <v xml:space="preserve">FJA1320BE </v>
      </c>
      <c r="DR62" s="21" t="s">
        <v>1181</v>
      </c>
      <c r="DS62" s="21" t="str">
        <f>PartsMaster!$K59&amp;" "&amp;PartsMaster!L59&amp;" "&amp;PartsMaster!$M59</f>
        <v>Rear Right NA</v>
      </c>
    </row>
    <row r="63" spans="1:123" ht="30" hidden="1" x14ac:dyDescent="0.25">
      <c r="A63" s="20" t="s">
        <v>1166</v>
      </c>
      <c r="B63" s="20" t="s">
        <v>1167</v>
      </c>
      <c r="C63" s="20" t="s">
        <v>1168</v>
      </c>
      <c r="D63" s="21" t="str">
        <f>PartsMaster!B59&amp;" "&amp;PartsMaster!$C59</f>
        <v>Jaguar XK8 XKR X100 Trunk lid hinge</v>
      </c>
      <c r="E63" s="20">
        <v>3000</v>
      </c>
      <c r="F63" s="20" t="s">
        <v>1182</v>
      </c>
      <c r="H63" s="21" t="str">
        <f>PartsMaster!$Q59</f>
        <v>Trunk lid hinge</v>
      </c>
      <c r="I63" s="20">
        <v>9886</v>
      </c>
      <c r="K63" s="20">
        <v>0</v>
      </c>
      <c r="L63" s="20">
        <v>0</v>
      </c>
      <c r="M63" s="21">
        <f>PartsMaster!$D59</f>
        <v>1</v>
      </c>
      <c r="O63" s="20" t="s">
        <v>1169</v>
      </c>
      <c r="P63" s="23">
        <f>PartsMaster!$S59/1.45</f>
        <v>113.79310344827587</v>
      </c>
      <c r="S63" s="20">
        <v>30</v>
      </c>
      <c r="T63" s="20">
        <v>0</v>
      </c>
      <c r="U63" s="20" t="s">
        <v>1170</v>
      </c>
      <c r="Z63" s="26" t="str">
        <f>"&lt;P&gt;"&amp;PartsMaster!$I59&amp;" "&amp;PartsMaster!$H59&amp;"&lt;/P&gt;"&amp;"&lt;P&gt;Jaguar part name "&amp;PartsMaster!$E59&amp;"&lt;/P&gt;&lt;P&gt;Product numbers "&amp;PartsMaster!R59&amp;" "&amp;DQ63&amp;"&lt;/P&gt;&lt;P&gt;Fits starting from VIN/ModelYear "&amp;PartsMaster!$F59&amp;" until VIN/ModelYear "&amp;PartsMaster!$G59&amp;"&lt;/P&gt;&lt;P&gt;Condition: "&amp;PartsMaster!AB59&amp;"&lt;/P&gt;&lt;P&gt; (part source "&amp;PartsMaster!AD59&amp;")&lt;/P&gt;&lt;P&gt;Notes: "&amp;PartsMaster!AA59&amp;"&lt;/P&gt;"</f>
        <v>&lt;P&gt;Hinge Mount&lt;/P&gt;&lt;P&gt;Jaguar part name BODY METAL PANELS AND SEALING/BOLTED BODY PANELS&lt;/P&gt;&lt;P&gt;Product numbers FJA3026AD FJA3026AD&lt;/P&gt;&lt;P&gt;Fits starting from VIN/ModelYear  until VIN/ModelYear 023170&lt;/P&gt;&lt;P&gt;Condition: Dismantled from bottom &amp; engine damaged MY1997 XK8 Convertible VIN 0136xx&lt;/P&gt;&lt;P&gt; (part source KK)&lt;/P&gt;&lt;P&gt;Notes: Convertible&lt;/P&gt;</v>
      </c>
      <c r="AA63" s="20" t="s">
        <v>1171</v>
      </c>
      <c r="AC63" s="20">
        <v>0</v>
      </c>
      <c r="AD63" s="20">
        <v>0</v>
      </c>
      <c r="AE63" s="20" t="s">
        <v>1172</v>
      </c>
      <c r="AF63" s="20">
        <v>7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  <c r="AO63" s="20" t="s">
        <v>1173</v>
      </c>
      <c r="AR63" s="20">
        <v>0</v>
      </c>
      <c r="AS63" s="20">
        <v>10112</v>
      </c>
      <c r="AV63" s="20" t="s">
        <v>1174</v>
      </c>
      <c r="AX63" s="20">
        <v>62128510024</v>
      </c>
      <c r="AY63" s="20">
        <v>62035811024</v>
      </c>
      <c r="AZ63" s="20">
        <v>55187694024</v>
      </c>
      <c r="BA63" s="20" t="s">
        <v>1175</v>
      </c>
      <c r="BB63" s="20" t="s">
        <v>1176</v>
      </c>
      <c r="BC63" s="20" t="s">
        <v>1177</v>
      </c>
      <c r="BD63" s="20">
        <v>1</v>
      </c>
      <c r="BE63" s="20">
        <v>0</v>
      </c>
      <c r="BF63" s="20">
        <v>0</v>
      </c>
      <c r="BG63" s="20">
        <v>0</v>
      </c>
      <c r="BN63" s="20" t="s">
        <v>1178</v>
      </c>
      <c r="BV63" s="20">
        <v>0</v>
      </c>
      <c r="CL63" s="20">
        <v>0</v>
      </c>
      <c r="DD63" s="20" t="s">
        <v>1179</v>
      </c>
      <c r="DE63" s="20" t="s">
        <v>1179</v>
      </c>
      <c r="DI63" s="20">
        <v>0</v>
      </c>
      <c r="DP63" s="21" t="s">
        <v>1180</v>
      </c>
      <c r="DQ63" s="21" t="str">
        <f>PartsMaster!$A59</f>
        <v>FJA3026AD</v>
      </c>
      <c r="DR63" s="21" t="s">
        <v>1181</v>
      </c>
      <c r="DS63" s="21" t="str">
        <f>PartsMaster!$K60&amp;" "&amp;PartsMaster!L60&amp;" "&amp;PartsMaster!$M60</f>
        <v>Rear Left NA</v>
      </c>
    </row>
    <row r="64" spans="1:123" ht="30" hidden="1" x14ac:dyDescent="0.25">
      <c r="A64" s="20" t="s">
        <v>1166</v>
      </c>
      <c r="B64" s="20" t="s">
        <v>1167</v>
      </c>
      <c r="C64" s="20" t="s">
        <v>1168</v>
      </c>
      <c r="D64" s="21" t="str">
        <f>PartsMaster!B96&amp;" "&amp;PartsMaster!$C96</f>
        <v>Jaguar XK8 XKR X100 Seat  - Mechanism cover</v>
      </c>
      <c r="E64" s="20">
        <v>3000</v>
      </c>
      <c r="F64" s="20" t="s">
        <v>1182</v>
      </c>
      <c r="H64" s="21">
        <f>PartsMaster!$Q96</f>
        <v>0</v>
      </c>
      <c r="I64" s="20">
        <v>9886</v>
      </c>
      <c r="K64" s="20">
        <v>0</v>
      </c>
      <c r="L64" s="20">
        <v>0</v>
      </c>
      <c r="M64" s="21">
        <f>PartsMaster!$D96</f>
        <v>0</v>
      </c>
      <c r="O64" s="20" t="s">
        <v>1169</v>
      </c>
      <c r="P64" s="23">
        <f>PartsMaster!$S96/1.45</f>
        <v>0</v>
      </c>
      <c r="S64" s="20">
        <v>30</v>
      </c>
      <c r="T64" s="20">
        <v>0</v>
      </c>
      <c r="U64" s="20" t="s">
        <v>1170</v>
      </c>
      <c r="Z64" s="26" t="str">
        <f>"&lt;P&gt;"&amp;PartsMaster!$I96&amp;" "&amp;PartsMaster!$H96&amp;"&lt;/P&gt;"&amp;"&lt;P&gt;Jaguar part name "&amp;PartsMaster!$E96&amp;"&lt;/P&gt;&lt;P&gt;Product numbers "&amp;PartsMaster!R96&amp;" "&amp;DQ64&amp;"&lt;/P&gt;&lt;P&gt;Fits starting from VIN/ModelYear "&amp;PartsMaster!$F96&amp;" until VIN/ModelYear "&amp;PartsMaster!$G96&amp;"&lt;/P&gt;&lt;P&gt;Condition: "&amp;PartsMaster!AB96&amp;"&lt;/P&gt;&lt;P&gt; (part source "&amp;PartsMaster!AD96&amp;")&lt;/P&gt;&lt;P&gt;Notes: "&amp;PartsMaster!AA96&amp;"&lt;/P&gt;"</f>
        <v>&lt;P&gt;Cap / Cover Cap / Cover / Trim&lt;/P&gt;&lt;P&gt;Jaguar part name SEATING/FRONT SEATS, TRIM AND FITTINGS  - Sports trim - Mechanism cover&lt;/P&gt;&lt;P&gt;Product numbers  GJB4730AA/AGD 
GJB4730AAAGD &lt;/P&gt;&lt;P&gt;Fits starting from VIN/ModelYear 18108 until VIN/ModelYear -&lt;/P&gt;&lt;P&gt;Condition: &lt;/P&gt;&lt;P&gt; (part source )&lt;/P&gt;&lt;P&gt;Notes: &lt;/P&gt;</v>
      </c>
      <c r="AA64" s="20" t="s">
        <v>1171</v>
      </c>
      <c r="AC64" s="20">
        <v>0</v>
      </c>
      <c r="AD64" s="20">
        <v>0</v>
      </c>
      <c r="AE64" s="20" t="s">
        <v>1172</v>
      </c>
      <c r="AF64" s="20">
        <v>7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O64" s="20" t="s">
        <v>1173</v>
      </c>
      <c r="AR64" s="20">
        <v>0</v>
      </c>
      <c r="AS64" s="20">
        <v>10112</v>
      </c>
      <c r="AV64" s="20" t="s">
        <v>1174</v>
      </c>
      <c r="AX64" s="20">
        <v>62128510024</v>
      </c>
      <c r="AY64" s="20">
        <v>62035811024</v>
      </c>
      <c r="AZ64" s="20">
        <v>55187694024</v>
      </c>
      <c r="BA64" s="20" t="s">
        <v>1175</v>
      </c>
      <c r="BB64" s="20" t="s">
        <v>1176</v>
      </c>
      <c r="BC64" s="20" t="s">
        <v>1177</v>
      </c>
      <c r="BD64" s="20">
        <v>1</v>
      </c>
      <c r="BE64" s="20">
        <v>0</v>
      </c>
      <c r="BF64" s="20">
        <v>0</v>
      </c>
      <c r="BG64" s="20">
        <v>0</v>
      </c>
      <c r="BN64" s="20" t="s">
        <v>1178</v>
      </c>
      <c r="BV64" s="20">
        <v>0</v>
      </c>
      <c r="CL64" s="20">
        <v>0</v>
      </c>
      <c r="DD64" s="20" t="s">
        <v>1179</v>
      </c>
      <c r="DE64" s="20" t="s">
        <v>1179</v>
      </c>
      <c r="DI64" s="20">
        <v>0</v>
      </c>
      <c r="DP64" s="21" t="s">
        <v>1180</v>
      </c>
      <c r="DQ64" s="21" t="str">
        <f>PartsMaster!$A96</f>
        <v xml:space="preserve">GJB4730AA/AGD 
GJB4730AAAGD </v>
      </c>
      <c r="DR64" s="21" t="s">
        <v>1181</v>
      </c>
      <c r="DS64" s="21" t="str">
        <f>PartsMaster!$K97&amp;" "&amp;PartsMaster!L97&amp;" "&amp;PartsMaster!$M97</f>
        <v>Front Right Low</v>
      </c>
    </row>
    <row r="65" spans="1:123" ht="45" x14ac:dyDescent="0.25">
      <c r="A65" s="20" t="s">
        <v>1166</v>
      </c>
      <c r="B65" s="20" t="s">
        <v>1167</v>
      </c>
      <c r="C65" s="20" t="s">
        <v>1168</v>
      </c>
      <c r="D65" s="21" t="str">
        <f>PartsMaster!B288&amp;" "&amp;PartsMaster!$C288</f>
        <v>Jaguar XK8 XKR X100 XJ8 XJR X308 Engine Sump Pan Gasket</v>
      </c>
      <c r="E65" s="20">
        <v>3000</v>
      </c>
      <c r="F65" s="20" t="s">
        <v>1182</v>
      </c>
      <c r="H65" s="21" t="str">
        <f>PartsMaster!$Q288</f>
        <v>SUMP PAN GASKET</v>
      </c>
      <c r="I65" s="20">
        <v>9886</v>
      </c>
      <c r="K65" s="20">
        <v>0</v>
      </c>
      <c r="L65" s="20">
        <v>0</v>
      </c>
      <c r="M65" s="21">
        <f>PartsMaster!$D288</f>
        <v>0</v>
      </c>
      <c r="O65" s="20" t="s">
        <v>1169</v>
      </c>
      <c r="P65" s="23">
        <f>PartsMaster!$S288/1.45</f>
        <v>0</v>
      </c>
      <c r="S65" s="20">
        <v>30</v>
      </c>
      <c r="T65" s="20">
        <v>0</v>
      </c>
      <c r="U65" s="20" t="s">
        <v>1170</v>
      </c>
      <c r="Z65" s="26" t="str">
        <f>"&lt;P&gt;"&amp;PartsMaster!$I288&amp;" "&amp;PartsMaster!$H288&amp;"&lt;/P&gt;"&amp;"&lt;P&gt;Jaguar part name "&amp;PartsMaster!$E288&amp;"&lt;/P&gt;&lt;P&gt;Product numbers "&amp;PartsMaster!R288&amp;" "&amp;DQ65&amp;"&lt;/P&gt;&lt;P&gt;Fits starting from VIN/ModelYear "&amp;PartsMaster!$F288&amp;" until VIN/ModelYear "&amp;PartsMaster!$G288&amp;"&lt;/P&gt;&lt;P&gt;Condition: "&amp;PartsMaster!AB288&amp;"&lt;/P&gt;&lt;P&gt; (part source "&amp;PartsMaster!AD288&amp;")&lt;/P&gt;&lt;P&gt;Notes: "&amp;PartsMaster!AA288&amp;"&lt;/P&gt;"</f>
        <v>&lt;P&gt;Engine Oil Gasket / Seal / O-Ring&lt;/P&gt;&lt;P&gt;Jaguar part name &lt;/P&gt;&lt;P&gt;Product numbers NCA1730AD NCA1730AD&lt;/P&gt;&lt;P&gt;Fits starting from VIN/ModelYear XK8 / XKR 4.0 V8 1996 
X308 XJ8 XJR 3.2 / 4.0 V8 1998 until VIN/ModelYear XK8 / XKR 4.0 V8 2006
X308 XJ8 XJR 3.2 / 4.0 V8 2002&lt;/P&gt;&lt;P&gt;Condition: British Parts&lt;/P&gt;&lt;P&gt; (part source )&lt;/P&gt;&lt;P&gt;Notes: &lt;/P&gt;</v>
      </c>
      <c r="AA65" s="20" t="s">
        <v>1171</v>
      </c>
      <c r="AC65" s="20">
        <v>0</v>
      </c>
      <c r="AD65" s="20">
        <v>0</v>
      </c>
      <c r="AE65" s="20" t="s">
        <v>1172</v>
      </c>
      <c r="AF65" s="20">
        <v>7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O65" s="20" t="s">
        <v>1173</v>
      </c>
      <c r="AR65" s="20">
        <v>0</v>
      </c>
      <c r="AS65" s="20">
        <v>10112</v>
      </c>
      <c r="AV65" s="20" t="s">
        <v>1174</v>
      </c>
      <c r="AX65" s="20">
        <v>62128510024</v>
      </c>
      <c r="AY65" s="20">
        <v>62035811024</v>
      </c>
      <c r="AZ65" s="20">
        <v>55187694024</v>
      </c>
      <c r="BA65" s="20" t="s">
        <v>1175</v>
      </c>
      <c r="BB65" s="20" t="s">
        <v>1176</v>
      </c>
      <c r="BC65" s="20" t="s">
        <v>1177</v>
      </c>
      <c r="BD65" s="20">
        <v>1</v>
      </c>
      <c r="BE65" s="20">
        <v>0</v>
      </c>
      <c r="BF65" s="20">
        <v>0</v>
      </c>
      <c r="BG65" s="20">
        <v>0</v>
      </c>
      <c r="BN65" s="20" t="s">
        <v>1178</v>
      </c>
      <c r="BV65" s="20">
        <v>0</v>
      </c>
      <c r="CL65" s="20">
        <v>0</v>
      </c>
      <c r="DD65" s="20" t="s">
        <v>1179</v>
      </c>
      <c r="DE65" s="20" t="s">
        <v>1179</v>
      </c>
      <c r="DI65" s="20">
        <v>0</v>
      </c>
      <c r="DP65" s="21" t="s">
        <v>1180</v>
      </c>
      <c r="DQ65" s="21" t="str">
        <f>PartsMaster!$A288</f>
        <v>NCA1730AD</v>
      </c>
      <c r="DR65" s="21" t="s">
        <v>1181</v>
      </c>
      <c r="DS65" s="21" t="str">
        <f>PartsMaster!$K289&amp;" "&amp;PartsMaster!L289&amp;" "&amp;PartsMaster!$M289</f>
        <v xml:space="preserve">  </v>
      </c>
    </row>
    <row r="66" spans="1:123" ht="90" hidden="1" x14ac:dyDescent="0.25">
      <c r="A66" s="20" t="s">
        <v>1166</v>
      </c>
      <c r="B66" s="20" t="s">
        <v>1167</v>
      </c>
      <c r="C66" s="20" t="s">
        <v>1168</v>
      </c>
      <c r="D66" s="21" t="str">
        <f>PartsMaster!B62&amp;" "&amp;PartsMaster!$C62</f>
        <v>Jaguar XK8 XKR X100 Door</v>
      </c>
      <c r="E66" s="20">
        <v>3000</v>
      </c>
      <c r="F66" s="20" t="s">
        <v>1182</v>
      </c>
      <c r="H66" s="21" t="str">
        <f>PartsMaster!$Q62</f>
        <v>Door - Left</v>
      </c>
      <c r="I66" s="20">
        <v>9886</v>
      </c>
      <c r="K66" s="20">
        <v>0</v>
      </c>
      <c r="L66" s="20">
        <v>0</v>
      </c>
      <c r="M66" s="21">
        <f>PartsMaster!$D62</f>
        <v>1</v>
      </c>
      <c r="O66" s="20" t="s">
        <v>1169</v>
      </c>
      <c r="P66" s="23">
        <f>PartsMaster!$S62/1.45</f>
        <v>196.55172413793105</v>
      </c>
      <c r="S66" s="20">
        <v>30</v>
      </c>
      <c r="T66" s="20">
        <v>0</v>
      </c>
      <c r="U66" s="20" t="s">
        <v>1170</v>
      </c>
      <c r="Z66" s="26" t="str">
        <f>"&lt;P&gt;"&amp;PartsMaster!$I62&amp;" "&amp;PartsMaster!$H62&amp;"&lt;/P&gt;"&amp;"&lt;P&gt;Jaguar part name "&amp;PartsMaster!$E62&amp;"&lt;/P&gt;&lt;P&gt;Product numbers "&amp;PartsMaster!R62&amp;" "&amp;DQ66&amp;"&lt;/P&gt;&lt;P&gt;Fits starting from VIN/ModelYear "&amp;PartsMaster!$F62&amp;" until VIN/ModelYear "&amp;PartsMaster!$G62&amp;"&lt;/P&gt;&lt;P&gt;Condition: "&amp;PartsMaster!AB62&amp;"&lt;/P&gt;&lt;P&gt; (part source "&amp;PartsMaster!AD62&amp;")&lt;/P&gt;&lt;P&gt;Notes: "&amp;PartsMaster!AA62&amp;"&lt;/P&gt;"</f>
        <v>&lt;P&gt;Body Body panel&lt;/P&gt;&lt;P&gt;Jaguar part name BODY METAL PANELS AND SEALING/BOLTED BODY PANELS&lt;/P&gt;&lt;P&gt;Product numbers FJA3029AE FJA3029AE&lt;/P&gt;&lt;P&gt;Fits starting from VIN/ModelYear MY1996 until VIN/ModelYear 042775&lt;/P&gt;&lt;P&gt;Condition: Dismantled from bottom &amp; engine damaged MY1997 XK8 Convertible VIN 0136xx&lt;/P&gt;&lt;P&gt; (part source KK)&lt;/P&gt;&lt;P&gt;Notes: Convertible&lt;/P&gt;</v>
      </c>
      <c r="AA66" s="20" t="s">
        <v>1171</v>
      </c>
      <c r="AC66" s="20">
        <v>0</v>
      </c>
      <c r="AD66" s="20">
        <v>0</v>
      </c>
      <c r="AE66" s="20" t="s">
        <v>1172</v>
      </c>
      <c r="AF66" s="20">
        <v>7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O66" s="20" t="s">
        <v>1173</v>
      </c>
      <c r="AR66" s="20">
        <v>0</v>
      </c>
      <c r="AS66" s="20">
        <v>10112</v>
      </c>
      <c r="AV66" s="20" t="s">
        <v>1174</v>
      </c>
      <c r="AX66" s="20">
        <v>62128510024</v>
      </c>
      <c r="AY66" s="20">
        <v>62035811024</v>
      </c>
      <c r="AZ66" s="20">
        <v>55187694024</v>
      </c>
      <c r="BA66" s="20" t="s">
        <v>1175</v>
      </c>
      <c r="BB66" s="20" t="s">
        <v>1176</v>
      </c>
      <c r="BC66" s="20" t="s">
        <v>1177</v>
      </c>
      <c r="BD66" s="20">
        <v>1</v>
      </c>
      <c r="BE66" s="20">
        <v>0</v>
      </c>
      <c r="BF66" s="20">
        <v>0</v>
      </c>
      <c r="BG66" s="20">
        <v>0</v>
      </c>
      <c r="BN66" s="20" t="s">
        <v>1178</v>
      </c>
      <c r="BV66" s="20">
        <v>0</v>
      </c>
      <c r="CL66" s="20">
        <v>0</v>
      </c>
      <c r="DD66" s="20" t="s">
        <v>1179</v>
      </c>
      <c r="DE66" s="20" t="s">
        <v>1179</v>
      </c>
      <c r="DI66" s="20">
        <v>0</v>
      </c>
      <c r="DP66" s="21" t="s">
        <v>1180</v>
      </c>
      <c r="DQ66" s="21" t="str">
        <f>PartsMaster!$A62</f>
        <v>FJA3029AE</v>
      </c>
      <c r="DR66" s="21" t="s">
        <v>1181</v>
      </c>
      <c r="DS66" s="21" t="str">
        <f>PartsMaster!$K63&amp;" "&amp;PartsMaster!L63&amp;" "&amp;PartsMaster!$M63</f>
        <v>Rear Center NA</v>
      </c>
    </row>
    <row r="67" spans="1:123" ht="30" hidden="1" x14ac:dyDescent="0.25">
      <c r="A67" s="20" t="s">
        <v>1166</v>
      </c>
      <c r="B67" s="20" t="s">
        <v>1167</v>
      </c>
      <c r="C67" s="20" t="s">
        <v>1168</v>
      </c>
      <c r="D67" s="21" t="str">
        <f>PartsMaster!B30&amp;" "&amp;PartsMaster!$C30</f>
        <v>Jaguar XK8 XKR X100 XJ6 X300 XJ8 X308 Bearing Hub Pivot</v>
      </c>
      <c r="E67" s="20">
        <v>3000</v>
      </c>
      <c r="F67" s="20" t="s">
        <v>1182</v>
      </c>
      <c r="H67" s="21" t="str">
        <f>PartsMaster!$Q30</f>
        <v>Hub Pivot Bearing</v>
      </c>
      <c r="I67" s="20">
        <v>9886</v>
      </c>
      <c r="K67" s="20">
        <v>0</v>
      </c>
      <c r="L67" s="20">
        <v>0</v>
      </c>
      <c r="M67" s="21">
        <f>PartsMaster!$D30</f>
        <v>2</v>
      </c>
      <c r="O67" s="20" t="s">
        <v>1169</v>
      </c>
      <c r="P67" s="23">
        <f>PartsMaster!$S30/1.45</f>
        <v>10.344827586206897</v>
      </c>
      <c r="S67" s="20">
        <v>30</v>
      </c>
      <c r="T67" s="20">
        <v>0</v>
      </c>
      <c r="U67" s="20" t="s">
        <v>1170</v>
      </c>
      <c r="Z67" s="26" t="str">
        <f>"&lt;P&gt;"&amp;PartsMaster!$I30&amp;" "&amp;PartsMaster!$H30&amp;"&lt;/P&gt;"&amp;"&lt;P&gt;Jaguar part name "&amp;PartsMaster!$E30&amp;"&lt;/P&gt;&lt;P&gt;Product numbers "&amp;PartsMaster!R30&amp;" "&amp;DQ67&amp;"&lt;/P&gt;&lt;P&gt;Fits starting from VIN/ModelYear "&amp;PartsMaster!$F30&amp;" until VIN/ModelYear "&amp;PartsMaster!$G30&amp;"&lt;/P&gt;&lt;P&gt;Condition: "&amp;PartsMaster!AB30&amp;"&lt;/P&gt;&lt;P&gt; (part source "&amp;PartsMaster!AD30&amp;")&lt;/P&gt;&lt;P&gt;Notes: "&amp;PartsMaster!AA30&amp;"&lt;/P&gt;"</f>
        <v>&lt;P&gt;Bearing Bearing&lt;/P&gt;&lt;P&gt;Jaguar part name STEERING AND SUSPENSION/HUB AND CARRIER-REAR  - Taper roller bearing&lt;/P&gt;&lt;P&gt;Product numbers CAC4610 CAC4610&lt;/P&gt;&lt;P&gt;Fits starting from VIN/ModelYear  until VIN/ModelYear &lt;/P&gt;&lt;P&gt;Condition: new extra spare&lt;/P&gt;&lt;P&gt; (part source JP)&lt;/P&gt;&lt;P&gt;Notes: &lt;/P&gt;</v>
      </c>
      <c r="AA67" s="20" t="s">
        <v>1171</v>
      </c>
      <c r="AC67" s="20">
        <v>0</v>
      </c>
      <c r="AD67" s="20">
        <v>0</v>
      </c>
      <c r="AE67" s="20" t="s">
        <v>1172</v>
      </c>
      <c r="AF67" s="20">
        <v>7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O67" s="20" t="s">
        <v>1173</v>
      </c>
      <c r="AR67" s="20">
        <v>0</v>
      </c>
      <c r="AS67" s="20">
        <v>10112</v>
      </c>
      <c r="AV67" s="20" t="s">
        <v>1174</v>
      </c>
      <c r="AX67" s="20">
        <v>62128510024</v>
      </c>
      <c r="AY67" s="20">
        <v>62035811024</v>
      </c>
      <c r="AZ67" s="20">
        <v>55187694024</v>
      </c>
      <c r="BA67" s="20" t="s">
        <v>1175</v>
      </c>
      <c r="BB67" s="20" t="s">
        <v>1176</v>
      </c>
      <c r="BC67" s="20" t="s">
        <v>1177</v>
      </c>
      <c r="BD67" s="20">
        <v>1</v>
      </c>
      <c r="BE67" s="20">
        <v>0</v>
      </c>
      <c r="BF67" s="20">
        <v>0</v>
      </c>
      <c r="BG67" s="20">
        <v>0</v>
      </c>
      <c r="BN67" s="20" t="s">
        <v>1178</v>
      </c>
      <c r="BV67" s="20">
        <v>0</v>
      </c>
      <c r="CL67" s="20">
        <v>0</v>
      </c>
      <c r="DD67" s="20" t="s">
        <v>1179</v>
      </c>
      <c r="DE67" s="20" t="s">
        <v>1179</v>
      </c>
      <c r="DI67" s="20">
        <v>0</v>
      </c>
      <c r="DP67" s="21" t="s">
        <v>1180</v>
      </c>
      <c r="DQ67" s="21" t="str">
        <f>PartsMaster!$A30</f>
        <v>CAC4610</v>
      </c>
      <c r="DR67" s="21" t="s">
        <v>1181</v>
      </c>
      <c r="DS67" s="21" t="str">
        <f>PartsMaster!$K31&amp;" "&amp;PartsMaster!L31&amp;" "&amp;PartsMaster!$M31</f>
        <v xml:space="preserve">Rear Left/Right </v>
      </c>
    </row>
    <row r="68" spans="1:123" ht="30" x14ac:dyDescent="0.25">
      <c r="A68" s="20" t="s">
        <v>1166</v>
      </c>
      <c r="B68" s="20" t="s">
        <v>1167</v>
      </c>
      <c r="C68" s="20" t="s">
        <v>1168</v>
      </c>
      <c r="D68" s="21" t="str">
        <f>PartsMaster!B74&amp;" "&amp;PartsMaster!$C74</f>
        <v>Jaguar XK8 XKR X100 Door waist seal</v>
      </c>
      <c r="E68" s="20">
        <v>3000</v>
      </c>
      <c r="F68" s="20" t="s">
        <v>1182</v>
      </c>
      <c r="H68" s="21" t="str">
        <f>PartsMaster!$Q74</f>
        <v>Door waist seal</v>
      </c>
      <c r="I68" s="20">
        <v>9886</v>
      </c>
      <c r="K68" s="20">
        <v>0</v>
      </c>
      <c r="L68" s="20">
        <v>0</v>
      </c>
      <c r="M68" s="21">
        <f>PartsMaster!$D74</f>
        <v>0</v>
      </c>
      <c r="O68" s="20" t="s">
        <v>1169</v>
      </c>
      <c r="P68" s="23">
        <f>PartsMaster!$S74/1.45</f>
        <v>65.517241379310349</v>
      </c>
      <c r="S68" s="20">
        <v>30</v>
      </c>
      <c r="T68" s="20">
        <v>0</v>
      </c>
      <c r="U68" s="20" t="s">
        <v>1170</v>
      </c>
      <c r="Z68" s="26" t="str">
        <f>"&lt;P&gt;"&amp;PartsMaster!$I74&amp;" "&amp;PartsMaster!$H74&amp;"&lt;/P&gt;"&amp;"&lt;P&gt;Jaguar part name "&amp;PartsMaster!$E74&amp;"&lt;/P&gt;&lt;P&gt;Product numbers "&amp;PartsMaster!R74&amp;" "&amp;DQ68&amp;"&lt;/P&gt;&lt;P&gt;Fits starting from VIN/ModelYear "&amp;PartsMaster!$F74&amp;" until VIN/ModelYear "&amp;PartsMaster!$G74&amp;"&lt;/P&gt;&lt;P&gt;Condition: "&amp;PartsMaster!AB74&amp;"&lt;/P&gt;&lt;P&gt; (part source "&amp;PartsMaster!AD74&amp;")&lt;/P&gt;&lt;P&gt;Notes: "&amp;PartsMaster!AA74&amp;"&lt;/P&gt;"</f>
        <v>&lt;P&gt;Seal Seal / Insulation&lt;/P&gt;&lt;P&gt;Jaguar part name BODY CLOSURES AND SEALING/DOOR SEALS -Waist seal&lt;/P&gt;&lt;P&gt;Product numbers GJA1710AF GJA1710AF&lt;/P&gt;&lt;P&gt;Fits starting from VIN/ModelYear MY1996 until VIN/ModelYear 033152&lt;/P&gt;&lt;P&gt;Condition: From Front crashed MY1997 VIN 0049xx&lt;/P&gt;&lt;P&gt; (part source RD)&lt;/P&gt;&lt;P&gt;Notes: Like a new!&lt;/P&gt;</v>
      </c>
      <c r="AA68" s="20" t="s">
        <v>1171</v>
      </c>
      <c r="AC68" s="20">
        <v>0</v>
      </c>
      <c r="AD68" s="20">
        <v>0</v>
      </c>
      <c r="AE68" s="20" t="s">
        <v>1172</v>
      </c>
      <c r="AF68" s="20">
        <v>7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O68" s="20" t="s">
        <v>1173</v>
      </c>
      <c r="AR68" s="20">
        <v>0</v>
      </c>
      <c r="AS68" s="20">
        <v>10112</v>
      </c>
      <c r="AV68" s="20" t="s">
        <v>1174</v>
      </c>
      <c r="AX68" s="20">
        <v>62128510024</v>
      </c>
      <c r="AY68" s="20">
        <v>62035811024</v>
      </c>
      <c r="AZ68" s="20">
        <v>55187694024</v>
      </c>
      <c r="BA68" s="20" t="s">
        <v>1175</v>
      </c>
      <c r="BB68" s="20" t="s">
        <v>1176</v>
      </c>
      <c r="BC68" s="20" t="s">
        <v>1177</v>
      </c>
      <c r="BD68" s="20">
        <v>1</v>
      </c>
      <c r="BE68" s="20">
        <v>0</v>
      </c>
      <c r="BF68" s="20">
        <v>0</v>
      </c>
      <c r="BG68" s="20">
        <v>0</v>
      </c>
      <c r="BN68" s="20" t="s">
        <v>1178</v>
      </c>
      <c r="BV68" s="20">
        <v>0</v>
      </c>
      <c r="CL68" s="20">
        <v>0</v>
      </c>
      <c r="DD68" s="20" t="s">
        <v>1179</v>
      </c>
      <c r="DE68" s="20" t="s">
        <v>1179</v>
      </c>
      <c r="DI68" s="20">
        <v>0</v>
      </c>
      <c r="DP68" s="21" t="s">
        <v>1180</v>
      </c>
      <c r="DQ68" s="21" t="str">
        <f>PartsMaster!$A74</f>
        <v>GJA1710AF</v>
      </c>
      <c r="DR68" s="21" t="s">
        <v>1181</v>
      </c>
      <c r="DS68" s="21" t="str">
        <f>PartsMaster!$K75&amp;" "&amp;PartsMaster!L75&amp;" "&amp;PartsMaster!$M75</f>
        <v xml:space="preserve">Center Right </v>
      </c>
    </row>
    <row r="69" spans="1:123" ht="30" hidden="1" x14ac:dyDescent="0.25">
      <c r="A69" s="20" t="s">
        <v>1166</v>
      </c>
      <c r="B69" s="20" t="s">
        <v>1167</v>
      </c>
      <c r="C69" s="20" t="s">
        <v>1168</v>
      </c>
      <c r="D69" s="21" t="str">
        <f>PartsMaster!B65&amp;" "&amp;PartsMaster!$C65</f>
        <v>Jaguar XK8 XKR X100 Seat belt webbing retainer</v>
      </c>
      <c r="E69" s="20">
        <v>3000</v>
      </c>
      <c r="F69" s="20" t="s">
        <v>1182</v>
      </c>
      <c r="H69" s="21" t="str">
        <f>PartsMaster!$Q65</f>
        <v>RETAINER-SEA</v>
      </c>
      <c r="I69" s="20">
        <v>9886</v>
      </c>
      <c r="K69" s="20">
        <v>0</v>
      </c>
      <c r="L69" s="20">
        <v>0</v>
      </c>
      <c r="M69" s="21">
        <f>PartsMaster!$D65</f>
        <v>0</v>
      </c>
      <c r="O69" s="20" t="s">
        <v>1169</v>
      </c>
      <c r="P69" s="23">
        <f>PartsMaster!$S65/1.45</f>
        <v>0</v>
      </c>
      <c r="S69" s="20">
        <v>30</v>
      </c>
      <c r="T69" s="20">
        <v>0</v>
      </c>
      <c r="U69" s="20" t="s">
        <v>1170</v>
      </c>
      <c r="Z69" s="26" t="str">
        <f>"&lt;P&gt;"&amp;PartsMaster!$I65&amp;" "&amp;PartsMaster!$H65&amp;"&lt;/P&gt;"&amp;"&lt;P&gt;Jaguar part name "&amp;PartsMaster!$E65&amp;"&lt;/P&gt;&lt;P&gt;Product numbers "&amp;PartsMaster!R65&amp;" "&amp;DQ69&amp;"&lt;/P&gt;&lt;P&gt;Fits starting from VIN/ModelYear "&amp;PartsMaster!$F65&amp;" until VIN/ModelYear "&amp;PartsMaster!$G65&amp;"&lt;/P&gt;&lt;P&gt;Condition: "&amp;PartsMaster!AB65&amp;"&lt;/P&gt;&lt;P&gt; (part source "&amp;PartsMaster!AD65&amp;")&lt;/P&gt;&lt;P&gt;Notes: "&amp;PartsMaster!AA65&amp;"&lt;/P&gt;"</f>
        <v>&lt;P&gt; &lt;/P&gt;&lt;P&gt;Jaguar part name &lt;/P&gt;&lt;P&gt;Product numbers GJA 2447AAAGD GJA 2447AAAGD&lt;/P&gt;&lt;P&gt;Fits starting from VIN/ModelYear  until VIN/ModelYear &lt;/P&gt;&lt;P&gt;Condition: BritishParts&lt;/P&gt;&lt;P&gt; (part source )&lt;/P&gt;&lt;P&gt;Notes: &lt;/P&gt;</v>
      </c>
      <c r="AA69" s="20" t="s">
        <v>1171</v>
      </c>
      <c r="AC69" s="20">
        <v>0</v>
      </c>
      <c r="AD69" s="20">
        <v>0</v>
      </c>
      <c r="AE69" s="20" t="s">
        <v>1172</v>
      </c>
      <c r="AF69" s="20">
        <v>7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O69" s="20" t="s">
        <v>1173</v>
      </c>
      <c r="AR69" s="20">
        <v>0</v>
      </c>
      <c r="AS69" s="20">
        <v>10112</v>
      </c>
      <c r="AV69" s="20" t="s">
        <v>1174</v>
      </c>
      <c r="AX69" s="20">
        <v>62128510024</v>
      </c>
      <c r="AY69" s="20">
        <v>62035811024</v>
      </c>
      <c r="AZ69" s="20">
        <v>55187694024</v>
      </c>
      <c r="BA69" s="20" t="s">
        <v>1175</v>
      </c>
      <c r="BB69" s="20" t="s">
        <v>1176</v>
      </c>
      <c r="BC69" s="20" t="s">
        <v>1177</v>
      </c>
      <c r="BD69" s="20">
        <v>1</v>
      </c>
      <c r="BE69" s="20">
        <v>0</v>
      </c>
      <c r="BF69" s="20">
        <v>0</v>
      </c>
      <c r="BG69" s="20">
        <v>0</v>
      </c>
      <c r="BN69" s="20" t="s">
        <v>1178</v>
      </c>
      <c r="BV69" s="20">
        <v>0</v>
      </c>
      <c r="CL69" s="20">
        <v>0</v>
      </c>
      <c r="DD69" s="20" t="s">
        <v>1179</v>
      </c>
      <c r="DE69" s="20" t="s">
        <v>1179</v>
      </c>
      <c r="DI69" s="20">
        <v>0</v>
      </c>
      <c r="DP69" s="21" t="s">
        <v>1180</v>
      </c>
      <c r="DQ69" s="21" t="str">
        <f>PartsMaster!$A65</f>
        <v>GJA 2447AAAGD</v>
      </c>
      <c r="DR69" s="21" t="s">
        <v>1181</v>
      </c>
      <c r="DS69" s="21" t="str">
        <f>PartsMaster!$K66&amp;" "&amp;PartsMaster!L66&amp;" "&amp;PartsMaster!$M66</f>
        <v>Front Right N/A</v>
      </c>
    </row>
    <row r="70" spans="1:123" ht="30" hidden="1" x14ac:dyDescent="0.25">
      <c r="A70" s="20" t="s">
        <v>1166</v>
      </c>
      <c r="B70" s="20" t="s">
        <v>1167</v>
      </c>
      <c r="C70" s="20" t="s">
        <v>1168</v>
      </c>
      <c r="D70" s="21" t="str">
        <f>PartsMaster!B66&amp;" "&amp;PartsMaster!$C66</f>
        <v>Jaguar XK8 XKR X100 Window Glass Door</v>
      </c>
      <c r="E70" s="20">
        <v>3000</v>
      </c>
      <c r="F70" s="20" t="s">
        <v>1182</v>
      </c>
      <c r="H70" s="21" t="str">
        <f>PartsMaster!$Q66</f>
        <v>Window Glass Door</v>
      </c>
      <c r="I70" s="20">
        <v>9886</v>
      </c>
      <c r="K70" s="20">
        <v>0</v>
      </c>
      <c r="L70" s="20">
        <v>0</v>
      </c>
      <c r="M70" s="21">
        <f>PartsMaster!$D66</f>
        <v>1</v>
      </c>
      <c r="O70" s="20" t="s">
        <v>1169</v>
      </c>
      <c r="P70" s="23">
        <f>PartsMaster!$S66/1.45</f>
        <v>113.79310344827587</v>
      </c>
      <c r="S70" s="20">
        <v>30</v>
      </c>
      <c r="T70" s="20">
        <v>0</v>
      </c>
      <c r="U70" s="20" t="s">
        <v>1170</v>
      </c>
      <c r="Z70" s="26" t="str">
        <f>"&lt;P&gt;"&amp;PartsMaster!$I66&amp;" "&amp;PartsMaster!$H66&amp;"&lt;/P&gt;"&amp;"&lt;P&gt;Jaguar part name "&amp;PartsMaster!$E66&amp;"&lt;/P&gt;&lt;P&gt;Product numbers "&amp;PartsMaster!R66&amp;" "&amp;DQ70&amp;"&lt;/P&gt;&lt;P&gt;Fits starting from VIN/ModelYear "&amp;PartsMaster!$F66&amp;" until VIN/ModelYear "&amp;PartsMaster!$G66&amp;"&lt;/P&gt;&lt;P&gt;Condition: "&amp;PartsMaster!AB66&amp;"&lt;/P&gt;&lt;P&gt; (part source "&amp;PartsMaster!AD66&amp;")&lt;/P&gt;&lt;P&gt;Notes: "&amp;PartsMaster!AA66&amp;"&lt;/P&gt;"</f>
        <v>&lt;P&gt;Windows Glass&lt;/P&gt;&lt;P&gt;Jaguar part name BODY CLOSURES AND SEALING/DOOR GLASSES AND FRAMES - Door glass and carrier - Convertible - RH&lt;/P&gt;&lt;P&gt;Product numbers GJA1000BG GJA1000BG&lt;/P&gt;&lt;P&gt;Fits starting from VIN/ModelYear MY1996 until VIN/ModelYear 042775&lt;/P&gt;&lt;P&gt;Condition: Dismantled from bottom &amp; engine damaged MY1997 XK8 Convertible VIN 0136xx&lt;/P&gt;&lt;P&gt; (part source KK)&lt;/P&gt;&lt;P&gt;Notes: &lt;/P&gt;</v>
      </c>
      <c r="AA70" s="20" t="s">
        <v>1171</v>
      </c>
      <c r="AC70" s="20">
        <v>0</v>
      </c>
      <c r="AD70" s="20">
        <v>0</v>
      </c>
      <c r="AE70" s="20" t="s">
        <v>1172</v>
      </c>
      <c r="AF70" s="20">
        <v>7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O70" s="20" t="s">
        <v>1173</v>
      </c>
      <c r="AR70" s="20">
        <v>0</v>
      </c>
      <c r="AS70" s="20">
        <v>10112</v>
      </c>
      <c r="AV70" s="20" t="s">
        <v>1174</v>
      </c>
      <c r="AX70" s="20">
        <v>62128510024</v>
      </c>
      <c r="AY70" s="20">
        <v>62035811024</v>
      </c>
      <c r="AZ70" s="20">
        <v>55187694024</v>
      </c>
      <c r="BA70" s="20" t="s">
        <v>1175</v>
      </c>
      <c r="BB70" s="20" t="s">
        <v>1176</v>
      </c>
      <c r="BC70" s="20" t="s">
        <v>1177</v>
      </c>
      <c r="BD70" s="20">
        <v>1</v>
      </c>
      <c r="BE70" s="20">
        <v>0</v>
      </c>
      <c r="BF70" s="20">
        <v>0</v>
      </c>
      <c r="BG70" s="20">
        <v>0</v>
      </c>
      <c r="BN70" s="20" t="s">
        <v>1178</v>
      </c>
      <c r="BV70" s="20">
        <v>0</v>
      </c>
      <c r="CL70" s="20">
        <v>0</v>
      </c>
      <c r="DD70" s="20" t="s">
        <v>1179</v>
      </c>
      <c r="DE70" s="20" t="s">
        <v>1179</v>
      </c>
      <c r="DI70" s="20">
        <v>0</v>
      </c>
      <c r="DP70" s="21" t="s">
        <v>1180</v>
      </c>
      <c r="DQ70" s="21" t="str">
        <f>PartsMaster!$A66</f>
        <v>GJA1000BG</v>
      </c>
      <c r="DR70" s="21" t="s">
        <v>1181</v>
      </c>
      <c r="DS70" s="21" t="str">
        <f>PartsMaster!$K67&amp;" "&amp;PartsMaster!L67&amp;" "&amp;PartsMaster!$M67</f>
        <v xml:space="preserve">Front Right </v>
      </c>
    </row>
    <row r="71" spans="1:123" ht="30" hidden="1" x14ac:dyDescent="0.25">
      <c r="A71" s="20" t="s">
        <v>1166</v>
      </c>
      <c r="B71" s="20" t="s">
        <v>1167</v>
      </c>
      <c r="C71" s="20" t="s">
        <v>1168</v>
      </c>
      <c r="D71" s="21" t="str">
        <f>PartsMaster!B67&amp;" "&amp;PartsMaster!$C67</f>
        <v>Jaguar XK8 XKR X100 Glass guide frame</v>
      </c>
      <c r="E71" s="20">
        <v>3000</v>
      </c>
      <c r="F71" s="20" t="s">
        <v>1182</v>
      </c>
      <c r="H71" s="21" t="str">
        <f>PartsMaster!$Q67</f>
        <v>Glass guide frame</v>
      </c>
      <c r="I71" s="20">
        <v>9886</v>
      </c>
      <c r="K71" s="20">
        <v>0</v>
      </c>
      <c r="L71" s="20">
        <v>0</v>
      </c>
      <c r="M71" s="21">
        <f>PartsMaster!$D67</f>
        <v>1</v>
      </c>
      <c r="O71" s="20" t="s">
        <v>1169</v>
      </c>
      <c r="P71" s="23">
        <f>PartsMaster!$S67/1.45</f>
        <v>37.931034482758619</v>
      </c>
      <c r="S71" s="20">
        <v>30</v>
      </c>
      <c r="T71" s="20">
        <v>0</v>
      </c>
      <c r="U71" s="20" t="s">
        <v>1170</v>
      </c>
      <c r="Z71" s="26" t="str">
        <f>"&lt;P&gt;"&amp;PartsMaster!$I67&amp;" "&amp;PartsMaster!$H67&amp;"&lt;/P&gt;"&amp;"&lt;P&gt;Jaguar part name "&amp;PartsMaster!$E67&amp;"&lt;/P&gt;&lt;P&gt;Product numbers "&amp;PartsMaster!R67&amp;" "&amp;DQ71&amp;"&lt;/P&gt;&lt;P&gt;Fits starting from VIN/ModelYear "&amp;PartsMaster!$F67&amp;" until VIN/ModelYear "&amp;PartsMaster!$G67&amp;"&lt;/P&gt;&lt;P&gt;Condition: "&amp;PartsMaster!AB67&amp;"&lt;/P&gt;&lt;P&gt; (part source "&amp;PartsMaster!AD67&amp;")&lt;/P&gt;&lt;P&gt;Notes: "&amp;PartsMaster!AA67&amp;"&lt;/P&gt;"</f>
        <v>&lt;P&gt;Glass guide rail&lt;/P&gt;&lt;P&gt;Jaguar part name BODY CLOSURES AND SEALING/DOOR GLASSES AND FRAMES - guide rail&lt;/P&gt;&lt;P&gt;Product numbers GJA1014AF GJA1014AF&lt;/P&gt;&lt;P&gt;Fits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71" s="20" t="s">
        <v>1171</v>
      </c>
      <c r="AC71" s="20">
        <v>0</v>
      </c>
      <c r="AD71" s="20">
        <v>0</v>
      </c>
      <c r="AE71" s="20" t="s">
        <v>1172</v>
      </c>
      <c r="AF71" s="20">
        <v>7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  <c r="AO71" s="20" t="s">
        <v>1173</v>
      </c>
      <c r="AR71" s="20">
        <v>0</v>
      </c>
      <c r="AS71" s="20">
        <v>10112</v>
      </c>
      <c r="AV71" s="20" t="s">
        <v>1174</v>
      </c>
      <c r="AX71" s="20">
        <v>62128510024</v>
      </c>
      <c r="AY71" s="20">
        <v>62035811024</v>
      </c>
      <c r="AZ71" s="20">
        <v>55187694024</v>
      </c>
      <c r="BA71" s="20" t="s">
        <v>1175</v>
      </c>
      <c r="BB71" s="20" t="s">
        <v>1176</v>
      </c>
      <c r="BC71" s="20" t="s">
        <v>1177</v>
      </c>
      <c r="BD71" s="20">
        <v>1</v>
      </c>
      <c r="BE71" s="20">
        <v>0</v>
      </c>
      <c r="BF71" s="20">
        <v>0</v>
      </c>
      <c r="BG71" s="20">
        <v>0</v>
      </c>
      <c r="BN71" s="20" t="s">
        <v>1178</v>
      </c>
      <c r="BV71" s="20">
        <v>0</v>
      </c>
      <c r="CL71" s="20">
        <v>0</v>
      </c>
      <c r="DD71" s="20" t="s">
        <v>1179</v>
      </c>
      <c r="DE71" s="20" t="s">
        <v>1179</v>
      </c>
      <c r="DI71" s="20">
        <v>0</v>
      </c>
      <c r="DP71" s="21" t="s">
        <v>1180</v>
      </c>
      <c r="DQ71" s="21" t="str">
        <f>PartsMaster!$A67</f>
        <v>GJA1014AF</v>
      </c>
      <c r="DR71" s="21" t="s">
        <v>1181</v>
      </c>
      <c r="DS71" s="21" t="str">
        <f>PartsMaster!$K68&amp;" "&amp;PartsMaster!L68&amp;" "&amp;PartsMaster!$M68</f>
        <v xml:space="preserve">Front Left </v>
      </c>
    </row>
    <row r="72" spans="1:123" ht="30" hidden="1" x14ac:dyDescent="0.25">
      <c r="A72" s="20" t="s">
        <v>1166</v>
      </c>
      <c r="B72" s="20" t="s">
        <v>1167</v>
      </c>
      <c r="C72" s="20" t="s">
        <v>1168</v>
      </c>
      <c r="D72" s="21" t="str">
        <f>PartsMaster!B68&amp;" "&amp;PartsMaster!$C68</f>
        <v>Jaguar XK8 XKR X100 Glass guide frame</v>
      </c>
      <c r="E72" s="20">
        <v>3000</v>
      </c>
      <c r="F72" s="20" t="s">
        <v>1182</v>
      </c>
      <c r="H72" s="21" t="str">
        <f>PartsMaster!$Q68</f>
        <v>Glass guide frame</v>
      </c>
      <c r="I72" s="20">
        <v>9886</v>
      </c>
      <c r="K72" s="20">
        <v>0</v>
      </c>
      <c r="L72" s="20">
        <v>0</v>
      </c>
      <c r="M72" s="21">
        <f>PartsMaster!$D68</f>
        <v>1</v>
      </c>
      <c r="O72" s="20" t="s">
        <v>1169</v>
      </c>
      <c r="P72" s="23">
        <f>PartsMaster!$S68/1.45</f>
        <v>37.931034482758619</v>
      </c>
      <c r="S72" s="20">
        <v>30</v>
      </c>
      <c r="T72" s="20">
        <v>0</v>
      </c>
      <c r="U72" s="20" t="s">
        <v>1170</v>
      </c>
      <c r="Z72" s="26" t="str">
        <f>"&lt;P&gt;"&amp;PartsMaster!$I68&amp;" "&amp;PartsMaster!$H68&amp;"&lt;/P&gt;"&amp;"&lt;P&gt;Jaguar part name "&amp;PartsMaster!$E68&amp;"&lt;/P&gt;&lt;P&gt;Product numbers "&amp;PartsMaster!R68&amp;" "&amp;DQ72&amp;"&lt;/P&gt;&lt;P&gt;Fits starting from VIN/ModelYear "&amp;PartsMaster!$F68&amp;" until VIN/ModelYear "&amp;PartsMaster!$G68&amp;"&lt;/P&gt;&lt;P&gt;Condition: "&amp;PartsMaster!AB68&amp;"&lt;/P&gt;&lt;P&gt; (part source "&amp;PartsMaster!AD68&amp;")&lt;/P&gt;&lt;P&gt;Notes: "&amp;PartsMaster!AA68&amp;"&lt;/P&gt;"</f>
        <v>&lt;P&gt;Glass guide rail&lt;/P&gt;&lt;P&gt;Jaguar part name BODY CLOSURES AND SEALING/DOOR GLASSES AND FRAMES - guide rail&lt;/P&gt;&lt;P&gt;Product numbers GJA1015AE GJA1015AE&lt;/P&gt;&lt;P&gt;Fits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72" s="20" t="s">
        <v>1171</v>
      </c>
      <c r="AC72" s="20">
        <v>0</v>
      </c>
      <c r="AD72" s="20">
        <v>0</v>
      </c>
      <c r="AE72" s="20" t="s">
        <v>1172</v>
      </c>
      <c r="AF72" s="20">
        <v>7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O72" s="20" t="s">
        <v>1173</v>
      </c>
      <c r="AR72" s="20">
        <v>0</v>
      </c>
      <c r="AS72" s="20">
        <v>10112</v>
      </c>
      <c r="AV72" s="20" t="s">
        <v>1174</v>
      </c>
      <c r="AX72" s="20">
        <v>62128510024</v>
      </c>
      <c r="AY72" s="20">
        <v>62035811024</v>
      </c>
      <c r="AZ72" s="20">
        <v>55187694024</v>
      </c>
      <c r="BA72" s="20" t="s">
        <v>1175</v>
      </c>
      <c r="BB72" s="20" t="s">
        <v>1176</v>
      </c>
      <c r="BC72" s="20" t="s">
        <v>1177</v>
      </c>
      <c r="BD72" s="20">
        <v>1</v>
      </c>
      <c r="BE72" s="20">
        <v>0</v>
      </c>
      <c r="BF72" s="20">
        <v>0</v>
      </c>
      <c r="BG72" s="20">
        <v>0</v>
      </c>
      <c r="BN72" s="20" t="s">
        <v>1178</v>
      </c>
      <c r="BV72" s="20">
        <v>0</v>
      </c>
      <c r="CL72" s="20">
        <v>0</v>
      </c>
      <c r="DD72" s="20" t="s">
        <v>1179</v>
      </c>
      <c r="DE72" s="20" t="s">
        <v>1179</v>
      </c>
      <c r="DI72" s="20">
        <v>0</v>
      </c>
      <c r="DP72" s="21" t="s">
        <v>1180</v>
      </c>
      <c r="DQ72" s="21" t="str">
        <f>PartsMaster!$A68</f>
        <v>GJA1015AE</v>
      </c>
      <c r="DR72" s="21" t="s">
        <v>1181</v>
      </c>
      <c r="DS72" s="21" t="str">
        <f>PartsMaster!$K69&amp;" "&amp;PartsMaster!L69&amp;" "&amp;PartsMaster!$M69</f>
        <v xml:space="preserve">Front Right </v>
      </c>
    </row>
    <row r="73" spans="1:123" ht="30" hidden="1" x14ac:dyDescent="0.25">
      <c r="A73" s="20" t="s">
        <v>1166</v>
      </c>
      <c r="B73" s="20" t="s">
        <v>1167</v>
      </c>
      <c r="C73" s="20" t="s">
        <v>1168</v>
      </c>
      <c r="D73" s="21" t="str">
        <f>PartsMaster!B69&amp;" "&amp;PartsMaster!$C69</f>
        <v>Jaguar XK8 XKR X100 Glass guide frame</v>
      </c>
      <c r="E73" s="20">
        <v>3000</v>
      </c>
      <c r="F73" s="20" t="s">
        <v>1182</v>
      </c>
      <c r="H73" s="21" t="str">
        <f>PartsMaster!$Q69</f>
        <v>Glass guide frame</v>
      </c>
      <c r="I73" s="20">
        <v>9886</v>
      </c>
      <c r="K73" s="20">
        <v>0</v>
      </c>
      <c r="L73" s="20">
        <v>0</v>
      </c>
      <c r="M73" s="21">
        <f>PartsMaster!$D69</f>
        <v>1</v>
      </c>
      <c r="O73" s="20" t="s">
        <v>1169</v>
      </c>
      <c r="P73" s="23">
        <f>PartsMaster!$S69/1.45</f>
        <v>37.931034482758619</v>
      </c>
      <c r="S73" s="20">
        <v>30</v>
      </c>
      <c r="T73" s="20">
        <v>0</v>
      </c>
      <c r="U73" s="20" t="s">
        <v>1170</v>
      </c>
      <c r="Z73" s="26" t="str">
        <f>"&lt;P&gt;"&amp;PartsMaster!$I69&amp;" "&amp;PartsMaster!$H69&amp;"&lt;/P&gt;"&amp;"&lt;P&gt;Jaguar part name "&amp;PartsMaster!$E69&amp;"&lt;/P&gt;&lt;P&gt;Product numbers "&amp;PartsMaster!R69&amp;" "&amp;DQ73&amp;"&lt;/P&gt;&lt;P&gt;Fits starting from VIN/ModelYear "&amp;PartsMaster!$F69&amp;" until VIN/ModelYear "&amp;PartsMaster!$G69&amp;"&lt;/P&gt;&lt;P&gt;Condition: "&amp;PartsMaster!AB69&amp;"&lt;/P&gt;&lt;P&gt; (part source "&amp;PartsMaster!AD69&amp;")&lt;/P&gt;&lt;P&gt;Notes: "&amp;PartsMaster!AA69&amp;"&lt;/P&gt;"</f>
        <v>&lt;P&gt;Glass guide rail&lt;/P&gt;&lt;P&gt;Jaguar part name BODY CLOSURES AND SEALING/DOOR GLASSES AND FRAMES - guide rail&lt;/P&gt;&lt;P&gt;Product numbers GJA1016AF GJA1016AF&lt;/P&gt;&lt;P&gt;Fits starting from VIN/ModelYear 011494 until VIN/ModelYear 042775&lt;/P&gt;&lt;P&gt;Condition: Dismantled from bottom &amp; engine damaged MY1997 XK8 Convertible VIN 0136xx&lt;/P&gt;&lt;P&gt; (part source KK)&lt;/P&gt;&lt;P&gt;Notes: &lt;/P&gt;</v>
      </c>
      <c r="AA73" s="20" t="s">
        <v>1171</v>
      </c>
      <c r="AC73" s="20">
        <v>0</v>
      </c>
      <c r="AD73" s="20">
        <v>0</v>
      </c>
      <c r="AE73" s="20" t="s">
        <v>1172</v>
      </c>
      <c r="AF73" s="20">
        <v>7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O73" s="20" t="s">
        <v>1173</v>
      </c>
      <c r="AR73" s="20">
        <v>0</v>
      </c>
      <c r="AS73" s="20">
        <v>10112</v>
      </c>
      <c r="AV73" s="20" t="s">
        <v>1174</v>
      </c>
      <c r="AX73" s="20">
        <v>62128510024</v>
      </c>
      <c r="AY73" s="20">
        <v>62035811024</v>
      </c>
      <c r="AZ73" s="20">
        <v>55187694024</v>
      </c>
      <c r="BA73" s="20" t="s">
        <v>1175</v>
      </c>
      <c r="BB73" s="20" t="s">
        <v>1176</v>
      </c>
      <c r="BC73" s="20" t="s">
        <v>1177</v>
      </c>
      <c r="BD73" s="20">
        <v>1</v>
      </c>
      <c r="BE73" s="20">
        <v>0</v>
      </c>
      <c r="BF73" s="20">
        <v>0</v>
      </c>
      <c r="BG73" s="20">
        <v>0</v>
      </c>
      <c r="BN73" s="20" t="s">
        <v>1178</v>
      </c>
      <c r="BV73" s="20">
        <v>0</v>
      </c>
      <c r="CL73" s="20">
        <v>0</v>
      </c>
      <c r="DD73" s="20" t="s">
        <v>1179</v>
      </c>
      <c r="DE73" s="20" t="s">
        <v>1179</v>
      </c>
      <c r="DI73" s="20">
        <v>0</v>
      </c>
      <c r="DP73" s="21" t="s">
        <v>1180</v>
      </c>
      <c r="DQ73" s="21" t="str">
        <f>PartsMaster!$A69</f>
        <v>GJA1016AF</v>
      </c>
      <c r="DR73" s="21" t="s">
        <v>1181</v>
      </c>
      <c r="DS73" s="21" t="str">
        <f>PartsMaster!$K70&amp;" "&amp;PartsMaster!L70&amp;" "&amp;PartsMaster!$M70</f>
        <v xml:space="preserve">Front Left </v>
      </c>
    </row>
    <row r="74" spans="1:123" ht="30" hidden="1" x14ac:dyDescent="0.25">
      <c r="A74" s="20" t="s">
        <v>1166</v>
      </c>
      <c r="B74" s="20" t="s">
        <v>1167</v>
      </c>
      <c r="C74" s="20" t="s">
        <v>1168</v>
      </c>
      <c r="D74" s="21" t="str">
        <f>PartsMaster!B70&amp;" "&amp;PartsMaster!$C70</f>
        <v>Jaguar XK8 XKR X100 Glass guide frame</v>
      </c>
      <c r="E74" s="20">
        <v>3000</v>
      </c>
      <c r="F74" s="20" t="s">
        <v>1182</v>
      </c>
      <c r="H74" s="21" t="str">
        <f>PartsMaster!$Q70</f>
        <v>Glass guide frame</v>
      </c>
      <c r="I74" s="20">
        <v>9886</v>
      </c>
      <c r="K74" s="20">
        <v>0</v>
      </c>
      <c r="L74" s="20">
        <v>0</v>
      </c>
      <c r="M74" s="21">
        <f>PartsMaster!$D70</f>
        <v>1</v>
      </c>
      <c r="O74" s="20" t="s">
        <v>1169</v>
      </c>
      <c r="P74" s="23">
        <f>PartsMaster!$S70/1.45</f>
        <v>37.931034482758619</v>
      </c>
      <c r="S74" s="20">
        <v>30</v>
      </c>
      <c r="T74" s="20">
        <v>0</v>
      </c>
      <c r="U74" s="20" t="s">
        <v>1170</v>
      </c>
      <c r="Z74" s="26" t="str">
        <f>"&lt;P&gt;"&amp;PartsMaster!$I70&amp;" "&amp;PartsMaster!$H70&amp;"&lt;/P&gt;"&amp;"&lt;P&gt;Jaguar part name "&amp;PartsMaster!$E70&amp;"&lt;/P&gt;&lt;P&gt;Product numbers "&amp;PartsMaster!R70&amp;" "&amp;DQ74&amp;"&lt;/P&gt;&lt;P&gt;Fits starting from VIN/ModelYear "&amp;PartsMaster!$F70&amp;" until VIN/ModelYear "&amp;PartsMaster!$G70&amp;"&lt;/P&gt;&lt;P&gt;Condition: "&amp;PartsMaster!AB70&amp;"&lt;/P&gt;&lt;P&gt; (part source "&amp;PartsMaster!AD70&amp;")&lt;/P&gt;&lt;P&gt;Notes: "&amp;PartsMaster!AA70&amp;"&lt;/P&gt;"</f>
        <v>&lt;P&gt;Glass guide rail&lt;/P&gt;&lt;P&gt;Jaguar part name BODY CLOSURES AND SEALING/DOOR GLASSES AND FRAMES - guide rail&lt;/P&gt;&lt;P&gt;Product numbers GJA1017AF GJA1017AF&lt;/P&gt;&lt;P&gt;Fits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74" s="20" t="s">
        <v>1171</v>
      </c>
      <c r="AC74" s="20">
        <v>0</v>
      </c>
      <c r="AD74" s="20">
        <v>0</v>
      </c>
      <c r="AE74" s="20" t="s">
        <v>1172</v>
      </c>
      <c r="AF74" s="20">
        <v>7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O74" s="20" t="s">
        <v>1173</v>
      </c>
      <c r="AR74" s="20">
        <v>0</v>
      </c>
      <c r="AS74" s="20">
        <v>10112</v>
      </c>
      <c r="AV74" s="20" t="s">
        <v>1174</v>
      </c>
      <c r="AX74" s="20">
        <v>62128510024</v>
      </c>
      <c r="AY74" s="20">
        <v>62035811024</v>
      </c>
      <c r="AZ74" s="20">
        <v>55187694024</v>
      </c>
      <c r="BA74" s="20" t="s">
        <v>1175</v>
      </c>
      <c r="BB74" s="20" t="s">
        <v>1176</v>
      </c>
      <c r="BC74" s="20" t="s">
        <v>1177</v>
      </c>
      <c r="BD74" s="20">
        <v>1</v>
      </c>
      <c r="BE74" s="20">
        <v>0</v>
      </c>
      <c r="BF74" s="20">
        <v>0</v>
      </c>
      <c r="BG74" s="20">
        <v>0</v>
      </c>
      <c r="BN74" s="20" t="s">
        <v>1178</v>
      </c>
      <c r="BV74" s="20">
        <v>0</v>
      </c>
      <c r="CL74" s="20">
        <v>0</v>
      </c>
      <c r="DD74" s="20" t="s">
        <v>1179</v>
      </c>
      <c r="DE74" s="20" t="s">
        <v>1179</v>
      </c>
      <c r="DI74" s="20">
        <v>0</v>
      </c>
      <c r="DP74" s="21" t="s">
        <v>1180</v>
      </c>
      <c r="DQ74" s="21" t="str">
        <f>PartsMaster!$A70</f>
        <v>GJA1017AF</v>
      </c>
      <c r="DR74" s="21" t="s">
        <v>1181</v>
      </c>
      <c r="DS74" s="21" t="str">
        <f>PartsMaster!$K71&amp;" "&amp;PartsMaster!L71&amp;" "&amp;PartsMaster!$M71</f>
        <v xml:space="preserve">Front Right </v>
      </c>
    </row>
    <row r="75" spans="1:123" ht="30" hidden="1" x14ac:dyDescent="0.25">
      <c r="A75" s="20" t="s">
        <v>1166</v>
      </c>
      <c r="B75" s="20" t="s">
        <v>1167</v>
      </c>
      <c r="C75" s="20" t="s">
        <v>1168</v>
      </c>
      <c r="D75" s="21" t="str">
        <f>PartsMaster!B46&amp;" "&amp;PartsMaster!$C46</f>
        <v>Jaguar XK8 XKR X100 XJ8 XJR X308 Tappet</v>
      </c>
      <c r="E75" s="20">
        <v>3000</v>
      </c>
      <c r="F75" s="20" t="s">
        <v>1182</v>
      </c>
      <c r="H75" s="21">
        <f>PartsMaster!$Q46</f>
        <v>0</v>
      </c>
      <c r="I75" s="20">
        <v>9886</v>
      </c>
      <c r="K75" s="20">
        <v>0</v>
      </c>
      <c r="L75" s="20">
        <v>0</v>
      </c>
      <c r="M75" s="21">
        <f>PartsMaster!$D46</f>
        <v>16</v>
      </c>
      <c r="O75" s="20" t="s">
        <v>1169</v>
      </c>
      <c r="P75" s="23">
        <f>PartsMaster!$S46/1.45</f>
        <v>17.241379310344829</v>
      </c>
      <c r="S75" s="20">
        <v>30</v>
      </c>
      <c r="T75" s="20">
        <v>0</v>
      </c>
      <c r="U75" s="20" t="s">
        <v>1170</v>
      </c>
      <c r="Z75" s="26" t="str">
        <f>"&lt;P&gt;"&amp;PartsMaster!$I46&amp;" "&amp;PartsMaster!$H46&amp;"&lt;/P&gt;"&amp;"&lt;P&gt;Jaguar part name "&amp;PartsMaster!$E46&amp;"&lt;/P&gt;&lt;P&gt;Product numbers "&amp;PartsMaster!R46&amp;" "&amp;DQ75&amp;"&lt;/P&gt;&lt;P&gt;Fits starting from VIN/ModelYear "&amp;PartsMaster!$F46&amp;" until VIN/ModelYear "&amp;PartsMaster!$G46&amp;"&lt;/P&gt;&lt;P&gt;Condition: "&amp;PartsMaster!AB46&amp;"&lt;/P&gt;&lt;P&gt; (part source "&amp;PartsMaster!AD46&amp;")&lt;/P&gt;&lt;P&gt;Notes: "&amp;PartsMaster!AA46&amp;"&lt;/P&gt;"</f>
        <v>&lt;P&gt;Engine Valve&lt;/P&gt;&lt;P&gt;Jaguar part name ENGINE/CAMSHAFTS AND VALVE GEAR - Tappet&lt;/P&gt;&lt;P&gt;Product numbers  EAZ1954&lt;/P&gt;&lt;P&gt;Fits starting from VIN/ModelYear X100 MY1996 - X308 812317 until VIN/ModelYear X100 031302 - X308 853935&lt;/P&gt;&lt;P&gt;Condition: Dismantled from MY1997 XK8 Convertible USA VIN 0136xx&lt;/P&gt;&lt;P&gt; (part source )&lt;/P&gt;&lt;P&gt;Notes: &lt;/P&gt;</v>
      </c>
      <c r="AA75" s="20" t="s">
        <v>1171</v>
      </c>
      <c r="AC75" s="20">
        <v>0</v>
      </c>
      <c r="AD75" s="20">
        <v>0</v>
      </c>
      <c r="AE75" s="20" t="s">
        <v>1172</v>
      </c>
      <c r="AF75" s="20">
        <v>7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O75" s="20" t="s">
        <v>1173</v>
      </c>
      <c r="AR75" s="20">
        <v>0</v>
      </c>
      <c r="AS75" s="20">
        <v>10112</v>
      </c>
      <c r="AV75" s="20" t="s">
        <v>1174</v>
      </c>
      <c r="AX75" s="20">
        <v>62128510024</v>
      </c>
      <c r="AY75" s="20">
        <v>62035811024</v>
      </c>
      <c r="AZ75" s="20">
        <v>55187694024</v>
      </c>
      <c r="BA75" s="20" t="s">
        <v>1175</v>
      </c>
      <c r="BB75" s="20" t="s">
        <v>1176</v>
      </c>
      <c r="BC75" s="20" t="s">
        <v>1177</v>
      </c>
      <c r="BD75" s="20">
        <v>1</v>
      </c>
      <c r="BE75" s="20">
        <v>0</v>
      </c>
      <c r="BF75" s="20">
        <v>0</v>
      </c>
      <c r="BG75" s="20">
        <v>0</v>
      </c>
      <c r="BN75" s="20" t="s">
        <v>1178</v>
      </c>
      <c r="BV75" s="20">
        <v>0</v>
      </c>
      <c r="CL75" s="20">
        <v>0</v>
      </c>
      <c r="DD75" s="20" t="s">
        <v>1179</v>
      </c>
      <c r="DE75" s="20" t="s">
        <v>1179</v>
      </c>
      <c r="DI75" s="20">
        <v>0</v>
      </c>
      <c r="DP75" s="21" t="s">
        <v>1180</v>
      </c>
      <c r="DQ75" s="21" t="str">
        <f>PartsMaster!$A46</f>
        <v>EAZ1954</v>
      </c>
      <c r="DR75" s="21" t="s">
        <v>1181</v>
      </c>
      <c r="DS75" s="21" t="str">
        <f>PartsMaster!$K47&amp;" "&amp;PartsMaster!L47&amp;" "&amp;PartsMaster!$M47</f>
        <v xml:space="preserve">  </v>
      </c>
    </row>
    <row r="76" spans="1:123" ht="30" x14ac:dyDescent="0.25">
      <c r="A76" s="20" t="s">
        <v>1166</v>
      </c>
      <c r="B76" s="20" t="s">
        <v>1167</v>
      </c>
      <c r="C76" s="20" t="s">
        <v>1168</v>
      </c>
      <c r="D76" s="21" t="str">
        <f>PartsMaster!B284&amp;" "&amp;PartsMaster!$C284</f>
        <v>Jaguar XK8 XKR X100 ABS Pump</v>
      </c>
      <c r="E76" s="20">
        <v>3000</v>
      </c>
      <c r="F76" s="20" t="s">
        <v>1182</v>
      </c>
      <c r="H76" s="21">
        <f>PartsMaster!$Q284</f>
        <v>0</v>
      </c>
      <c r="I76" s="20">
        <v>9886</v>
      </c>
      <c r="K76" s="20">
        <v>0</v>
      </c>
      <c r="L76" s="20">
        <v>0</v>
      </c>
      <c r="M76" s="21">
        <f>PartsMaster!$D284</f>
        <v>1</v>
      </c>
      <c r="O76" s="20" t="s">
        <v>1169</v>
      </c>
      <c r="P76" s="23">
        <f>PartsMaster!$S284/1.45</f>
        <v>65.517241379310349</v>
      </c>
      <c r="S76" s="20">
        <v>30</v>
      </c>
      <c r="T76" s="20">
        <v>0</v>
      </c>
      <c r="U76" s="20" t="s">
        <v>1170</v>
      </c>
      <c r="Z76" s="26" t="str">
        <f>"&lt;P&gt;"&amp;PartsMaster!$I284&amp;" "&amp;PartsMaster!$H284&amp;"&lt;/P&gt;"&amp;"&lt;P&gt;Jaguar part name "&amp;PartsMaster!$E284&amp;"&lt;/P&gt;&lt;P&gt;Product numbers "&amp;PartsMaster!R284&amp;" "&amp;DQ76&amp;"&lt;/P&gt;&lt;P&gt;Fits starting from VIN/ModelYear "&amp;PartsMaster!$F284&amp;" until VIN/ModelYear "&amp;PartsMaster!$G284&amp;"&lt;/P&gt;&lt;P&gt;Condition: "&amp;PartsMaster!AB284&amp;"&lt;/P&gt;&lt;P&gt; (part source "&amp;PartsMaster!AD284&amp;")&lt;/P&gt;&lt;P&gt;Notes: "&amp;PartsMaster!AA284&amp;"&lt;/P&gt;"</f>
        <v>&lt;P&gt;Brakes Pump&lt;/P&gt;&lt;P&gt;Jaguar part name BRAKING SYSTEM/ANTI LOCK BRAKING SYSTEM - Hydraulic control unit - traction control - 9 valve  - 6 pipes&lt;/P&gt;&lt;P&gt;Product numbers MNC5920AC MNF5920AC&lt;/P&gt;&lt;P&gt;Fits starting from VIN/ModelYear  until VIN/ModelYear &lt;/P&gt;&lt;P&gt;Condition: Exchanged spare&lt;/P&gt;&lt;P&gt; (part source SJ)&lt;/P&gt;&lt;P&gt;Notes: &lt;/P&gt;</v>
      </c>
      <c r="AA76" s="20" t="s">
        <v>1171</v>
      </c>
      <c r="AC76" s="20">
        <v>0</v>
      </c>
      <c r="AD76" s="20">
        <v>0</v>
      </c>
      <c r="AE76" s="20" t="s">
        <v>1172</v>
      </c>
      <c r="AF76" s="20">
        <v>7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O76" s="20" t="s">
        <v>1173</v>
      </c>
      <c r="AR76" s="20">
        <v>0</v>
      </c>
      <c r="AS76" s="20">
        <v>10112</v>
      </c>
      <c r="AV76" s="20" t="s">
        <v>1174</v>
      </c>
      <c r="AX76" s="20">
        <v>62128510024</v>
      </c>
      <c r="AY76" s="20">
        <v>62035811024</v>
      </c>
      <c r="AZ76" s="20">
        <v>55187694024</v>
      </c>
      <c r="BA76" s="20" t="s">
        <v>1175</v>
      </c>
      <c r="BB76" s="20" t="s">
        <v>1176</v>
      </c>
      <c r="BC76" s="20" t="s">
        <v>1177</v>
      </c>
      <c r="BD76" s="20">
        <v>1</v>
      </c>
      <c r="BE76" s="20">
        <v>0</v>
      </c>
      <c r="BF76" s="20">
        <v>0</v>
      </c>
      <c r="BG76" s="20">
        <v>0</v>
      </c>
      <c r="BN76" s="20" t="s">
        <v>1178</v>
      </c>
      <c r="BV76" s="20">
        <v>0</v>
      </c>
      <c r="CL76" s="20">
        <v>0</v>
      </c>
      <c r="DD76" s="20" t="s">
        <v>1179</v>
      </c>
      <c r="DE76" s="20" t="s">
        <v>1179</v>
      </c>
      <c r="DI76" s="20">
        <v>0</v>
      </c>
      <c r="DP76" s="21" t="s">
        <v>1180</v>
      </c>
      <c r="DQ76" s="21" t="str">
        <f>PartsMaster!$A284</f>
        <v>MNF5920AC</v>
      </c>
      <c r="DR76" s="21" t="s">
        <v>1181</v>
      </c>
      <c r="DS76" s="21" t="str">
        <f>PartsMaster!$K285&amp;" "&amp;PartsMaster!L285&amp;" "&amp;PartsMaster!$M285</f>
        <v>Front NA NA</v>
      </c>
    </row>
    <row r="77" spans="1:123" ht="30" x14ac:dyDescent="0.25">
      <c r="A77" s="20" t="s">
        <v>1166</v>
      </c>
      <c r="B77" s="20" t="s">
        <v>1167</v>
      </c>
      <c r="C77" s="20" t="s">
        <v>1168</v>
      </c>
      <c r="D77" s="21" t="str">
        <f>PartsMaster!B185&amp;" "&amp;PartsMaster!$C185</f>
        <v>Jaguar XK8 XKR X100 Switch J-Gate</v>
      </c>
      <c r="E77" s="20">
        <v>3000</v>
      </c>
      <c r="F77" s="20" t="s">
        <v>1182</v>
      </c>
      <c r="H77" s="21">
        <f>PartsMaster!$Q185</f>
        <v>0</v>
      </c>
      <c r="I77" s="20">
        <v>9886</v>
      </c>
      <c r="K77" s="20">
        <v>0</v>
      </c>
      <c r="L77" s="20">
        <v>0</v>
      </c>
      <c r="M77" s="21">
        <f>PartsMaster!$D185</f>
        <v>1</v>
      </c>
      <c r="O77" s="20" t="s">
        <v>1169</v>
      </c>
      <c r="P77" s="23">
        <f>PartsMaster!$S185/1.45</f>
        <v>17.241379310344829</v>
      </c>
      <c r="S77" s="20">
        <v>30</v>
      </c>
      <c r="T77" s="20">
        <v>0</v>
      </c>
      <c r="U77" s="20" t="s">
        <v>1170</v>
      </c>
      <c r="Z77" s="26" t="str">
        <f>"&lt;P&gt;"&amp;PartsMaster!$I185&amp;" "&amp;PartsMaster!$H185&amp;"&lt;/P&gt;"&amp;"&lt;P&gt;Jaguar part name "&amp;PartsMaster!$E185&amp;"&lt;/P&gt;&lt;P&gt;Product numbers "&amp;PartsMaster!R185&amp;" "&amp;DQ77&amp;"&lt;/P&gt;&lt;P&gt;Fits starting from VIN/ModelYear "&amp;PartsMaster!$F185&amp;" until VIN/ModelYear "&amp;PartsMaster!$G185&amp;"&lt;/P&gt;&lt;P&gt;Condition: "&amp;PartsMaster!AB185&amp;"&lt;/P&gt;&lt;P&gt; (part source "&amp;PartsMaster!AD185&amp;")&lt;/P&gt;&lt;P&gt;Notes: "&amp;PartsMaster!AA185&amp;"&lt;/P&gt;"</f>
        <v>&lt;P&gt;Gear box / Gear shifter / Gear Selector Switch &lt;/P&gt;&lt;P&gt;Jaguar part name TRANSMISSION AND DRIVELINE/CONTROLS AND LINKAGE-AUTOMATIC GEARBOX&lt;/P&gt;&lt;P&gt;Product numbers  JLM20304&lt;/P&gt;&lt;P&gt;Fits starting from VIN/ModelYear MY1996 until VIN/ModelYear A30644&lt;/P&gt;&lt;P&gt;Condition: Dismantled from bottom &amp; engine damaged MY1997 XK8 Convertible VIN 0136xx&lt;/P&gt;&lt;P&gt; (part source KK)&lt;/P&gt;&lt;P&gt;Notes: &lt;/P&gt;</v>
      </c>
      <c r="AA77" s="20" t="s">
        <v>1171</v>
      </c>
      <c r="AC77" s="20">
        <v>0</v>
      </c>
      <c r="AD77" s="20">
        <v>0</v>
      </c>
      <c r="AE77" s="20" t="s">
        <v>1172</v>
      </c>
      <c r="AF77" s="20">
        <v>7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O77" s="20" t="s">
        <v>1173</v>
      </c>
      <c r="AR77" s="20">
        <v>0</v>
      </c>
      <c r="AS77" s="20">
        <v>10112</v>
      </c>
      <c r="AV77" s="20" t="s">
        <v>1174</v>
      </c>
      <c r="AX77" s="20">
        <v>62128510024</v>
      </c>
      <c r="AY77" s="20">
        <v>62035811024</v>
      </c>
      <c r="AZ77" s="20">
        <v>55187694024</v>
      </c>
      <c r="BA77" s="20" t="s">
        <v>1175</v>
      </c>
      <c r="BB77" s="20" t="s">
        <v>1176</v>
      </c>
      <c r="BC77" s="20" t="s">
        <v>1177</v>
      </c>
      <c r="BD77" s="20">
        <v>1</v>
      </c>
      <c r="BE77" s="20">
        <v>0</v>
      </c>
      <c r="BF77" s="20">
        <v>0</v>
      </c>
      <c r="BG77" s="20">
        <v>0</v>
      </c>
      <c r="BN77" s="20" t="s">
        <v>1178</v>
      </c>
      <c r="BV77" s="20">
        <v>0</v>
      </c>
      <c r="CL77" s="20">
        <v>0</v>
      </c>
      <c r="DD77" s="20" t="s">
        <v>1179</v>
      </c>
      <c r="DE77" s="20" t="s">
        <v>1179</v>
      </c>
      <c r="DI77" s="20">
        <v>0</v>
      </c>
      <c r="DP77" s="21" t="s">
        <v>1180</v>
      </c>
      <c r="DQ77" s="21" t="str">
        <f>PartsMaster!$A185</f>
        <v>JLM20304</v>
      </c>
      <c r="DR77" s="21" t="s">
        <v>1181</v>
      </c>
      <c r="DS77" s="21" t="str">
        <f>PartsMaster!$K186&amp;" "&amp;PartsMaster!L186&amp;" "&amp;PartsMaster!$M186</f>
        <v xml:space="preserve">Front Left/Right </v>
      </c>
    </row>
    <row r="78" spans="1:123" x14ac:dyDescent="0.25">
      <c r="A78" s="20" t="s">
        <v>1166</v>
      </c>
      <c r="B78" s="20" t="s">
        <v>1167</v>
      </c>
      <c r="C78" s="20" t="s">
        <v>1168</v>
      </c>
      <c r="D78" s="21" t="str">
        <f>PartsMaster!B212&amp;" "&amp;PartsMaster!$C212</f>
        <v>Jaguar XK8 XKR X100 Key Remote Fob</v>
      </c>
      <c r="E78" s="20">
        <v>3000</v>
      </c>
      <c r="F78" s="20" t="s">
        <v>1182</v>
      </c>
      <c r="H78" s="21">
        <f>PartsMaster!$Q212</f>
        <v>0</v>
      </c>
      <c r="I78" s="20">
        <v>9886</v>
      </c>
      <c r="K78" s="20">
        <v>0</v>
      </c>
      <c r="L78" s="20">
        <v>0</v>
      </c>
      <c r="M78" s="21">
        <f>PartsMaster!$D212</f>
        <v>0</v>
      </c>
      <c r="O78" s="20" t="s">
        <v>1169</v>
      </c>
      <c r="P78" s="23">
        <f>PartsMaster!$S212/1.45</f>
        <v>0</v>
      </c>
      <c r="S78" s="20">
        <v>30</v>
      </c>
      <c r="T78" s="20">
        <v>0</v>
      </c>
      <c r="U78" s="20" t="s">
        <v>1170</v>
      </c>
      <c r="Z78" s="26" t="str">
        <f>"&lt;P&gt;"&amp;PartsMaster!$I212&amp;" "&amp;PartsMaster!$H212&amp;"&lt;/P&gt;"&amp;"&lt;P&gt;Jaguar part name "&amp;PartsMaster!$E212&amp;"&lt;/P&gt;&lt;P&gt;Product numbers "&amp;PartsMaster!R212&amp;" "&amp;DQ78&amp;"&lt;/P&gt;&lt;P&gt;Fits starting from VIN/ModelYear "&amp;PartsMaster!$F212&amp;" until VIN/ModelYear "&amp;PartsMaster!$G212&amp;"&lt;/P&gt;&lt;P&gt;Condition: "&amp;PartsMaster!AB212&amp;"&lt;/P&gt;&lt;P&gt; (part source "&amp;PartsMaster!AD212&amp;")&lt;/P&gt;&lt;P&gt;Notes: "&amp;PartsMaster!AA212&amp;"&lt;/P&gt;"</f>
        <v>&lt;P&gt;Security Key / Remote&lt;/P&gt;&lt;P&gt;Jaguar part name &lt;/P&gt;&lt;P&gt;Product numbers  LJA2610AA - US 315MHz (Low)&lt;/P&gt;&lt;P&gt;Fits starting from VIN/ModelYear  until VIN/ModelYear &lt;/P&gt;&lt;P&gt;Condition: &lt;/P&gt;&lt;P&gt; (part source )&lt;/P&gt;&lt;P&gt;Notes: &lt;/P&gt;</v>
      </c>
      <c r="AA78" s="20" t="s">
        <v>1171</v>
      </c>
      <c r="AC78" s="20">
        <v>0</v>
      </c>
      <c r="AD78" s="20">
        <v>0</v>
      </c>
      <c r="AE78" s="20" t="s">
        <v>1172</v>
      </c>
      <c r="AF78" s="20">
        <v>7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O78" s="20" t="s">
        <v>1173</v>
      </c>
      <c r="AR78" s="20">
        <v>0</v>
      </c>
      <c r="AS78" s="20">
        <v>10112</v>
      </c>
      <c r="AV78" s="20" t="s">
        <v>1174</v>
      </c>
      <c r="AX78" s="20">
        <v>62128510024</v>
      </c>
      <c r="AY78" s="20">
        <v>62035811024</v>
      </c>
      <c r="AZ78" s="20">
        <v>55187694024</v>
      </c>
      <c r="BA78" s="20" t="s">
        <v>1175</v>
      </c>
      <c r="BB78" s="20" t="s">
        <v>1176</v>
      </c>
      <c r="BC78" s="20" t="s">
        <v>1177</v>
      </c>
      <c r="BD78" s="20">
        <v>1</v>
      </c>
      <c r="BE78" s="20">
        <v>0</v>
      </c>
      <c r="BF78" s="20">
        <v>0</v>
      </c>
      <c r="BG78" s="20">
        <v>0</v>
      </c>
      <c r="BN78" s="20" t="s">
        <v>1178</v>
      </c>
      <c r="BV78" s="20">
        <v>0</v>
      </c>
      <c r="CL78" s="20">
        <v>0</v>
      </c>
      <c r="DD78" s="20" t="s">
        <v>1179</v>
      </c>
      <c r="DE78" s="20" t="s">
        <v>1179</v>
      </c>
      <c r="DI78" s="20">
        <v>0</v>
      </c>
      <c r="DP78" s="21" t="s">
        <v>1180</v>
      </c>
      <c r="DQ78" s="21" t="str">
        <f>PartsMaster!$A212</f>
        <v>LJA2610AA - US 315MHz (Low)</v>
      </c>
      <c r="DR78" s="21" t="s">
        <v>1181</v>
      </c>
      <c r="DS78" s="21" t="str">
        <f>PartsMaster!$K213&amp;" "&amp;PartsMaster!L213&amp;" "&amp;PartsMaster!$M213</f>
        <v xml:space="preserve">Front  </v>
      </c>
    </row>
    <row r="79" spans="1:123" ht="30" hidden="1" x14ac:dyDescent="0.25">
      <c r="A79" s="20" t="s">
        <v>1166</v>
      </c>
      <c r="B79" s="20" t="s">
        <v>1167</v>
      </c>
      <c r="C79" s="20" t="s">
        <v>1168</v>
      </c>
      <c r="D79" s="21" t="str">
        <f>PartsMaster!B75&amp;" "&amp;PartsMaster!$C75</f>
        <v>Jaguar XK8 XKR X100 Door waist seal</v>
      </c>
      <c r="E79" s="20">
        <v>3000</v>
      </c>
      <c r="F79" s="20" t="s">
        <v>1182</v>
      </c>
      <c r="H79" s="21" t="str">
        <f>PartsMaster!$Q75</f>
        <v>Door waist seal</v>
      </c>
      <c r="I79" s="20">
        <v>9886</v>
      </c>
      <c r="K79" s="20">
        <v>0</v>
      </c>
      <c r="L79" s="20">
        <v>0</v>
      </c>
      <c r="M79" s="21">
        <f>PartsMaster!$D75</f>
        <v>1</v>
      </c>
      <c r="O79" s="20" t="s">
        <v>1169</v>
      </c>
      <c r="P79" s="23">
        <f>PartsMaster!$S75/1.45</f>
        <v>44.827586206896555</v>
      </c>
      <c r="S79" s="20">
        <v>30</v>
      </c>
      <c r="T79" s="20">
        <v>0</v>
      </c>
      <c r="U79" s="20" t="s">
        <v>1170</v>
      </c>
      <c r="Z79" s="26" t="str">
        <f>"&lt;P&gt;"&amp;PartsMaster!$I75&amp;" "&amp;PartsMaster!$H75&amp;"&lt;/P&gt;"&amp;"&lt;P&gt;Jaguar part name "&amp;PartsMaster!$E75&amp;"&lt;/P&gt;&lt;P&gt;Product numbers "&amp;PartsMaster!R75&amp;" "&amp;DQ79&amp;"&lt;/P&gt;&lt;P&gt;Fits starting from VIN/ModelYear "&amp;PartsMaster!$F75&amp;" until VIN/ModelYear "&amp;PartsMaster!$G75&amp;"&lt;/P&gt;&lt;P&gt;Condition: "&amp;PartsMaster!AB75&amp;"&lt;/P&gt;&lt;P&gt; (part source "&amp;PartsMaster!AD75&amp;")&lt;/P&gt;&lt;P&gt;Notes: "&amp;PartsMaster!AA75&amp;"&lt;/P&gt;"</f>
        <v>&lt;P&gt;Seal Seal / Insulation&lt;/P&gt;&lt;P&gt;Jaguar part name BODY CLOSURES AND SEALING/DOOR SEALS -Waist seal&lt;/P&gt;&lt;P&gt;Product numbers GJA1716AB GJA1716AB&lt;/P&gt;&lt;P&gt;Fits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79" s="20" t="s">
        <v>1171</v>
      </c>
      <c r="AC79" s="20">
        <v>0</v>
      </c>
      <c r="AD79" s="20">
        <v>0</v>
      </c>
      <c r="AE79" s="20" t="s">
        <v>1172</v>
      </c>
      <c r="AF79" s="20">
        <v>7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O79" s="20" t="s">
        <v>1173</v>
      </c>
      <c r="AR79" s="20">
        <v>0</v>
      </c>
      <c r="AS79" s="20">
        <v>10112</v>
      </c>
      <c r="AV79" s="20" t="s">
        <v>1174</v>
      </c>
      <c r="AX79" s="20">
        <v>62128510024</v>
      </c>
      <c r="AY79" s="20">
        <v>62035811024</v>
      </c>
      <c r="AZ79" s="20">
        <v>55187694024</v>
      </c>
      <c r="BA79" s="20" t="s">
        <v>1175</v>
      </c>
      <c r="BB79" s="20" t="s">
        <v>1176</v>
      </c>
      <c r="BC79" s="20" t="s">
        <v>1177</v>
      </c>
      <c r="BD79" s="20">
        <v>1</v>
      </c>
      <c r="BE79" s="20">
        <v>0</v>
      </c>
      <c r="BF79" s="20">
        <v>0</v>
      </c>
      <c r="BG79" s="20">
        <v>0</v>
      </c>
      <c r="BN79" s="20" t="s">
        <v>1178</v>
      </c>
      <c r="BV79" s="20">
        <v>0</v>
      </c>
      <c r="CL79" s="20">
        <v>0</v>
      </c>
      <c r="DD79" s="20" t="s">
        <v>1179</v>
      </c>
      <c r="DE79" s="20" t="s">
        <v>1179</v>
      </c>
      <c r="DI79" s="20">
        <v>0</v>
      </c>
      <c r="DP79" s="21" t="s">
        <v>1180</v>
      </c>
      <c r="DQ79" s="21" t="str">
        <f>PartsMaster!$A75</f>
        <v>GJA1716AB</v>
      </c>
      <c r="DR79" s="21" t="s">
        <v>1181</v>
      </c>
      <c r="DS79" s="21" t="str">
        <f>PartsMaster!$K76&amp;" "&amp;PartsMaster!L76&amp;" "&amp;PartsMaster!$M76</f>
        <v xml:space="preserve">Front Right </v>
      </c>
    </row>
    <row r="80" spans="1:123" ht="30" x14ac:dyDescent="0.25">
      <c r="A80" s="20" t="s">
        <v>1166</v>
      </c>
      <c r="B80" s="20" t="s">
        <v>1167</v>
      </c>
      <c r="C80" s="20" t="s">
        <v>1168</v>
      </c>
      <c r="D80" s="21" t="str">
        <f>PartsMaster!B36&amp;" "&amp;PartsMaster!$C36</f>
        <v>Jaguar XK8 XKR X100 Rear upper link</v>
      </c>
      <c r="E80" s="20">
        <v>3000</v>
      </c>
      <c r="F80" s="20" t="s">
        <v>1182</v>
      </c>
      <c r="H80" s="21">
        <f>PartsMaster!$Q36</f>
        <v>0</v>
      </c>
      <c r="I80" s="20">
        <v>9886</v>
      </c>
      <c r="K80" s="20">
        <v>0</v>
      </c>
      <c r="L80" s="20">
        <v>0</v>
      </c>
      <c r="M80" s="21">
        <f>PartsMaster!$D36</f>
        <v>1</v>
      </c>
      <c r="O80" s="20" t="s">
        <v>1169</v>
      </c>
      <c r="P80" s="23">
        <f>PartsMaster!$S36/1.45</f>
        <v>37.931034482758619</v>
      </c>
      <c r="S80" s="20">
        <v>30</v>
      </c>
      <c r="T80" s="20">
        <v>0</v>
      </c>
      <c r="U80" s="20" t="s">
        <v>1170</v>
      </c>
      <c r="Z80" s="26" t="str">
        <f>"&lt;P&gt;"&amp;PartsMaster!$I36&amp;" "&amp;PartsMaster!$H36&amp;"&lt;/P&gt;"&amp;"&lt;P&gt;Jaguar part name "&amp;PartsMaster!$E36&amp;"&lt;/P&gt;&lt;P&gt;Product numbers "&amp;PartsMaster!R36&amp;" "&amp;DQ80&amp;"&lt;/P&gt;&lt;P&gt;Fits starting from VIN/ModelYear "&amp;PartsMaster!$F36&amp;" until VIN/ModelYear "&amp;PartsMaster!$G36&amp;"&lt;/P&gt;&lt;P&gt;Condition: "&amp;PartsMaster!AB36&amp;"&lt;/P&gt;&lt;P&gt; (part source "&amp;PartsMaster!AD36&amp;")&lt;/P&gt;&lt;P&gt;Notes: "&amp;PartsMaster!AA36&amp;"&lt;/P&gt;"</f>
        <v>&lt;P&gt;Mounting Suspention/rear&lt;/P&gt;&lt;P&gt;Jaguar part name STEERING AND SUSPENTION/SUBFRAME AND MOUNTINGS-REAR - Link&lt;/P&gt;&lt;P&gt;Product numbers CBC2964 CBC2964&lt;/P&gt;&lt;P&gt;Fits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80" s="20" t="s">
        <v>1171</v>
      </c>
      <c r="AC80" s="20">
        <v>0</v>
      </c>
      <c r="AD80" s="20">
        <v>0</v>
      </c>
      <c r="AE80" s="20" t="s">
        <v>1172</v>
      </c>
      <c r="AF80" s="20">
        <v>7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O80" s="20" t="s">
        <v>1173</v>
      </c>
      <c r="AR80" s="20">
        <v>0</v>
      </c>
      <c r="AS80" s="20">
        <v>10112</v>
      </c>
      <c r="AV80" s="20" t="s">
        <v>1174</v>
      </c>
      <c r="AX80" s="20">
        <v>62128510024</v>
      </c>
      <c r="AY80" s="20">
        <v>62035811024</v>
      </c>
      <c r="AZ80" s="20">
        <v>55187694024</v>
      </c>
      <c r="BA80" s="20" t="s">
        <v>1175</v>
      </c>
      <c r="BB80" s="20" t="s">
        <v>1176</v>
      </c>
      <c r="BC80" s="20" t="s">
        <v>1177</v>
      </c>
      <c r="BD80" s="20">
        <v>1</v>
      </c>
      <c r="BE80" s="20">
        <v>0</v>
      </c>
      <c r="BF80" s="20">
        <v>0</v>
      </c>
      <c r="BG80" s="20">
        <v>0</v>
      </c>
      <c r="BN80" s="20" t="s">
        <v>1178</v>
      </c>
      <c r="BV80" s="20">
        <v>0</v>
      </c>
      <c r="CL80" s="20">
        <v>0</v>
      </c>
      <c r="DD80" s="20" t="s">
        <v>1179</v>
      </c>
      <c r="DE80" s="20" t="s">
        <v>1179</v>
      </c>
      <c r="DI80" s="20">
        <v>0</v>
      </c>
      <c r="DP80" s="21" t="s">
        <v>1180</v>
      </c>
      <c r="DQ80" s="21" t="str">
        <f>PartsMaster!$A36</f>
        <v>CBC2964</v>
      </c>
      <c r="DR80" s="21" t="s">
        <v>1181</v>
      </c>
      <c r="DS80" s="21" t="str">
        <f>PartsMaster!$K37&amp;" "&amp;PartsMaster!L37&amp;" "&amp;PartsMaster!$M37</f>
        <v>Rear Left Bottom</v>
      </c>
    </row>
    <row r="81" spans="1:123" ht="30" hidden="1" x14ac:dyDescent="0.25">
      <c r="A81" s="20" t="s">
        <v>1166</v>
      </c>
      <c r="B81" s="20" t="s">
        <v>1167</v>
      </c>
      <c r="C81" s="20" t="s">
        <v>1168</v>
      </c>
      <c r="D81" s="21" t="str">
        <f>PartsMaster!B76&amp;" "&amp;PartsMaster!$C76</f>
        <v>Jaguar XK8 XKR X100 Glass slide clamp</v>
      </c>
      <c r="E81" s="20">
        <v>3000</v>
      </c>
      <c r="F81" s="20" t="s">
        <v>1182</v>
      </c>
      <c r="H81" s="21" t="str">
        <f>PartsMaster!$Q76</f>
        <v>Glass slide clamp</v>
      </c>
      <c r="I81" s="20">
        <v>9886</v>
      </c>
      <c r="K81" s="20">
        <v>0</v>
      </c>
      <c r="L81" s="20">
        <v>0</v>
      </c>
      <c r="M81" s="21">
        <f>PartsMaster!$D76</f>
        <v>1</v>
      </c>
      <c r="O81" s="20" t="s">
        <v>1169</v>
      </c>
      <c r="P81" s="23">
        <f>PartsMaster!$S76/1.45</f>
        <v>37.931034482758619</v>
      </c>
      <c r="S81" s="20">
        <v>30</v>
      </c>
      <c r="T81" s="20">
        <v>0</v>
      </c>
      <c r="U81" s="20" t="s">
        <v>1170</v>
      </c>
      <c r="Z81" s="26" t="str">
        <f>"&lt;P&gt;"&amp;PartsMaster!$I76&amp;" "&amp;PartsMaster!$H76&amp;"&lt;/P&gt;"&amp;"&lt;P&gt;Jaguar part name "&amp;PartsMaster!$E76&amp;"&lt;/P&gt;&lt;P&gt;Product numbers "&amp;PartsMaster!R76&amp;" "&amp;DQ81&amp;"&lt;/P&gt;&lt;P&gt;Fits starting from VIN/ModelYear "&amp;PartsMaster!$F76&amp;" until VIN/ModelYear "&amp;PartsMaster!$G76&amp;"&lt;/P&gt;&lt;P&gt;Condition: "&amp;PartsMaster!AB76&amp;"&lt;/P&gt;&lt;P&gt; (part source "&amp;PartsMaster!AD76&amp;")&lt;/P&gt;&lt;P&gt;Notes: "&amp;PartsMaster!AA76&amp;"&lt;/P&gt;"</f>
        <v>&lt;P&gt;Glass Bracket&lt;/P&gt;&lt;P&gt;Jaguar part name BODY CLOSURES AND SEALING/DOOR GLASSES AND FRAMES - Slide clamp - Front&lt;/P&gt;&lt;P&gt;Product numbers GJA2034AA GJA2034AA&lt;/P&gt;&lt;P&gt;Fits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81" s="20" t="s">
        <v>1171</v>
      </c>
      <c r="AC81" s="20">
        <v>0</v>
      </c>
      <c r="AD81" s="20">
        <v>0</v>
      </c>
      <c r="AE81" s="20" t="s">
        <v>1172</v>
      </c>
      <c r="AF81" s="20">
        <v>7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O81" s="20" t="s">
        <v>1173</v>
      </c>
      <c r="AR81" s="20">
        <v>0</v>
      </c>
      <c r="AS81" s="20">
        <v>10112</v>
      </c>
      <c r="AV81" s="20" t="s">
        <v>1174</v>
      </c>
      <c r="AX81" s="20">
        <v>62128510024</v>
      </c>
      <c r="AY81" s="20">
        <v>62035811024</v>
      </c>
      <c r="AZ81" s="20">
        <v>55187694024</v>
      </c>
      <c r="BA81" s="20" t="s">
        <v>1175</v>
      </c>
      <c r="BB81" s="20" t="s">
        <v>1176</v>
      </c>
      <c r="BC81" s="20" t="s">
        <v>1177</v>
      </c>
      <c r="BD81" s="20">
        <v>1</v>
      </c>
      <c r="BE81" s="20">
        <v>0</v>
      </c>
      <c r="BF81" s="20">
        <v>0</v>
      </c>
      <c r="BG81" s="20">
        <v>0</v>
      </c>
      <c r="BN81" s="20" t="s">
        <v>1178</v>
      </c>
      <c r="BV81" s="20">
        <v>0</v>
      </c>
      <c r="CL81" s="20">
        <v>0</v>
      </c>
      <c r="DD81" s="20" t="s">
        <v>1179</v>
      </c>
      <c r="DE81" s="20" t="s">
        <v>1179</v>
      </c>
      <c r="DI81" s="20">
        <v>0</v>
      </c>
      <c r="DP81" s="21" t="s">
        <v>1180</v>
      </c>
      <c r="DQ81" s="21" t="str">
        <f>PartsMaster!$A76</f>
        <v>GJA2034AA</v>
      </c>
      <c r="DR81" s="21" t="s">
        <v>1181</v>
      </c>
      <c r="DS81" s="21" t="str">
        <f>PartsMaster!$K77&amp;" "&amp;PartsMaster!L77&amp;" "&amp;PartsMaster!$M77</f>
        <v xml:space="preserve">Rear Right </v>
      </c>
    </row>
    <row r="82" spans="1:123" ht="30" x14ac:dyDescent="0.25">
      <c r="A82" s="20" t="s">
        <v>1166</v>
      </c>
      <c r="B82" s="20" t="s">
        <v>1167</v>
      </c>
      <c r="C82" s="20" t="s">
        <v>1168</v>
      </c>
      <c r="D82" s="21" t="str">
        <f>PartsMaster!B57&amp;" "&amp;PartsMaster!$C57</f>
        <v>Jaguar XK8 XKR X100 Wing panel</v>
      </c>
      <c r="E82" s="20">
        <v>3000</v>
      </c>
      <c r="F82" s="20" t="s">
        <v>1182</v>
      </c>
      <c r="H82" s="21" t="str">
        <f>PartsMaster!$Q57</f>
        <v>Wing panel</v>
      </c>
      <c r="I82" s="20">
        <v>9886</v>
      </c>
      <c r="K82" s="20">
        <v>0</v>
      </c>
      <c r="L82" s="20">
        <v>0</v>
      </c>
      <c r="M82" s="21">
        <f>PartsMaster!$D57</f>
        <v>0</v>
      </c>
      <c r="O82" s="20" t="s">
        <v>1169</v>
      </c>
      <c r="P82" s="23">
        <f>PartsMaster!$S57/1.45</f>
        <v>203.44827586206898</v>
      </c>
      <c r="S82" s="20">
        <v>30</v>
      </c>
      <c r="T82" s="20">
        <v>0</v>
      </c>
      <c r="U82" s="20" t="s">
        <v>1170</v>
      </c>
      <c r="Z82" s="26" t="str">
        <f>"&lt;P&gt;"&amp;PartsMaster!$I57&amp;" "&amp;PartsMaster!$H57&amp;"&lt;/P&gt;"&amp;"&lt;P&gt;Jaguar part name "&amp;PartsMaster!$E57&amp;"&lt;/P&gt;&lt;P&gt;Product numbers "&amp;PartsMaster!R57&amp;" "&amp;DQ82&amp;"&lt;/P&gt;&lt;P&gt;Fits starting from VIN/ModelYear "&amp;PartsMaster!$F57&amp;" until VIN/ModelYear "&amp;PartsMaster!$G57&amp;"&lt;/P&gt;&lt;P&gt;Condition: "&amp;PartsMaster!AB57&amp;"&lt;/P&gt;&lt;P&gt; (part source "&amp;PartsMaster!AD57&amp;")&lt;/P&gt;&lt;P&gt;Notes: "&amp;PartsMaster!AA57&amp;"&lt;/P&gt;"</f>
        <v>&lt;P&gt;Body Body panel&lt;/P&gt;&lt;P&gt;Jaguar part name BODY METAL PANELS AND SEALING/BOLTED BODY PANELS - Wing panel -LH front&lt;/P&gt;&lt;P&gt;Product numbers FJA1071AE FJA1071AE&lt;/P&gt;&lt;P&gt;Fits starting from VIN/ModelYear MY1996 until VIN/ModelYear 042775&lt;/P&gt;&lt;P&gt;Condition: Dismantled from bottom &amp; engine damaged MY1997 XK8 Convertible VIN 0136xx&lt;/P&gt;&lt;P&gt; (part source KK)&lt;/P&gt;&lt;P&gt;Notes: Cratched, Needs proper re-primer before paint&lt;/P&gt;</v>
      </c>
      <c r="AA82" s="20" t="s">
        <v>1171</v>
      </c>
      <c r="AC82" s="20">
        <v>0</v>
      </c>
      <c r="AD82" s="20">
        <v>0</v>
      </c>
      <c r="AE82" s="20" t="s">
        <v>1172</v>
      </c>
      <c r="AF82" s="20">
        <v>7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O82" s="20" t="s">
        <v>1173</v>
      </c>
      <c r="AR82" s="20">
        <v>0</v>
      </c>
      <c r="AS82" s="20">
        <v>10112</v>
      </c>
      <c r="AV82" s="20" t="s">
        <v>1174</v>
      </c>
      <c r="AX82" s="20">
        <v>62128510024</v>
      </c>
      <c r="AY82" s="20">
        <v>62035811024</v>
      </c>
      <c r="AZ82" s="20">
        <v>55187694024</v>
      </c>
      <c r="BA82" s="20" t="s">
        <v>1175</v>
      </c>
      <c r="BB82" s="20" t="s">
        <v>1176</v>
      </c>
      <c r="BC82" s="20" t="s">
        <v>1177</v>
      </c>
      <c r="BD82" s="20">
        <v>1</v>
      </c>
      <c r="BE82" s="20">
        <v>0</v>
      </c>
      <c r="BF82" s="20">
        <v>0</v>
      </c>
      <c r="BG82" s="20">
        <v>0</v>
      </c>
      <c r="BN82" s="20" t="s">
        <v>1178</v>
      </c>
      <c r="BV82" s="20">
        <v>0</v>
      </c>
      <c r="CL82" s="20">
        <v>0</v>
      </c>
      <c r="DD82" s="20" t="s">
        <v>1179</v>
      </c>
      <c r="DE82" s="20" t="s">
        <v>1179</v>
      </c>
      <c r="DI82" s="20">
        <v>0</v>
      </c>
      <c r="DP82" s="21" t="s">
        <v>1180</v>
      </c>
      <c r="DQ82" s="21" t="str">
        <f>PartsMaster!$A57</f>
        <v>FJA1071AE</v>
      </c>
      <c r="DR82" s="21" t="s">
        <v>1181</v>
      </c>
      <c r="DS82" s="21" t="str">
        <f>PartsMaster!$K58&amp;" "&amp;PartsMaster!L58&amp;" "&amp;PartsMaster!$M58</f>
        <v xml:space="preserve">Rear Right </v>
      </c>
    </row>
    <row r="83" spans="1:123" ht="30" x14ac:dyDescent="0.25">
      <c r="A83" s="20" t="s">
        <v>1166</v>
      </c>
      <c r="B83" s="20" t="s">
        <v>1167</v>
      </c>
      <c r="C83" s="20" t="s">
        <v>1168</v>
      </c>
      <c r="D83" s="21" t="str">
        <f>PartsMaster!B161&amp;" "&amp;PartsMaster!$C161</f>
        <v>Jaguar XK8 XKR X100 Seatbelt Front - Topmount plastic cover trim</v>
      </c>
      <c r="E83" s="20">
        <v>3000</v>
      </c>
      <c r="F83" s="20" t="s">
        <v>1182</v>
      </c>
      <c r="H83" s="21">
        <f>PartsMaster!$Q161</f>
        <v>0</v>
      </c>
      <c r="I83" s="20">
        <v>9886</v>
      </c>
      <c r="K83" s="20">
        <v>0</v>
      </c>
      <c r="L83" s="20">
        <v>0</v>
      </c>
      <c r="M83" s="21">
        <f>PartsMaster!$D161</f>
        <v>0</v>
      </c>
      <c r="O83" s="20" t="s">
        <v>1169</v>
      </c>
      <c r="P83" s="23">
        <f>PartsMaster!$S161/1.45</f>
        <v>0</v>
      </c>
      <c r="S83" s="20">
        <v>30</v>
      </c>
      <c r="T83" s="20">
        <v>0</v>
      </c>
      <c r="U83" s="20" t="s">
        <v>1170</v>
      </c>
      <c r="Z83" s="26" t="str">
        <f>"&lt;P&gt;"&amp;PartsMaster!$I161&amp;" "&amp;PartsMaster!$H161&amp;"&lt;/P&gt;"&amp;"&lt;P&gt;Jaguar part name "&amp;PartsMaster!$E161&amp;"&lt;/P&gt;&lt;P&gt;Product numbers "&amp;PartsMaster!R161&amp;" "&amp;DQ83&amp;"&lt;/P&gt;&lt;P&gt;Fits starting from VIN/ModelYear "&amp;PartsMaster!$F161&amp;" until VIN/ModelYear "&amp;PartsMaster!$G161&amp;"&lt;/P&gt;&lt;P&gt;Condition: "&amp;PartsMaster!AB161&amp;"&lt;/P&gt;&lt;P&gt; (part source "&amp;PartsMaster!AD161&amp;")&lt;/P&gt;&lt;P&gt;Notes: "&amp;PartsMaster!AA161&amp;"&lt;/P&gt;"</f>
        <v>&lt;P&gt;Cap / Cover Cap / Cover / Trim&lt;/P&gt;&lt;P&gt;Jaguar part name Seatbelt Cap&lt;/P&gt;&lt;P&gt;Product numbers  HND7150AAHDX  &lt;/P&gt;&lt;P&gt;Fits starting from VIN/ModelYear 19229 until VIN/ModelYear &lt;/P&gt;&lt;P&gt;Condition: &lt;/P&gt;&lt;P&gt; (part source )&lt;/P&gt;&lt;P&gt;Notes: Speaker Element has NO Product number or identifier printer on it&lt;/P&gt;</v>
      </c>
      <c r="AA83" s="20" t="s">
        <v>1171</v>
      </c>
      <c r="AC83" s="20">
        <v>0</v>
      </c>
      <c r="AD83" s="20">
        <v>0</v>
      </c>
      <c r="AE83" s="20" t="s">
        <v>1172</v>
      </c>
      <c r="AF83" s="20">
        <v>7</v>
      </c>
      <c r="AG83" s="20">
        <v>0</v>
      </c>
      <c r="AH83" s="20">
        <v>0</v>
      </c>
      <c r="AI83" s="20">
        <v>0</v>
      </c>
      <c r="AJ83" s="20">
        <v>0</v>
      </c>
      <c r="AK83" s="20">
        <v>0</v>
      </c>
      <c r="AO83" s="20" t="s">
        <v>1173</v>
      </c>
      <c r="AR83" s="20">
        <v>0</v>
      </c>
      <c r="AS83" s="20">
        <v>10112</v>
      </c>
      <c r="AV83" s="20" t="s">
        <v>1174</v>
      </c>
      <c r="AX83" s="20">
        <v>62128510024</v>
      </c>
      <c r="AY83" s="20">
        <v>62035811024</v>
      </c>
      <c r="AZ83" s="20">
        <v>55187694024</v>
      </c>
      <c r="BA83" s="20" t="s">
        <v>1175</v>
      </c>
      <c r="BB83" s="20" t="s">
        <v>1176</v>
      </c>
      <c r="BC83" s="20" t="s">
        <v>1177</v>
      </c>
      <c r="BD83" s="20">
        <v>1</v>
      </c>
      <c r="BE83" s="20">
        <v>0</v>
      </c>
      <c r="BF83" s="20">
        <v>0</v>
      </c>
      <c r="BG83" s="20">
        <v>0</v>
      </c>
      <c r="BN83" s="20" t="s">
        <v>1178</v>
      </c>
      <c r="BV83" s="20">
        <v>0</v>
      </c>
      <c r="CL83" s="20">
        <v>0</v>
      </c>
      <c r="DD83" s="20" t="s">
        <v>1179</v>
      </c>
      <c r="DE83" s="20" t="s">
        <v>1179</v>
      </c>
      <c r="DI83" s="20">
        <v>0</v>
      </c>
      <c r="DP83" s="21" t="s">
        <v>1180</v>
      </c>
      <c r="DQ83" s="21" t="str">
        <f>PartsMaster!$A161</f>
        <v xml:space="preserve">HND7150AAHDX  </v>
      </c>
      <c r="DR83" s="21" t="s">
        <v>1181</v>
      </c>
      <c r="DS83" s="21" t="str">
        <f>PartsMaster!$K162&amp;" "&amp;PartsMaster!L162&amp;" "&amp;PartsMaster!$M162</f>
        <v>Front Left/Right Top</v>
      </c>
    </row>
    <row r="84" spans="1:123" x14ac:dyDescent="0.25">
      <c r="A84" s="20" t="s">
        <v>1166</v>
      </c>
      <c r="B84" s="20" t="s">
        <v>1167</v>
      </c>
      <c r="C84" s="20" t="s">
        <v>1168</v>
      </c>
      <c r="D84" s="21" t="str">
        <f>PartsMaster!B55&amp;" "&amp;PartsMaster!$C55</f>
        <v xml:space="preserve">Jaguar XK8 XKR X100 Rearview Mirror stem cover </v>
      </c>
      <c r="E84" s="20">
        <v>3000</v>
      </c>
      <c r="F84" s="20" t="s">
        <v>1182</v>
      </c>
      <c r="H84" s="21">
        <f>PartsMaster!$Q55</f>
        <v>0</v>
      </c>
      <c r="I84" s="20">
        <v>9886</v>
      </c>
      <c r="K84" s="20">
        <v>0</v>
      </c>
      <c r="L84" s="20">
        <v>0</v>
      </c>
      <c r="M84" s="21">
        <f>PartsMaster!$D55</f>
        <v>1</v>
      </c>
      <c r="O84" s="20" t="s">
        <v>1169</v>
      </c>
      <c r="P84" s="23">
        <f>PartsMaster!$S55/1.45</f>
        <v>0</v>
      </c>
      <c r="S84" s="20">
        <v>30</v>
      </c>
      <c r="T84" s="20">
        <v>0</v>
      </c>
      <c r="U84" s="20" t="s">
        <v>1170</v>
      </c>
      <c r="Z84" s="26" t="str">
        <f>"&lt;P&gt;"&amp;PartsMaster!$I55&amp;" "&amp;PartsMaster!$H55&amp;"&lt;/P&gt;"&amp;"&lt;P&gt;Jaguar part name "&amp;PartsMaster!$E55&amp;"&lt;/P&gt;&lt;P&gt;Product numbers "&amp;PartsMaster!R55&amp;" "&amp;DQ84&amp;"&lt;/P&gt;&lt;P&gt;Fits starting from VIN/ModelYear "&amp;PartsMaster!$F55&amp;" until VIN/ModelYear "&amp;PartsMaster!$G55&amp;"&lt;/P&gt;&lt;P&gt;Condition: "&amp;PartsMaster!AB55&amp;"&lt;/P&gt;&lt;P&gt; (part source "&amp;PartsMaster!AD55&amp;")&lt;/P&gt;&lt;P&gt;Notes: "&amp;PartsMaster!AA55&amp;"&lt;/P&gt;"</f>
        <v>&lt;P&gt;Mirrors Interior trim&lt;/P&gt;&lt;P&gt;Jaguar part name &lt;/P&gt;&lt;P&gt;Product numbers  HXF3131AB&lt;/P&gt;&lt;P&gt;Fits starting from VIN/ModelYear  until VIN/ModelYear &lt;/P&gt;&lt;P&gt;Condition: jaguxkr@gmail.com&lt;/P&gt;&lt;P&gt; (part source )&lt;/P&gt;&lt;P&gt;Notes: &lt;/P&gt;</v>
      </c>
      <c r="AA84" s="20" t="s">
        <v>1171</v>
      </c>
      <c r="AC84" s="20">
        <v>0</v>
      </c>
      <c r="AD84" s="20">
        <v>0</v>
      </c>
      <c r="AE84" s="20" t="s">
        <v>1172</v>
      </c>
      <c r="AF84" s="20">
        <v>7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O84" s="20" t="s">
        <v>1173</v>
      </c>
      <c r="AR84" s="20">
        <v>0</v>
      </c>
      <c r="AS84" s="20">
        <v>10112</v>
      </c>
      <c r="AV84" s="20" t="s">
        <v>1174</v>
      </c>
      <c r="AX84" s="20">
        <v>62128510024</v>
      </c>
      <c r="AY84" s="20">
        <v>62035811024</v>
      </c>
      <c r="AZ84" s="20">
        <v>55187694024</v>
      </c>
      <c r="BA84" s="20" t="s">
        <v>1175</v>
      </c>
      <c r="BB84" s="20" t="s">
        <v>1176</v>
      </c>
      <c r="BC84" s="20" t="s">
        <v>1177</v>
      </c>
      <c r="BD84" s="20">
        <v>1</v>
      </c>
      <c r="BE84" s="20">
        <v>0</v>
      </c>
      <c r="BF84" s="20">
        <v>0</v>
      </c>
      <c r="BG84" s="20">
        <v>0</v>
      </c>
      <c r="BN84" s="20" t="s">
        <v>1178</v>
      </c>
      <c r="BV84" s="20">
        <v>0</v>
      </c>
      <c r="CL84" s="20">
        <v>0</v>
      </c>
      <c r="DD84" s="20" t="s">
        <v>1179</v>
      </c>
      <c r="DE84" s="20" t="s">
        <v>1179</v>
      </c>
      <c r="DI84" s="20">
        <v>0</v>
      </c>
      <c r="DP84" s="21" t="s">
        <v>1180</v>
      </c>
      <c r="DQ84" s="21" t="str">
        <f>PartsMaster!$A55</f>
        <v>HXF3131AB</v>
      </c>
      <c r="DR84" s="21" t="s">
        <v>1181</v>
      </c>
      <c r="DS84" s="21" t="str">
        <f>PartsMaster!$K56&amp;" "&amp;PartsMaster!L56&amp;" "&amp;PartsMaster!$M56</f>
        <v xml:space="preserve">Front Right </v>
      </c>
    </row>
    <row r="85" spans="1:123" ht="30" x14ac:dyDescent="0.25">
      <c r="A85" s="20" t="s">
        <v>1166</v>
      </c>
      <c r="B85" s="20" t="s">
        <v>1167</v>
      </c>
      <c r="C85" s="20" t="s">
        <v>1168</v>
      </c>
      <c r="D85" s="21" t="str">
        <f>PartsMaster!B98&amp;" "&amp;PartsMaster!$C98</f>
        <v>Jaguar XK8 XKR X100 Seat  - Mechanism cover</v>
      </c>
      <c r="E85" s="20">
        <v>3000</v>
      </c>
      <c r="F85" s="20" t="s">
        <v>1182</v>
      </c>
      <c r="H85" s="21">
        <f>PartsMaster!$Q98</f>
        <v>0</v>
      </c>
      <c r="I85" s="20">
        <v>9886</v>
      </c>
      <c r="K85" s="20">
        <v>0</v>
      </c>
      <c r="L85" s="20">
        <v>0</v>
      </c>
      <c r="M85" s="21">
        <f>PartsMaster!$D98</f>
        <v>0</v>
      </c>
      <c r="O85" s="20" t="s">
        <v>1169</v>
      </c>
      <c r="P85" s="23">
        <f>PartsMaster!$S98/1.45</f>
        <v>0</v>
      </c>
      <c r="S85" s="20">
        <v>30</v>
      </c>
      <c r="T85" s="20">
        <v>0</v>
      </c>
      <c r="U85" s="20" t="s">
        <v>1170</v>
      </c>
      <c r="Z85" s="26" t="str">
        <f>"&lt;P&gt;"&amp;PartsMaster!$I98&amp;" "&amp;PartsMaster!$H98&amp;"&lt;/P&gt;"&amp;"&lt;P&gt;Jaguar part name "&amp;PartsMaster!$E98&amp;"&lt;/P&gt;&lt;P&gt;Product numbers "&amp;PartsMaster!R98&amp;" "&amp;DQ85&amp;"&lt;/P&gt;&lt;P&gt;Fits starting from VIN/ModelYear "&amp;PartsMaster!$F98&amp;" until VIN/ModelYear "&amp;PartsMaster!$G98&amp;"&lt;/P&gt;&lt;P&gt;Condition: "&amp;PartsMaster!AB98&amp;"&lt;/P&gt;&lt;P&gt; (part source "&amp;PartsMaster!AD98&amp;")&lt;/P&gt;&lt;P&gt;Notes: "&amp;PartsMaster!AA98&amp;"&lt;/P&gt;"</f>
        <v>&lt;P&gt;Cap / Cover Cap / Cover / Trim&lt;/P&gt;&lt;P&gt;Jaguar part name SEATING/FRONT SEATS, TRIM AND FITTINGS  - Sports trim - Mechanism cover&lt;/P&gt;&lt;P&gt;Product numbers  GJB4731AA/AGD 
GJB4731AAAGD &lt;/P&gt;&lt;P&gt;Fits starting from VIN/ModelYear 18108 until VIN/ModelYear -&lt;/P&gt;&lt;P&gt;Condition: &lt;/P&gt;&lt;P&gt; (part source )&lt;/P&gt;&lt;P&gt;Notes: &lt;/P&gt;</v>
      </c>
      <c r="AA85" s="20" t="s">
        <v>1171</v>
      </c>
      <c r="AC85" s="20">
        <v>0</v>
      </c>
      <c r="AD85" s="20">
        <v>0</v>
      </c>
      <c r="AE85" s="20" t="s">
        <v>1172</v>
      </c>
      <c r="AF85" s="20">
        <v>7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O85" s="20" t="s">
        <v>1173</v>
      </c>
      <c r="AR85" s="20">
        <v>0</v>
      </c>
      <c r="AS85" s="20">
        <v>10112</v>
      </c>
      <c r="AV85" s="20" t="s">
        <v>1174</v>
      </c>
      <c r="AX85" s="20">
        <v>62128510024</v>
      </c>
      <c r="AY85" s="20">
        <v>62035811024</v>
      </c>
      <c r="AZ85" s="20">
        <v>55187694024</v>
      </c>
      <c r="BA85" s="20" t="s">
        <v>1175</v>
      </c>
      <c r="BB85" s="20" t="s">
        <v>1176</v>
      </c>
      <c r="BC85" s="20" t="s">
        <v>1177</v>
      </c>
      <c r="BD85" s="20">
        <v>1</v>
      </c>
      <c r="BE85" s="20">
        <v>0</v>
      </c>
      <c r="BF85" s="20">
        <v>0</v>
      </c>
      <c r="BG85" s="20">
        <v>0</v>
      </c>
      <c r="BN85" s="20" t="s">
        <v>1178</v>
      </c>
      <c r="BV85" s="20">
        <v>0</v>
      </c>
      <c r="CL85" s="20">
        <v>0</v>
      </c>
      <c r="DD85" s="20" t="s">
        <v>1179</v>
      </c>
      <c r="DE85" s="20" t="s">
        <v>1179</v>
      </c>
      <c r="DI85" s="20">
        <v>0</v>
      </c>
      <c r="DP85" s="21" t="s">
        <v>1180</v>
      </c>
      <c r="DQ85" s="21" t="str">
        <f>PartsMaster!$A98</f>
        <v xml:space="preserve">GJB4731AA/AGD 
GJB4731AAAGD </v>
      </c>
      <c r="DR85" s="21" t="s">
        <v>1181</v>
      </c>
      <c r="DS85" s="21" t="str">
        <f>PartsMaster!$K99&amp;" "&amp;PartsMaster!L99&amp;" "&amp;PartsMaster!$M99</f>
        <v>Front Left Low</v>
      </c>
    </row>
    <row r="86" spans="1:123" ht="30" x14ac:dyDescent="0.25">
      <c r="A86" s="20" t="s">
        <v>1166</v>
      </c>
      <c r="B86" s="20" t="s">
        <v>1167</v>
      </c>
      <c r="C86" s="20" t="s">
        <v>1168</v>
      </c>
      <c r="D86" s="21" t="str">
        <f>PartsMaster!B105&amp;" "&amp;PartsMaster!$C105</f>
        <v>Jaguar XK8 XKR X100 Flange finisher</v>
      </c>
      <c r="E86" s="20">
        <v>3000</v>
      </c>
      <c r="F86" s="20" t="s">
        <v>1182</v>
      </c>
      <c r="H86" s="21" t="str">
        <f>PartsMaster!$Q105</f>
        <v>Flange finisher</v>
      </c>
      <c r="I86" s="20">
        <v>9886</v>
      </c>
      <c r="K86" s="20">
        <v>0</v>
      </c>
      <c r="L86" s="20">
        <v>0</v>
      </c>
      <c r="M86" s="21">
        <f>PartsMaster!$D105</f>
        <v>2</v>
      </c>
      <c r="O86" s="20" t="s">
        <v>1169</v>
      </c>
      <c r="P86" s="23">
        <f>PartsMaster!$S105/1.45</f>
        <v>0</v>
      </c>
      <c r="S86" s="20">
        <v>30</v>
      </c>
      <c r="T86" s="20">
        <v>0</v>
      </c>
      <c r="U86" s="20" t="s">
        <v>1170</v>
      </c>
      <c r="Z86" s="26" t="str">
        <f>"&lt;P&gt;"&amp;PartsMaster!$I105&amp;" "&amp;PartsMaster!$H105&amp;"&lt;/P&gt;"&amp;"&lt;P&gt;Jaguar part name "&amp;PartsMaster!$E105&amp;"&lt;/P&gt;&lt;P&gt;Product numbers "&amp;PartsMaster!R105&amp;" "&amp;DQ86&amp;"&lt;/P&gt;&lt;P&gt;Fits starting from VIN/ModelYear "&amp;PartsMaster!$F105&amp;" until VIN/ModelYear "&amp;PartsMaster!$G105&amp;"&lt;/P&gt;&lt;P&gt;Condition: "&amp;PartsMaster!AB105&amp;"&lt;/P&gt;&lt;P&gt; (part source "&amp;PartsMaster!AD105&amp;")&lt;/P&gt;&lt;P&gt;Notes: "&amp;PartsMaster!AA105&amp;"&lt;/P&gt;"</f>
        <v>&lt;P&gt;Seals Door seals&lt;/P&gt;&lt;P&gt;Jaguar part name BODY CLOSURES AND SEALINGS/DOOR SEALS - Flange finisher&lt;/P&gt;&lt;P&gt;Product numbers HJA1651AD HJA1651AD&lt;/P&gt;&lt;P&gt;Fits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86" s="20" t="s">
        <v>1171</v>
      </c>
      <c r="AC86" s="20">
        <v>0</v>
      </c>
      <c r="AD86" s="20">
        <v>0</v>
      </c>
      <c r="AE86" s="20" t="s">
        <v>1172</v>
      </c>
      <c r="AF86" s="20">
        <v>7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O86" s="20" t="s">
        <v>1173</v>
      </c>
      <c r="AR86" s="20">
        <v>0</v>
      </c>
      <c r="AS86" s="20">
        <v>10112</v>
      </c>
      <c r="AV86" s="20" t="s">
        <v>1174</v>
      </c>
      <c r="AX86" s="20">
        <v>62128510024</v>
      </c>
      <c r="AY86" s="20">
        <v>62035811024</v>
      </c>
      <c r="AZ86" s="20">
        <v>55187694024</v>
      </c>
      <c r="BA86" s="20" t="s">
        <v>1175</v>
      </c>
      <c r="BB86" s="20" t="s">
        <v>1176</v>
      </c>
      <c r="BC86" s="20" t="s">
        <v>1177</v>
      </c>
      <c r="BD86" s="20">
        <v>1</v>
      </c>
      <c r="BE86" s="20">
        <v>0</v>
      </c>
      <c r="BF86" s="20">
        <v>0</v>
      </c>
      <c r="BG86" s="20">
        <v>0</v>
      </c>
      <c r="BN86" s="20" t="s">
        <v>1178</v>
      </c>
      <c r="BV86" s="20">
        <v>0</v>
      </c>
      <c r="CL86" s="20">
        <v>0</v>
      </c>
      <c r="DD86" s="20" t="s">
        <v>1179</v>
      </c>
      <c r="DE86" s="20" t="s">
        <v>1179</v>
      </c>
      <c r="DI86" s="20">
        <v>0</v>
      </c>
      <c r="DP86" s="21" t="s">
        <v>1180</v>
      </c>
      <c r="DQ86" s="21" t="str">
        <f>PartsMaster!$A105</f>
        <v>HJA1651AD</v>
      </c>
      <c r="DR86" s="21" t="s">
        <v>1181</v>
      </c>
      <c r="DS86" s="21" t="str">
        <f>PartsMaster!$K106&amp;" "&amp;PartsMaster!L106&amp;" "&amp;PartsMaster!$M106</f>
        <v xml:space="preserve">Front Left/Right </v>
      </c>
    </row>
    <row r="87" spans="1:123" ht="30" x14ac:dyDescent="0.25">
      <c r="A87" s="20" t="s">
        <v>1166</v>
      </c>
      <c r="B87" s="20" t="s">
        <v>1167</v>
      </c>
      <c r="C87" s="20" t="s">
        <v>1168</v>
      </c>
      <c r="D87" s="21" t="str">
        <f>PartsMaster!B106&amp;" "&amp;PartsMaster!$C106</f>
        <v>Jaguar XK8 XKR X100 Bonnet - Struts</v>
      </c>
      <c r="E87" s="20">
        <v>3000</v>
      </c>
      <c r="F87" s="20" t="s">
        <v>1182</v>
      </c>
      <c r="H87" s="21" t="str">
        <f>PartsMaster!$Q106</f>
        <v>STRUT-BONNET</v>
      </c>
      <c r="I87" s="20">
        <v>9886</v>
      </c>
      <c r="K87" s="20">
        <v>0</v>
      </c>
      <c r="L87" s="20">
        <v>0</v>
      </c>
      <c r="M87" s="21">
        <f>PartsMaster!$D106</f>
        <v>0</v>
      </c>
      <c r="O87" s="20" t="s">
        <v>1169</v>
      </c>
      <c r="P87" s="23">
        <f>PartsMaster!$S106/1.45</f>
        <v>0</v>
      </c>
      <c r="S87" s="20">
        <v>30</v>
      </c>
      <c r="T87" s="20">
        <v>0</v>
      </c>
      <c r="U87" s="20" t="s">
        <v>1170</v>
      </c>
      <c r="Z87" s="26" t="str">
        <f>"&lt;P&gt;"&amp;PartsMaster!$I106&amp;" "&amp;PartsMaster!$H106&amp;"&lt;/P&gt;"&amp;"&lt;P&gt;Jaguar part name "&amp;PartsMaster!$E106&amp;"&lt;/P&gt;&lt;P&gt;Product numbers "&amp;PartsMaster!R106&amp;" "&amp;DQ87&amp;"&lt;/P&gt;&lt;P&gt;Fits starting from VIN/ModelYear "&amp;PartsMaster!$F106&amp;" until VIN/ModelYear "&amp;PartsMaster!$G106&amp;"&lt;/P&gt;&lt;P&gt;Condition: "&amp;PartsMaster!AB106&amp;"&lt;/P&gt;&lt;P&gt; (part source "&amp;PartsMaster!AD106&amp;")&lt;/P&gt;&lt;P&gt;Notes: "&amp;PartsMaster!AA106&amp;"&lt;/P&gt;"</f>
        <v>&lt;P&gt;Mount Struts&lt;/P&gt;&lt;P&gt;Jaguar part name &lt;/P&gt;&lt;P&gt;Product numbers HJA2500AB HJA2500AB&lt;/P&gt;&lt;P&gt;Fits starting from VIN/ModelYear  until VIN/ModelYear &lt;/P&gt;&lt;P&gt;Condition: British Parts&lt;/P&gt;&lt;P&gt; (part source )&lt;/P&gt;&lt;P&gt;Notes: Mfg date mm/96 until 04/97?&lt;/P&gt;</v>
      </c>
      <c r="AA87" s="20" t="s">
        <v>1171</v>
      </c>
      <c r="AC87" s="20">
        <v>0</v>
      </c>
      <c r="AD87" s="20">
        <v>0</v>
      </c>
      <c r="AE87" s="20" t="s">
        <v>1172</v>
      </c>
      <c r="AF87" s="20">
        <v>7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O87" s="20" t="s">
        <v>1173</v>
      </c>
      <c r="AR87" s="20">
        <v>0</v>
      </c>
      <c r="AS87" s="20">
        <v>10112</v>
      </c>
      <c r="AV87" s="20" t="s">
        <v>1174</v>
      </c>
      <c r="AX87" s="20">
        <v>62128510024</v>
      </c>
      <c r="AY87" s="20">
        <v>62035811024</v>
      </c>
      <c r="AZ87" s="20">
        <v>55187694024</v>
      </c>
      <c r="BA87" s="20" t="s">
        <v>1175</v>
      </c>
      <c r="BB87" s="20" t="s">
        <v>1176</v>
      </c>
      <c r="BC87" s="20" t="s">
        <v>1177</v>
      </c>
      <c r="BD87" s="20">
        <v>1</v>
      </c>
      <c r="BE87" s="20">
        <v>0</v>
      </c>
      <c r="BF87" s="20">
        <v>0</v>
      </c>
      <c r="BG87" s="20">
        <v>0</v>
      </c>
      <c r="BN87" s="20" t="s">
        <v>1178</v>
      </c>
      <c r="BV87" s="20">
        <v>0</v>
      </c>
      <c r="CL87" s="20">
        <v>0</v>
      </c>
      <c r="DD87" s="20" t="s">
        <v>1179</v>
      </c>
      <c r="DE87" s="20" t="s">
        <v>1179</v>
      </c>
      <c r="DI87" s="20">
        <v>0</v>
      </c>
      <c r="DP87" s="21" t="s">
        <v>1180</v>
      </c>
      <c r="DQ87" s="21" t="str">
        <f>PartsMaster!$A106</f>
        <v>HJA2500AB</v>
      </c>
      <c r="DR87" s="21" t="s">
        <v>1181</v>
      </c>
      <c r="DS87" s="21" t="str">
        <f>PartsMaster!$K107&amp;" "&amp;PartsMaster!L107&amp;" "&amp;PartsMaster!$M107</f>
        <v xml:space="preserve">Front Right </v>
      </c>
    </row>
    <row r="88" spans="1:123" ht="30" x14ac:dyDescent="0.25">
      <c r="A88" s="20" t="s">
        <v>1166</v>
      </c>
      <c r="B88" s="20" t="s">
        <v>1167</v>
      </c>
      <c r="C88" s="20" t="s">
        <v>1168</v>
      </c>
      <c r="D88" s="21" t="str">
        <f>PartsMaster!B61&amp;" "&amp;PartsMaster!$C61</f>
        <v>Jaguar XK8 XKR X100 Door</v>
      </c>
      <c r="E88" s="20">
        <v>3000</v>
      </c>
      <c r="F88" s="20" t="s">
        <v>1182</v>
      </c>
      <c r="H88" s="21" t="str">
        <f>PartsMaster!$Q61</f>
        <v>Door - Right</v>
      </c>
      <c r="I88" s="20">
        <v>9886</v>
      </c>
      <c r="K88" s="20">
        <v>0</v>
      </c>
      <c r="L88" s="20">
        <v>0</v>
      </c>
      <c r="M88" s="21">
        <f>PartsMaster!$D61</f>
        <v>0</v>
      </c>
      <c r="O88" s="20" t="s">
        <v>1169</v>
      </c>
      <c r="P88" s="23">
        <f>PartsMaster!$S61/1.45</f>
        <v>196.55172413793105</v>
      </c>
      <c r="S88" s="20">
        <v>30</v>
      </c>
      <c r="T88" s="20">
        <v>0</v>
      </c>
      <c r="U88" s="20" t="s">
        <v>1170</v>
      </c>
      <c r="Z88" s="26" t="str">
        <f>"&lt;P&gt;"&amp;PartsMaster!$I61&amp;" "&amp;PartsMaster!$H61&amp;"&lt;/P&gt;"&amp;"&lt;P&gt;Jaguar part name "&amp;PartsMaster!$E61&amp;"&lt;/P&gt;&lt;P&gt;Product numbers "&amp;PartsMaster!R61&amp;" "&amp;DQ88&amp;"&lt;/P&gt;&lt;P&gt;Fits starting from VIN/ModelYear "&amp;PartsMaster!$F61&amp;" until VIN/ModelYear "&amp;PartsMaster!$G61&amp;"&lt;/P&gt;&lt;P&gt;Condition: "&amp;PartsMaster!AB61&amp;"&lt;/P&gt;&lt;P&gt; (part source "&amp;PartsMaster!AD61&amp;")&lt;/P&gt;&lt;P&gt;Notes: "&amp;PartsMaster!AA61&amp;"&lt;/P&gt;"</f>
        <v>&lt;P&gt;Body Body panel&lt;/P&gt;&lt;P&gt;Jaguar part name BODY METAL PANELS AND SEALING/BOLTED BODY PANELS&lt;/P&gt;&lt;P&gt;Product numbers FJA3028AE FJA3028AE&lt;/P&gt;&lt;P&gt;Fits starting from VIN/ModelYear  until VIN/ModelYear 042775&lt;/P&gt;&lt;P&gt;Condition: &lt;/P&gt;&lt;P&gt; (part source KK)&lt;/P&gt;&lt;P&gt;Notes: Convertible&lt;/P&gt;</v>
      </c>
      <c r="AA88" s="20" t="s">
        <v>1171</v>
      </c>
      <c r="AC88" s="20">
        <v>0</v>
      </c>
      <c r="AD88" s="20">
        <v>0</v>
      </c>
      <c r="AE88" s="20" t="s">
        <v>1172</v>
      </c>
      <c r="AF88" s="20">
        <v>7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O88" s="20" t="s">
        <v>1173</v>
      </c>
      <c r="AR88" s="20">
        <v>0</v>
      </c>
      <c r="AS88" s="20">
        <v>10112</v>
      </c>
      <c r="AV88" s="20" t="s">
        <v>1174</v>
      </c>
      <c r="AX88" s="20">
        <v>62128510024</v>
      </c>
      <c r="AY88" s="20">
        <v>62035811024</v>
      </c>
      <c r="AZ88" s="20">
        <v>55187694024</v>
      </c>
      <c r="BA88" s="20" t="s">
        <v>1175</v>
      </c>
      <c r="BB88" s="20" t="s">
        <v>1176</v>
      </c>
      <c r="BC88" s="20" t="s">
        <v>1177</v>
      </c>
      <c r="BD88" s="20">
        <v>1</v>
      </c>
      <c r="BE88" s="20">
        <v>0</v>
      </c>
      <c r="BF88" s="20">
        <v>0</v>
      </c>
      <c r="BG88" s="20">
        <v>0</v>
      </c>
      <c r="BN88" s="20" t="s">
        <v>1178</v>
      </c>
      <c r="BV88" s="20">
        <v>0</v>
      </c>
      <c r="CL88" s="20">
        <v>0</v>
      </c>
      <c r="DD88" s="20" t="s">
        <v>1179</v>
      </c>
      <c r="DE88" s="20" t="s">
        <v>1179</v>
      </c>
      <c r="DI88" s="20">
        <v>0</v>
      </c>
      <c r="DP88" s="21" t="s">
        <v>1180</v>
      </c>
      <c r="DQ88" s="21" t="str">
        <f>PartsMaster!$A61</f>
        <v>FJA3028AE</v>
      </c>
      <c r="DR88" s="21" t="s">
        <v>1181</v>
      </c>
      <c r="DS88" s="21" t="str">
        <f>PartsMaster!$K62&amp;" "&amp;PartsMaster!L62&amp;" "&amp;PartsMaster!$M62</f>
        <v>Front Left NA</v>
      </c>
    </row>
    <row r="89" spans="1:123" ht="30" hidden="1" x14ac:dyDescent="0.25">
      <c r="A89" s="20" t="s">
        <v>1166</v>
      </c>
      <c r="B89" s="20" t="s">
        <v>1167</v>
      </c>
      <c r="C89" s="20" t="s">
        <v>1168</v>
      </c>
      <c r="D89" s="21" t="str">
        <f>PartsMaster!B81&amp;" "&amp;PartsMaster!$C81</f>
        <v>Jaguar XK8 XKR X100 Fusebox Cover Trunc</v>
      </c>
      <c r="E89" s="20">
        <v>3000</v>
      </c>
      <c r="F89" s="20" t="s">
        <v>1182</v>
      </c>
      <c r="H89" s="21">
        <f>PartsMaster!$Q81</f>
        <v>0</v>
      </c>
      <c r="I89" s="20">
        <v>9886</v>
      </c>
      <c r="K89" s="20">
        <v>0</v>
      </c>
      <c r="L89" s="20">
        <v>0</v>
      </c>
      <c r="M89" s="21">
        <f>PartsMaster!$D81</f>
        <v>0</v>
      </c>
      <c r="O89" s="20" t="s">
        <v>1169</v>
      </c>
      <c r="P89" s="23">
        <f>PartsMaster!$S81/1.45</f>
        <v>0</v>
      </c>
      <c r="S89" s="20">
        <v>30</v>
      </c>
      <c r="T89" s="20">
        <v>0</v>
      </c>
      <c r="U89" s="20" t="s">
        <v>1170</v>
      </c>
      <c r="Z89" s="26" t="str">
        <f>"&lt;P&gt;"&amp;PartsMaster!$I81&amp;" "&amp;PartsMaster!$H81&amp;"&lt;/P&gt;"&amp;"&lt;P&gt;Jaguar part name "&amp;PartsMaster!$E81&amp;"&lt;/P&gt;&lt;P&gt;Product numbers "&amp;PartsMaster!R81&amp;" "&amp;DQ89&amp;"&lt;/P&gt;&lt;P&gt;Fits starting from VIN/ModelYear "&amp;PartsMaster!$F81&amp;" until VIN/ModelYear "&amp;PartsMaster!$G81&amp;"&lt;/P&gt;&lt;P&gt;Condition: "&amp;PartsMaster!AB81&amp;"&lt;/P&gt;&lt;P&gt; (part source "&amp;PartsMaster!AD81&amp;")&lt;/P&gt;&lt;P&gt;Notes: "&amp;PartsMaster!AA81&amp;"&lt;/P&gt;"</f>
        <v>&lt;P&gt;Cap / Cover Cap / Cover / Trim&lt;/P&gt;&lt;P&gt;Jaguar part name &lt;/P&gt;&lt;P&gt;Product numbers GJA3892AA GJA3892AA&lt;/P&gt;&lt;P&gt;Fits starting from VIN/ModelYear  until VIN/ModelYear &lt;/P&gt;&lt;P&gt;Condition: &lt;/P&gt;&lt;P&gt; (part source )&lt;/P&gt;&lt;P&gt;Notes: &lt;/P&gt;</v>
      </c>
      <c r="AA89" s="20" t="s">
        <v>1171</v>
      </c>
      <c r="AC89" s="20">
        <v>0</v>
      </c>
      <c r="AD89" s="20">
        <v>0</v>
      </c>
      <c r="AE89" s="20" t="s">
        <v>1172</v>
      </c>
      <c r="AF89" s="20">
        <v>7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O89" s="20" t="s">
        <v>1173</v>
      </c>
      <c r="AR89" s="20">
        <v>0</v>
      </c>
      <c r="AS89" s="20">
        <v>10112</v>
      </c>
      <c r="AV89" s="20" t="s">
        <v>1174</v>
      </c>
      <c r="AX89" s="20">
        <v>62128510024</v>
      </c>
      <c r="AY89" s="20">
        <v>62035811024</v>
      </c>
      <c r="AZ89" s="20">
        <v>55187694024</v>
      </c>
      <c r="BA89" s="20" t="s">
        <v>1175</v>
      </c>
      <c r="BB89" s="20" t="s">
        <v>1176</v>
      </c>
      <c r="BC89" s="20" t="s">
        <v>1177</v>
      </c>
      <c r="BD89" s="20">
        <v>1</v>
      </c>
      <c r="BE89" s="20">
        <v>0</v>
      </c>
      <c r="BF89" s="20">
        <v>0</v>
      </c>
      <c r="BG89" s="20">
        <v>0</v>
      </c>
      <c r="BN89" s="20" t="s">
        <v>1178</v>
      </c>
      <c r="BV89" s="20">
        <v>0</v>
      </c>
      <c r="CL89" s="20">
        <v>0</v>
      </c>
      <c r="DD89" s="20" t="s">
        <v>1179</v>
      </c>
      <c r="DE89" s="20" t="s">
        <v>1179</v>
      </c>
      <c r="DI89" s="20">
        <v>0</v>
      </c>
      <c r="DP89" s="21" t="s">
        <v>1180</v>
      </c>
      <c r="DQ89" s="21" t="str">
        <f>PartsMaster!$A81</f>
        <v>GJA3892AA</v>
      </c>
      <c r="DR89" s="21" t="s">
        <v>1181</v>
      </c>
      <c r="DS89" s="21" t="str">
        <f>PartsMaster!$K82&amp;" "&amp;PartsMaster!L82&amp;" "&amp;PartsMaster!$M82</f>
        <v>Front Right Low</v>
      </c>
    </row>
    <row r="90" spans="1:123" hidden="1" x14ac:dyDescent="0.25">
      <c r="A90" s="20" t="s">
        <v>1166</v>
      </c>
      <c r="B90" s="20" t="s">
        <v>1167</v>
      </c>
      <c r="C90" s="20" t="s">
        <v>1168</v>
      </c>
      <c r="D90" s="21" t="str">
        <f>PartsMaster!B412&amp;" "&amp;PartsMaster!$C412</f>
        <v>Jaguar XK8 XKR X100 Spark Plugs</v>
      </c>
      <c r="E90" s="20">
        <v>3000</v>
      </c>
      <c r="F90" s="20" t="s">
        <v>1182</v>
      </c>
      <c r="H90" s="21">
        <f>PartsMaster!$Q412</f>
        <v>0</v>
      </c>
      <c r="I90" s="20">
        <v>9886</v>
      </c>
      <c r="K90" s="20">
        <v>0</v>
      </c>
      <c r="L90" s="20">
        <v>0</v>
      </c>
      <c r="M90" s="21">
        <f>PartsMaster!$D412</f>
        <v>0</v>
      </c>
      <c r="O90" s="20" t="s">
        <v>1169</v>
      </c>
      <c r="P90" s="23">
        <f>PartsMaster!$S412/1.45</f>
        <v>0</v>
      </c>
      <c r="S90" s="20">
        <v>30</v>
      </c>
      <c r="T90" s="20">
        <v>0</v>
      </c>
      <c r="U90" s="20" t="s">
        <v>1170</v>
      </c>
      <c r="Z90" s="26" t="str">
        <f>"&lt;P&gt;"&amp;PartsMaster!$I412&amp;" "&amp;PartsMaster!$H412&amp;"&lt;/P&gt;"&amp;"&lt;P&gt;Jaguar part name "&amp;PartsMaster!$E412&amp;"&lt;/P&gt;&lt;P&gt;Product numbers "&amp;PartsMaster!R412&amp;" "&amp;DQ90&amp;"&lt;/P&gt;&lt;P&gt;Fits starting from VIN/ModelYear "&amp;PartsMaster!$F412&amp;" until VIN/ModelYear "&amp;PartsMaster!$G412&amp;"&lt;/P&gt;&lt;P&gt;Condition: "&amp;PartsMaster!AB412&amp;"&lt;/P&gt;&lt;P&gt; (part source "&amp;PartsMaster!AD412&amp;")&lt;/P&gt;&lt;P&gt;Notes: "&amp;PartsMaster!AA412&amp;"&lt;/P&gt;"</f>
        <v>&lt;P&gt;Engine ignition &lt;/P&gt;&lt;P&gt;Jaguar part name &lt;/P&gt;&lt;P&gt;Product numbers  0&lt;/P&gt;&lt;P&gt;Fits starting from VIN/ModelYear  until VIN/ModelYear &lt;/P&gt;&lt;P&gt;Condition: &lt;/P&gt;&lt;P&gt; (part source )&lt;/P&gt;&lt;P&gt;Notes: &lt;/P&gt;</v>
      </c>
      <c r="AA90" s="20" t="s">
        <v>1171</v>
      </c>
      <c r="AC90" s="20">
        <v>0</v>
      </c>
      <c r="AD90" s="20">
        <v>0</v>
      </c>
      <c r="AE90" s="20" t="s">
        <v>1172</v>
      </c>
      <c r="AF90" s="20">
        <v>7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O90" s="20" t="s">
        <v>1173</v>
      </c>
      <c r="AR90" s="20">
        <v>0</v>
      </c>
      <c r="AS90" s="20">
        <v>10112</v>
      </c>
      <c r="AV90" s="20" t="s">
        <v>1174</v>
      </c>
      <c r="AX90" s="20">
        <v>62128510024</v>
      </c>
      <c r="AY90" s="20">
        <v>62035811024</v>
      </c>
      <c r="AZ90" s="20">
        <v>55187694024</v>
      </c>
      <c r="BA90" s="20" t="s">
        <v>1175</v>
      </c>
      <c r="BB90" s="20" t="s">
        <v>1176</v>
      </c>
      <c r="BC90" s="20" t="s">
        <v>1177</v>
      </c>
      <c r="BD90" s="20">
        <v>1</v>
      </c>
      <c r="BE90" s="20">
        <v>0</v>
      </c>
      <c r="BF90" s="20">
        <v>0</v>
      </c>
      <c r="BG90" s="20">
        <v>0</v>
      </c>
      <c r="BN90" s="20" t="s">
        <v>1178</v>
      </c>
      <c r="BV90" s="20">
        <v>0</v>
      </c>
      <c r="CL90" s="20">
        <v>0</v>
      </c>
      <c r="DD90" s="20" t="s">
        <v>1179</v>
      </c>
      <c r="DE90" s="20" t="s">
        <v>1179</v>
      </c>
      <c r="DI90" s="20">
        <v>0</v>
      </c>
      <c r="DP90" s="21" t="s">
        <v>1180</v>
      </c>
      <c r="DQ90" s="21">
        <f>PartsMaster!$A412</f>
        <v>0</v>
      </c>
      <c r="DR90" s="21" t="s">
        <v>1181</v>
      </c>
      <c r="DS90" s="21" t="str">
        <f>PartsMaster!$K413&amp;" "&amp;PartsMaster!L413&amp;" "&amp;PartsMaster!$M413</f>
        <v xml:space="preserve">  </v>
      </c>
    </row>
    <row r="91" spans="1:123" ht="30" hidden="1" x14ac:dyDescent="0.25">
      <c r="A91" s="20" t="s">
        <v>1166</v>
      </c>
      <c r="B91" s="20" t="s">
        <v>1167</v>
      </c>
      <c r="C91" s="20" t="s">
        <v>1168</v>
      </c>
      <c r="D91" s="21" t="str">
        <f>PartsMaster!B86&amp;" "&amp;PartsMaster!$C86</f>
        <v>Jaguar XK8 XKR X100 Facia vent</v>
      </c>
      <c r="E91" s="20">
        <v>3000</v>
      </c>
      <c r="F91" s="20" t="s">
        <v>1182</v>
      </c>
      <c r="H91" s="21" t="str">
        <f>PartsMaster!$Q86</f>
        <v>Facia vent</v>
      </c>
      <c r="I91" s="20">
        <v>9886</v>
      </c>
      <c r="K91" s="20">
        <v>0</v>
      </c>
      <c r="L91" s="20">
        <v>0</v>
      </c>
      <c r="M91" s="21">
        <f>PartsMaster!$D86</f>
        <v>1</v>
      </c>
      <c r="O91" s="20" t="s">
        <v>1169</v>
      </c>
      <c r="P91" s="23">
        <f>PartsMaster!$S86/1.45</f>
        <v>0</v>
      </c>
      <c r="S91" s="20">
        <v>30</v>
      </c>
      <c r="T91" s="20">
        <v>0</v>
      </c>
      <c r="U91" s="20" t="s">
        <v>1170</v>
      </c>
      <c r="Z91" s="26" t="str">
        <f>"&lt;P&gt;"&amp;PartsMaster!$I86&amp;" "&amp;PartsMaster!$H86&amp;"&lt;/P&gt;"&amp;"&lt;P&gt;Jaguar part name "&amp;PartsMaster!$E86&amp;"&lt;/P&gt;&lt;P&gt;Product numbers "&amp;PartsMaster!R86&amp;" "&amp;DQ91&amp;"&lt;/P&gt;&lt;P&gt;Fits starting from VIN/ModelYear "&amp;PartsMaster!$F86&amp;" until VIN/ModelYear "&amp;PartsMaster!$G86&amp;"&lt;/P&gt;&lt;P&gt;Condition: "&amp;PartsMaster!AB86&amp;"&lt;/P&gt;&lt;P&gt; (part source "&amp;PartsMaster!AD86&amp;")&lt;/P&gt;&lt;P&gt;Notes: "&amp;PartsMaster!AA86&amp;"&lt;/P&gt;"</f>
        <v>&lt;P&gt;Air conditioning Vent&lt;/P&gt;&lt;P&gt;Jaguar part name INTERIOR TRIMS AND LININGS/FACIA - Facia vent&lt;/P&gt;&lt;P&gt;Product numbers GJA6721AD GJA6721AD&lt;/P&gt;&lt;P&gt;Fits starting from VIN/ModelYear MY1996 until VIN/ModelYear 014668&lt;/P&gt;&lt;P&gt;Condition: Dismantled from bottom &amp; engine damaged MY1997 XK8 Convertible VIN 0136xx&lt;/P&gt;&lt;P&gt; (part source KK)&lt;/P&gt;&lt;P&gt;Notes: &lt;/P&gt;</v>
      </c>
      <c r="AA91" s="20" t="s">
        <v>1171</v>
      </c>
      <c r="AC91" s="20">
        <v>0</v>
      </c>
      <c r="AD91" s="20">
        <v>0</v>
      </c>
      <c r="AE91" s="20" t="s">
        <v>1172</v>
      </c>
      <c r="AF91" s="20">
        <v>7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O91" s="20" t="s">
        <v>1173</v>
      </c>
      <c r="AR91" s="20">
        <v>0</v>
      </c>
      <c r="AS91" s="20">
        <v>10112</v>
      </c>
      <c r="AV91" s="20" t="s">
        <v>1174</v>
      </c>
      <c r="AX91" s="20">
        <v>62128510024</v>
      </c>
      <c r="AY91" s="20">
        <v>62035811024</v>
      </c>
      <c r="AZ91" s="20">
        <v>55187694024</v>
      </c>
      <c r="BA91" s="20" t="s">
        <v>1175</v>
      </c>
      <c r="BB91" s="20" t="s">
        <v>1176</v>
      </c>
      <c r="BC91" s="20" t="s">
        <v>1177</v>
      </c>
      <c r="BD91" s="20">
        <v>1</v>
      </c>
      <c r="BE91" s="20">
        <v>0</v>
      </c>
      <c r="BF91" s="20">
        <v>0</v>
      </c>
      <c r="BG91" s="20">
        <v>0</v>
      </c>
      <c r="BN91" s="20" t="s">
        <v>1178</v>
      </c>
      <c r="BV91" s="20">
        <v>0</v>
      </c>
      <c r="CL91" s="20">
        <v>0</v>
      </c>
      <c r="DD91" s="20" t="s">
        <v>1179</v>
      </c>
      <c r="DE91" s="20" t="s">
        <v>1179</v>
      </c>
      <c r="DI91" s="20">
        <v>0</v>
      </c>
      <c r="DP91" s="21" t="s">
        <v>1180</v>
      </c>
      <c r="DQ91" s="21" t="str">
        <f>PartsMaster!$A86</f>
        <v>GJA6721AD</v>
      </c>
      <c r="DR91" s="21" t="s">
        <v>1181</v>
      </c>
      <c r="DS91" s="21" t="str">
        <f>PartsMaster!$K87&amp;" "&amp;PartsMaster!L87&amp;" "&amp;PartsMaster!$M87</f>
        <v xml:space="preserve">Front Center </v>
      </c>
    </row>
    <row r="92" spans="1:123" x14ac:dyDescent="0.25">
      <c r="A92" s="20" t="s">
        <v>1166</v>
      </c>
      <c r="B92" s="20" t="s">
        <v>1167</v>
      </c>
      <c r="C92" s="20" t="s">
        <v>1168</v>
      </c>
      <c r="D92" s="21" t="str">
        <f>PartsMaster!B374&amp;" "&amp;PartsMaster!$C374</f>
        <v>Jaguar XK8 XKR X100 Seat  - Mechanism cover - Coffee</v>
      </c>
      <c r="E92" s="20">
        <v>3000</v>
      </c>
      <c r="F92" s="20" t="s">
        <v>1182</v>
      </c>
      <c r="H92" s="21">
        <f>PartsMaster!$Q374</f>
        <v>0</v>
      </c>
      <c r="I92" s="20">
        <v>9886</v>
      </c>
      <c r="K92" s="20">
        <v>0</v>
      </c>
      <c r="L92" s="20">
        <v>0</v>
      </c>
      <c r="M92" s="21">
        <f>PartsMaster!$D374</f>
        <v>0</v>
      </c>
      <c r="O92" s="20" t="s">
        <v>1169</v>
      </c>
      <c r="P92" s="23">
        <f>PartsMaster!$S374/1.45</f>
        <v>0</v>
      </c>
      <c r="S92" s="20">
        <v>30</v>
      </c>
      <c r="T92" s="20">
        <v>0</v>
      </c>
      <c r="U92" s="20" t="s">
        <v>1170</v>
      </c>
      <c r="Z92" s="26" t="str">
        <f>"&lt;P&gt;"&amp;PartsMaster!$I374&amp;" "&amp;PartsMaster!$H374&amp;"&lt;/P&gt;"&amp;"&lt;P&gt;Jaguar part name "&amp;PartsMaster!$E374&amp;"&lt;/P&gt;&lt;P&gt;Product numbers "&amp;PartsMaster!R374&amp;" "&amp;DQ92&amp;"&lt;/P&gt;&lt;P&gt;Fits starting from VIN/ModelYear "&amp;PartsMaster!$F374&amp;" until VIN/ModelYear "&amp;PartsMaster!$G374&amp;"&lt;/P&gt;&lt;P&gt;Condition: "&amp;PartsMaster!AB374&amp;"&lt;/P&gt;&lt;P&gt; (part source "&amp;PartsMaster!AD374&amp;")&lt;/P&gt;&lt;P&gt;Notes: "&amp;PartsMaster!AA374&amp;"&lt;/P&gt;"</f>
        <v>&lt;P&gt;Cap / Cover Cap / Cover / Trim&lt;/P&gt;&lt;P&gt;Jaguar part name &lt;/P&gt;&lt;P&gt;Product numbers  0&lt;/P&gt;&lt;P&gt;Fits starting from VIN/ModelYear 18108 until VIN/ModelYear -&lt;/P&gt;&lt;P&gt;Condition: &lt;/P&gt;&lt;P&gt; (part source )&lt;/P&gt;&lt;P&gt;Notes: &lt;/P&gt;</v>
      </c>
      <c r="AA92" s="20" t="s">
        <v>1171</v>
      </c>
      <c r="AC92" s="20">
        <v>0</v>
      </c>
      <c r="AD92" s="20">
        <v>0</v>
      </c>
      <c r="AE92" s="20" t="s">
        <v>1172</v>
      </c>
      <c r="AF92" s="20">
        <v>7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O92" s="20" t="s">
        <v>1173</v>
      </c>
      <c r="AR92" s="20">
        <v>0</v>
      </c>
      <c r="AS92" s="20">
        <v>10112</v>
      </c>
      <c r="AV92" s="20" t="s">
        <v>1174</v>
      </c>
      <c r="AX92" s="20">
        <v>62128510024</v>
      </c>
      <c r="AY92" s="20">
        <v>62035811024</v>
      </c>
      <c r="AZ92" s="20">
        <v>55187694024</v>
      </c>
      <c r="BA92" s="20" t="s">
        <v>1175</v>
      </c>
      <c r="BB92" s="20" t="s">
        <v>1176</v>
      </c>
      <c r="BC92" s="20" t="s">
        <v>1177</v>
      </c>
      <c r="BD92" s="20">
        <v>1</v>
      </c>
      <c r="BE92" s="20">
        <v>0</v>
      </c>
      <c r="BF92" s="20">
        <v>0</v>
      </c>
      <c r="BG92" s="20">
        <v>0</v>
      </c>
      <c r="BN92" s="20" t="s">
        <v>1178</v>
      </c>
      <c r="BV92" s="20">
        <v>0</v>
      </c>
      <c r="CL92" s="20">
        <v>0</v>
      </c>
      <c r="DD92" s="20" t="s">
        <v>1179</v>
      </c>
      <c r="DE92" s="20" t="s">
        <v>1179</v>
      </c>
      <c r="DI92" s="20">
        <v>0</v>
      </c>
      <c r="DP92" s="21" t="s">
        <v>1180</v>
      </c>
      <c r="DQ92" s="21">
        <f>PartsMaster!$A374</f>
        <v>0</v>
      </c>
      <c r="DR92" s="21" t="s">
        <v>1181</v>
      </c>
      <c r="DS92" s="21" t="str">
        <f>PartsMaster!$K375&amp;" "&amp;PartsMaster!L375&amp;" "&amp;PartsMaster!$M375</f>
        <v>Front Right Low</v>
      </c>
    </row>
    <row r="93" spans="1:123" ht="30" hidden="1" x14ac:dyDescent="0.25">
      <c r="A93" s="20" t="s">
        <v>1166</v>
      </c>
      <c r="B93" s="20" t="s">
        <v>1167</v>
      </c>
      <c r="C93" s="20" t="s">
        <v>1168</v>
      </c>
      <c r="D93" s="21" t="str">
        <f>PartsMaster!B179&amp;" "&amp;PartsMaster!$C179</f>
        <v>Jaguar XK8 XKR X100 OIL SEAL / O-RING</v>
      </c>
      <c r="E93" s="20">
        <v>3000</v>
      </c>
      <c r="F93" s="20" t="s">
        <v>1182</v>
      </c>
      <c r="H93" s="21" t="str">
        <f>PartsMaster!$Q179</f>
        <v>OIL SEAL / O-RING</v>
      </c>
      <c r="I93" s="20">
        <v>9886</v>
      </c>
      <c r="K93" s="20">
        <v>0</v>
      </c>
      <c r="L93" s="20">
        <v>0</v>
      </c>
      <c r="M93" s="21">
        <f>PartsMaster!$D179</f>
        <v>0</v>
      </c>
      <c r="O93" s="20" t="s">
        <v>1169</v>
      </c>
      <c r="P93" s="23">
        <f>PartsMaster!$S179/1.45</f>
        <v>0</v>
      </c>
      <c r="S93" s="20">
        <v>30</v>
      </c>
      <c r="T93" s="20">
        <v>0</v>
      </c>
      <c r="U93" s="20" t="s">
        <v>1170</v>
      </c>
      <c r="Z93" s="26" t="str">
        <f>"&lt;P&gt;"&amp;PartsMaster!$I179&amp;" "&amp;PartsMaster!$H179&amp;"&lt;/P&gt;"&amp;"&lt;P&gt;Jaguar part name "&amp;PartsMaster!$E179&amp;"&lt;/P&gt;&lt;P&gt;Product numbers "&amp;PartsMaster!R179&amp;" "&amp;DQ93&amp;"&lt;/P&gt;&lt;P&gt;Fits starting from VIN/ModelYear "&amp;PartsMaster!$F179&amp;" until VIN/ModelYear "&amp;PartsMaster!$G179&amp;"&lt;/P&gt;&lt;P&gt;Condition: "&amp;PartsMaster!AB179&amp;"&lt;/P&gt;&lt;P&gt; (part source "&amp;PartsMaster!AD179&amp;")&lt;/P&gt;&lt;P&gt;Notes: "&amp;PartsMaster!AA179&amp;"&lt;/P&gt;"</f>
        <v>&lt;P&gt;Engine Oil Gasket / Seal / O-Ring&lt;/P&gt;&lt;P&gt;Jaguar part name &lt;/P&gt;&lt;P&gt;Product numbers JLM20210 JLM20210&lt;/P&gt;&lt;P&gt;Fits starting from VIN/ModelYear  until VIN/ModelYear &lt;/P&gt;&lt;P&gt;Condition: British Parts&lt;/P&gt;&lt;P&gt; (part source )&lt;/P&gt;&lt;P&gt;Notes: &lt;/P&gt;</v>
      </c>
      <c r="AA93" s="20" t="s">
        <v>1171</v>
      </c>
      <c r="AC93" s="20">
        <v>0</v>
      </c>
      <c r="AD93" s="20">
        <v>0</v>
      </c>
      <c r="AE93" s="20" t="s">
        <v>1172</v>
      </c>
      <c r="AF93" s="20">
        <v>7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O93" s="20" t="s">
        <v>1173</v>
      </c>
      <c r="AR93" s="20">
        <v>0</v>
      </c>
      <c r="AS93" s="20">
        <v>10112</v>
      </c>
      <c r="AV93" s="20" t="s">
        <v>1174</v>
      </c>
      <c r="AX93" s="20">
        <v>62128510024</v>
      </c>
      <c r="AY93" s="20">
        <v>62035811024</v>
      </c>
      <c r="AZ93" s="20">
        <v>55187694024</v>
      </c>
      <c r="BA93" s="20" t="s">
        <v>1175</v>
      </c>
      <c r="BB93" s="20" t="s">
        <v>1176</v>
      </c>
      <c r="BC93" s="20" t="s">
        <v>1177</v>
      </c>
      <c r="BD93" s="20">
        <v>1</v>
      </c>
      <c r="BE93" s="20">
        <v>0</v>
      </c>
      <c r="BF93" s="20">
        <v>0</v>
      </c>
      <c r="BG93" s="20">
        <v>0</v>
      </c>
      <c r="BN93" s="20" t="s">
        <v>1178</v>
      </c>
      <c r="BV93" s="20">
        <v>0</v>
      </c>
      <c r="CL93" s="20">
        <v>0</v>
      </c>
      <c r="DD93" s="20" t="s">
        <v>1179</v>
      </c>
      <c r="DE93" s="20" t="s">
        <v>1179</v>
      </c>
      <c r="DI93" s="20">
        <v>0</v>
      </c>
      <c r="DP93" s="21" t="s">
        <v>1180</v>
      </c>
      <c r="DQ93" s="21" t="str">
        <f>PartsMaster!$A179</f>
        <v>JLM20210</v>
      </c>
      <c r="DR93" s="21" t="s">
        <v>1181</v>
      </c>
      <c r="DS93" s="21" t="str">
        <f>PartsMaster!$K180&amp;" "&amp;PartsMaster!L180&amp;" "&amp;PartsMaster!$M180</f>
        <v xml:space="preserve">  </v>
      </c>
    </row>
    <row r="94" spans="1:123" ht="30" hidden="1" x14ac:dyDescent="0.25">
      <c r="A94" s="20" t="s">
        <v>1166</v>
      </c>
      <c r="B94" s="20" t="s">
        <v>1167</v>
      </c>
      <c r="C94" s="20" t="s">
        <v>1168</v>
      </c>
      <c r="D94" s="21" t="str">
        <f>PartsMaster!B180&amp;" "&amp;PartsMaster!$C180</f>
        <v>Jaguar XK8 XKR X100 OIL SEAL</v>
      </c>
      <c r="E94" s="20">
        <v>3000</v>
      </c>
      <c r="F94" s="20" t="s">
        <v>1182</v>
      </c>
      <c r="H94" s="21" t="str">
        <f>PartsMaster!$Q180</f>
        <v>OIL SEAL</v>
      </c>
      <c r="I94" s="20">
        <v>9886</v>
      </c>
      <c r="K94" s="20">
        <v>0</v>
      </c>
      <c r="L94" s="20">
        <v>0</v>
      </c>
      <c r="M94" s="21">
        <f>PartsMaster!$D180</f>
        <v>0</v>
      </c>
      <c r="O94" s="20" t="s">
        <v>1169</v>
      </c>
      <c r="P94" s="23">
        <f>PartsMaster!$S180/1.45</f>
        <v>0</v>
      </c>
      <c r="S94" s="20">
        <v>30</v>
      </c>
      <c r="T94" s="20">
        <v>0</v>
      </c>
      <c r="U94" s="20" t="s">
        <v>1170</v>
      </c>
      <c r="Z94" s="26" t="str">
        <f>"&lt;P&gt;"&amp;PartsMaster!$I180&amp;" "&amp;PartsMaster!$H180&amp;"&lt;/P&gt;"&amp;"&lt;P&gt;Jaguar part name "&amp;PartsMaster!$E180&amp;"&lt;/P&gt;&lt;P&gt;Product numbers "&amp;PartsMaster!R180&amp;" "&amp;DQ94&amp;"&lt;/P&gt;&lt;P&gt;Fits starting from VIN/ModelYear "&amp;PartsMaster!$F180&amp;" until VIN/ModelYear "&amp;PartsMaster!$G180&amp;"&lt;/P&gt;&lt;P&gt;Condition: "&amp;PartsMaster!AB180&amp;"&lt;/P&gt;&lt;P&gt; (part source "&amp;PartsMaster!AD180&amp;")&lt;/P&gt;&lt;P&gt;Notes: "&amp;PartsMaster!AA180&amp;"&lt;/P&gt;"</f>
        <v>&lt;P&gt;Engine Oil Gasket / Seal / O-Ring&lt;/P&gt;&lt;P&gt;Jaguar part name &lt;/P&gt;&lt;P&gt;Product numbers JLM20211 JLM20211&lt;/P&gt;&lt;P&gt;Fits starting from VIN/ModelYear  until VIN/ModelYear &lt;/P&gt;&lt;P&gt;Condition: British Parts&lt;/P&gt;&lt;P&gt; (part source )&lt;/P&gt;&lt;P&gt;Notes: &lt;/P&gt;</v>
      </c>
      <c r="AA94" s="20" t="s">
        <v>1171</v>
      </c>
      <c r="AC94" s="20">
        <v>0</v>
      </c>
      <c r="AD94" s="20">
        <v>0</v>
      </c>
      <c r="AE94" s="20" t="s">
        <v>1172</v>
      </c>
      <c r="AF94" s="20">
        <v>7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O94" s="20" t="s">
        <v>1173</v>
      </c>
      <c r="AR94" s="20">
        <v>0</v>
      </c>
      <c r="AS94" s="20">
        <v>10112</v>
      </c>
      <c r="AV94" s="20" t="s">
        <v>1174</v>
      </c>
      <c r="AX94" s="20">
        <v>62128510024</v>
      </c>
      <c r="AY94" s="20">
        <v>62035811024</v>
      </c>
      <c r="AZ94" s="20">
        <v>55187694024</v>
      </c>
      <c r="BA94" s="20" t="s">
        <v>1175</v>
      </c>
      <c r="BB94" s="20" t="s">
        <v>1176</v>
      </c>
      <c r="BC94" s="20" t="s">
        <v>1177</v>
      </c>
      <c r="BD94" s="20">
        <v>1</v>
      </c>
      <c r="BE94" s="20">
        <v>0</v>
      </c>
      <c r="BF94" s="20">
        <v>0</v>
      </c>
      <c r="BG94" s="20">
        <v>0</v>
      </c>
      <c r="BN94" s="20" t="s">
        <v>1178</v>
      </c>
      <c r="BV94" s="20">
        <v>0</v>
      </c>
      <c r="CL94" s="20">
        <v>0</v>
      </c>
      <c r="DD94" s="20" t="s">
        <v>1179</v>
      </c>
      <c r="DE94" s="20" t="s">
        <v>1179</v>
      </c>
      <c r="DI94" s="20">
        <v>0</v>
      </c>
      <c r="DP94" s="21" t="s">
        <v>1180</v>
      </c>
      <c r="DQ94" s="21" t="str">
        <f>PartsMaster!$A180</f>
        <v>JLM20211</v>
      </c>
      <c r="DR94" s="21" t="s">
        <v>1181</v>
      </c>
      <c r="DS94" s="21" t="str">
        <f>PartsMaster!$K181&amp;" "&amp;PartsMaster!L181&amp;" "&amp;PartsMaster!$M181</f>
        <v xml:space="preserve">  </v>
      </c>
    </row>
    <row r="95" spans="1:123" ht="45" hidden="1" x14ac:dyDescent="0.25">
      <c r="A95" s="20" t="s">
        <v>1166</v>
      </c>
      <c r="B95" s="20" t="s">
        <v>1167</v>
      </c>
      <c r="C95" s="20" t="s">
        <v>1168</v>
      </c>
      <c r="D95" s="21" t="str">
        <f>PartsMaster!B90&amp;" "&amp;PartsMaster!$C90</f>
        <v>Jaguar XJ8 XJR X308 WIPER BLADE-RHD</v>
      </c>
      <c r="E95" s="20">
        <v>3000</v>
      </c>
      <c r="F95" s="20" t="s">
        <v>1182</v>
      </c>
      <c r="H95" s="21" t="str">
        <f>PartsMaster!$Q90</f>
        <v>WIPER BLADE-RHD</v>
      </c>
      <c r="I95" s="20">
        <v>9886</v>
      </c>
      <c r="K95" s="20">
        <v>0</v>
      </c>
      <c r="L95" s="20">
        <v>0</v>
      </c>
      <c r="M95" s="21">
        <f>PartsMaster!$D90</f>
        <v>0</v>
      </c>
      <c r="O95" s="20" t="s">
        <v>1169</v>
      </c>
      <c r="P95" s="23">
        <f>PartsMaster!$S90/1.45</f>
        <v>0</v>
      </c>
      <c r="S95" s="20">
        <v>30</v>
      </c>
      <c r="T95" s="20">
        <v>0</v>
      </c>
      <c r="U95" s="20" t="s">
        <v>1170</v>
      </c>
      <c r="Z95" s="26" t="str">
        <f>"&lt;P&gt;"&amp;PartsMaster!$I90&amp;" "&amp;PartsMaster!$H90&amp;"&lt;/P&gt;"&amp;"&lt;P&gt;Jaguar part name "&amp;PartsMaster!$E90&amp;"&lt;/P&gt;&lt;P&gt;Product numbers "&amp;PartsMaster!R90&amp;" "&amp;DQ95&amp;"&lt;/P&gt;&lt;P&gt;Fits starting from VIN/ModelYear "&amp;PartsMaster!$F90&amp;" until VIN/ModelYear "&amp;PartsMaster!$G90&amp;"&lt;/P&gt;&lt;P&gt;Condition: "&amp;PartsMaster!AB90&amp;"&lt;/P&gt;&lt;P&gt; (part source "&amp;PartsMaster!AD90&amp;")&lt;/P&gt;&lt;P&gt;Notes: "&amp;PartsMaster!AA90&amp;"&lt;/P&gt;"</f>
        <v>&lt;P&gt;Windshield &lt;/P&gt;&lt;P&gt;Jaguar part name &lt;/P&gt;&lt;P&gt;Product numbers GJA8962BB GJA8962BB&lt;/P&gt;&lt;P&gt;Fits starting from VIN/ModelYear  until VIN/ModelYear &lt;/P&gt;&lt;P&gt;Condition: British Parts&lt;/P&gt;&lt;P&gt; (part source )&lt;/P&gt;&lt;P&gt;Notes: &lt;/P&gt;</v>
      </c>
      <c r="AA95" s="20" t="s">
        <v>1171</v>
      </c>
      <c r="AC95" s="20">
        <v>0</v>
      </c>
      <c r="AD95" s="20">
        <v>0</v>
      </c>
      <c r="AE95" s="20" t="s">
        <v>1172</v>
      </c>
      <c r="AF95" s="20">
        <v>7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O95" s="20" t="s">
        <v>1173</v>
      </c>
      <c r="AR95" s="20">
        <v>0</v>
      </c>
      <c r="AS95" s="20">
        <v>10112</v>
      </c>
      <c r="AV95" s="20" t="s">
        <v>1174</v>
      </c>
      <c r="AX95" s="20">
        <v>62128510024</v>
      </c>
      <c r="AY95" s="20">
        <v>62035811024</v>
      </c>
      <c r="AZ95" s="20">
        <v>55187694024</v>
      </c>
      <c r="BA95" s="20" t="s">
        <v>1175</v>
      </c>
      <c r="BB95" s="20" t="s">
        <v>1176</v>
      </c>
      <c r="BC95" s="20" t="s">
        <v>1177</v>
      </c>
      <c r="BD95" s="20">
        <v>1</v>
      </c>
      <c r="BE95" s="20">
        <v>0</v>
      </c>
      <c r="BF95" s="20">
        <v>0</v>
      </c>
      <c r="BG95" s="20">
        <v>0</v>
      </c>
      <c r="BN95" s="20" t="s">
        <v>1178</v>
      </c>
      <c r="BV95" s="20">
        <v>0</v>
      </c>
      <c r="CL95" s="20">
        <v>0</v>
      </c>
      <c r="DD95" s="20" t="s">
        <v>1179</v>
      </c>
      <c r="DE95" s="20" t="s">
        <v>1179</v>
      </c>
      <c r="DI95" s="20">
        <v>0</v>
      </c>
      <c r="DP95" s="21" t="s">
        <v>1180</v>
      </c>
      <c r="DQ95" s="21" t="str">
        <f>PartsMaster!$A90</f>
        <v>GJA8962BB</v>
      </c>
      <c r="DR95" s="21" t="s">
        <v>1181</v>
      </c>
      <c r="DS95" s="21" t="str">
        <f>PartsMaster!$K91&amp;" "&amp;PartsMaster!L91&amp;" "&amp;PartsMaster!$M91</f>
        <v xml:space="preserve">  </v>
      </c>
    </row>
    <row r="96" spans="1:123" ht="45" hidden="1" x14ac:dyDescent="0.25">
      <c r="A96" s="20" t="s">
        <v>1166</v>
      </c>
      <c r="B96" s="20" t="s">
        <v>1167</v>
      </c>
      <c r="C96" s="20" t="s">
        <v>1168</v>
      </c>
      <c r="D96" s="21" t="str">
        <f>PartsMaster!B91&amp;" "&amp;PartsMaster!$C91</f>
        <v>Jaguar XJ8 XJR X308 WIPER BLADE-RHD</v>
      </c>
      <c r="E96" s="20">
        <v>3000</v>
      </c>
      <c r="F96" s="20" t="s">
        <v>1182</v>
      </c>
      <c r="H96" s="21" t="str">
        <f>PartsMaster!$Q91</f>
        <v>WIPER BLADE-RHD</v>
      </c>
      <c r="I96" s="20">
        <v>9886</v>
      </c>
      <c r="K96" s="20">
        <v>0</v>
      </c>
      <c r="L96" s="20">
        <v>0</v>
      </c>
      <c r="M96" s="21">
        <f>PartsMaster!$D91</f>
        <v>0</v>
      </c>
      <c r="O96" s="20" t="s">
        <v>1169</v>
      </c>
      <c r="P96" s="23">
        <f>PartsMaster!$S91/1.45</f>
        <v>0</v>
      </c>
      <c r="S96" s="20">
        <v>30</v>
      </c>
      <c r="T96" s="20">
        <v>0</v>
      </c>
      <c r="U96" s="20" t="s">
        <v>1170</v>
      </c>
      <c r="Z96" s="26" t="str">
        <f>"&lt;P&gt;"&amp;PartsMaster!$I91&amp;" "&amp;PartsMaster!$H91&amp;"&lt;/P&gt;"&amp;"&lt;P&gt;Jaguar part name "&amp;PartsMaster!$E91&amp;"&lt;/P&gt;&lt;P&gt;Product numbers "&amp;PartsMaster!R91&amp;" "&amp;DQ96&amp;"&lt;/P&gt;&lt;P&gt;Fits starting from VIN/ModelYear "&amp;PartsMaster!$F91&amp;" until VIN/ModelYear "&amp;PartsMaster!$G91&amp;"&lt;/P&gt;&lt;P&gt;Condition: "&amp;PartsMaster!AB91&amp;"&lt;/P&gt;&lt;P&gt; (part source "&amp;PartsMaster!AD91&amp;")&lt;/P&gt;&lt;P&gt;Notes: "&amp;PartsMaster!AA91&amp;"&lt;/P&gt;"</f>
        <v>&lt;P&gt;Windshield &lt;/P&gt;&lt;P&gt;Jaguar part name &lt;/P&gt;&lt;P&gt;Product numbers GJA8962BB GJA8962BB&lt;/P&gt;&lt;P&gt;Fits starting from VIN/ModelYear  until VIN/ModelYear &lt;/P&gt;&lt;P&gt;Condition: British Parts&lt;/P&gt;&lt;P&gt; (part source )&lt;/P&gt;&lt;P&gt;Notes: &lt;/P&gt;</v>
      </c>
      <c r="AA96" s="20" t="s">
        <v>1171</v>
      </c>
      <c r="AC96" s="20">
        <v>0</v>
      </c>
      <c r="AD96" s="20">
        <v>0</v>
      </c>
      <c r="AE96" s="20" t="s">
        <v>1172</v>
      </c>
      <c r="AF96" s="20">
        <v>7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O96" s="20" t="s">
        <v>1173</v>
      </c>
      <c r="AR96" s="20">
        <v>0</v>
      </c>
      <c r="AS96" s="20">
        <v>10112</v>
      </c>
      <c r="AV96" s="20" t="s">
        <v>1174</v>
      </c>
      <c r="AX96" s="20">
        <v>62128510024</v>
      </c>
      <c r="AY96" s="20">
        <v>62035811024</v>
      </c>
      <c r="AZ96" s="20">
        <v>55187694024</v>
      </c>
      <c r="BA96" s="20" t="s">
        <v>1175</v>
      </c>
      <c r="BB96" s="20" t="s">
        <v>1176</v>
      </c>
      <c r="BC96" s="20" t="s">
        <v>1177</v>
      </c>
      <c r="BD96" s="20">
        <v>1</v>
      </c>
      <c r="BE96" s="20">
        <v>0</v>
      </c>
      <c r="BF96" s="20">
        <v>0</v>
      </c>
      <c r="BG96" s="20">
        <v>0</v>
      </c>
      <c r="BN96" s="20" t="s">
        <v>1178</v>
      </c>
      <c r="BV96" s="20">
        <v>0</v>
      </c>
      <c r="CL96" s="20">
        <v>0</v>
      </c>
      <c r="DD96" s="20" t="s">
        <v>1179</v>
      </c>
      <c r="DE96" s="20" t="s">
        <v>1179</v>
      </c>
      <c r="DI96" s="20">
        <v>0</v>
      </c>
      <c r="DP96" s="21" t="s">
        <v>1180</v>
      </c>
      <c r="DQ96" s="21" t="str">
        <f>PartsMaster!$A91</f>
        <v>GJA8962BB</v>
      </c>
      <c r="DR96" s="21" t="s">
        <v>1181</v>
      </c>
      <c r="DS96" s="21" t="str">
        <f>PartsMaster!$K92&amp;" "&amp;PartsMaster!L92&amp;" "&amp;PartsMaster!$M92</f>
        <v xml:space="preserve">  </v>
      </c>
    </row>
    <row r="97" spans="1:123" x14ac:dyDescent="0.25">
      <c r="A97" s="20" t="s">
        <v>1166</v>
      </c>
      <c r="B97" s="20" t="s">
        <v>1167</v>
      </c>
      <c r="C97" s="20" t="s">
        <v>1168</v>
      </c>
      <c r="D97" s="21" t="str">
        <f>PartsMaster!B373&amp;" "&amp;PartsMaster!$C373</f>
        <v>Jaguar XK8 XKR X100 Seat  - Mechanism cover - Coffee</v>
      </c>
      <c r="E97" s="20">
        <v>3000</v>
      </c>
      <c r="F97" s="20" t="s">
        <v>1182</v>
      </c>
      <c r="H97" s="21">
        <f>PartsMaster!$Q373</f>
        <v>0</v>
      </c>
      <c r="I97" s="20">
        <v>9886</v>
      </c>
      <c r="K97" s="20">
        <v>0</v>
      </c>
      <c r="L97" s="20">
        <v>0</v>
      </c>
      <c r="M97" s="21">
        <f>PartsMaster!$D373</f>
        <v>0</v>
      </c>
      <c r="O97" s="20" t="s">
        <v>1169</v>
      </c>
      <c r="P97" s="23">
        <f>PartsMaster!$S373/1.45</f>
        <v>0</v>
      </c>
      <c r="S97" s="20">
        <v>30</v>
      </c>
      <c r="T97" s="20">
        <v>0</v>
      </c>
      <c r="U97" s="20" t="s">
        <v>1170</v>
      </c>
      <c r="Z97" s="26" t="str">
        <f>"&lt;P&gt;"&amp;PartsMaster!$I373&amp;" "&amp;PartsMaster!$H373&amp;"&lt;/P&gt;"&amp;"&lt;P&gt;Jaguar part name "&amp;PartsMaster!$E373&amp;"&lt;/P&gt;&lt;P&gt;Product numbers "&amp;PartsMaster!R373&amp;" "&amp;DQ97&amp;"&lt;/P&gt;&lt;P&gt;Fits starting from VIN/ModelYear "&amp;PartsMaster!$F373&amp;" until VIN/ModelYear "&amp;PartsMaster!$G373&amp;"&lt;/P&gt;&lt;P&gt;Condition: "&amp;PartsMaster!AB373&amp;"&lt;/P&gt;&lt;P&gt; (part source "&amp;PartsMaster!AD373&amp;")&lt;/P&gt;&lt;P&gt;Notes: "&amp;PartsMaster!AA373&amp;"&lt;/P&gt;"</f>
        <v>&lt;P&gt;Cap / Cover Cap / Cover / Trim&lt;/P&gt;&lt;P&gt;Jaguar part name &lt;/P&gt;&lt;P&gt;Product numbers  0&lt;/P&gt;&lt;P&gt;Fits starting from VIN/ModelYear 0 until VIN/ModelYear 18107&lt;/P&gt;&lt;P&gt;Condition: &lt;/P&gt;&lt;P&gt; (part source )&lt;/P&gt;&lt;P&gt;Notes: &lt;/P&gt;</v>
      </c>
      <c r="AA97" s="20" t="s">
        <v>1171</v>
      </c>
      <c r="AC97" s="20">
        <v>0</v>
      </c>
      <c r="AD97" s="20">
        <v>0</v>
      </c>
      <c r="AE97" s="20" t="s">
        <v>1172</v>
      </c>
      <c r="AF97" s="20">
        <v>7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O97" s="20" t="s">
        <v>1173</v>
      </c>
      <c r="AR97" s="20">
        <v>0</v>
      </c>
      <c r="AS97" s="20">
        <v>10112</v>
      </c>
      <c r="AV97" s="20" t="s">
        <v>1174</v>
      </c>
      <c r="AX97" s="20">
        <v>62128510024</v>
      </c>
      <c r="AY97" s="20">
        <v>62035811024</v>
      </c>
      <c r="AZ97" s="20">
        <v>55187694024</v>
      </c>
      <c r="BA97" s="20" t="s">
        <v>1175</v>
      </c>
      <c r="BB97" s="20" t="s">
        <v>1176</v>
      </c>
      <c r="BC97" s="20" t="s">
        <v>1177</v>
      </c>
      <c r="BD97" s="20">
        <v>1</v>
      </c>
      <c r="BE97" s="20">
        <v>0</v>
      </c>
      <c r="BF97" s="20">
        <v>0</v>
      </c>
      <c r="BG97" s="20">
        <v>0</v>
      </c>
      <c r="BN97" s="20" t="s">
        <v>1178</v>
      </c>
      <c r="BV97" s="20">
        <v>0</v>
      </c>
      <c r="CL97" s="20">
        <v>0</v>
      </c>
      <c r="DD97" s="20" t="s">
        <v>1179</v>
      </c>
      <c r="DE97" s="20" t="s">
        <v>1179</v>
      </c>
      <c r="DI97" s="20">
        <v>0</v>
      </c>
      <c r="DP97" s="21" t="s">
        <v>1180</v>
      </c>
      <c r="DQ97" s="21">
        <f>PartsMaster!$A373</f>
        <v>0</v>
      </c>
      <c r="DR97" s="21" t="s">
        <v>1181</v>
      </c>
      <c r="DS97" s="21" t="str">
        <f>PartsMaster!$K374&amp;" "&amp;PartsMaster!L374&amp;" "&amp;PartsMaster!$M374</f>
        <v>Front Right Low</v>
      </c>
    </row>
    <row r="98" spans="1:123" x14ac:dyDescent="0.25">
      <c r="A98" s="20" t="s">
        <v>1166</v>
      </c>
      <c r="B98" s="20" t="s">
        <v>1167</v>
      </c>
      <c r="C98" s="20" t="s">
        <v>1168</v>
      </c>
      <c r="D98" s="21" t="str">
        <f>PartsMaster!B367&amp;" "&amp;PartsMaster!$C367</f>
        <v>Jaguar XK8 XKR X100 Seat  - Mechanism cover</v>
      </c>
      <c r="E98" s="20">
        <v>3000</v>
      </c>
      <c r="F98" s="20" t="s">
        <v>1182</v>
      </c>
      <c r="H98" s="21">
        <f>PartsMaster!$Q367</f>
        <v>0</v>
      </c>
      <c r="I98" s="20">
        <v>9886</v>
      </c>
      <c r="K98" s="20">
        <v>0</v>
      </c>
      <c r="L98" s="20">
        <v>0</v>
      </c>
      <c r="M98" s="21">
        <f>PartsMaster!$D367</f>
        <v>0</v>
      </c>
      <c r="O98" s="20" t="s">
        <v>1169</v>
      </c>
      <c r="P98" s="23">
        <f>PartsMaster!$S367/1.45</f>
        <v>0</v>
      </c>
      <c r="S98" s="20">
        <v>30</v>
      </c>
      <c r="T98" s="20">
        <v>0</v>
      </c>
      <c r="U98" s="20" t="s">
        <v>1170</v>
      </c>
      <c r="Z98" s="26" t="str">
        <f>"&lt;P&gt;"&amp;PartsMaster!$I367&amp;" "&amp;PartsMaster!$H367&amp;"&lt;/P&gt;"&amp;"&lt;P&gt;Jaguar part name "&amp;PartsMaster!$E367&amp;"&lt;/P&gt;&lt;P&gt;Product numbers "&amp;PartsMaster!R367&amp;" "&amp;DQ98&amp;"&lt;/P&gt;&lt;P&gt;Fits starting from VIN/ModelYear "&amp;PartsMaster!$F367&amp;" until VIN/ModelYear "&amp;PartsMaster!$G367&amp;"&lt;/P&gt;&lt;P&gt;Condition: "&amp;PartsMaster!AB367&amp;"&lt;/P&gt;&lt;P&gt; (part source "&amp;PartsMaster!AD367&amp;")&lt;/P&gt;&lt;P&gt;Notes: "&amp;PartsMaster!AA367&amp;"&lt;/P&gt;"</f>
        <v>&lt;P&gt;Cap / Cover Cap / Cover / Trim&lt;/P&gt;&lt;P&gt;Jaguar part name &lt;/P&gt;&lt;P&gt;Product numbers  0&lt;/P&gt;&lt;P&gt;Fits starting from VIN/ModelYear 0 until VIN/ModelYear 18107&lt;/P&gt;&lt;P&gt;Condition: &lt;/P&gt;&lt;P&gt; (part source )&lt;/P&gt;&lt;P&gt;Notes: &lt;/P&gt;</v>
      </c>
      <c r="AA98" s="20" t="s">
        <v>1171</v>
      </c>
      <c r="AC98" s="20">
        <v>0</v>
      </c>
      <c r="AD98" s="20">
        <v>0</v>
      </c>
      <c r="AE98" s="20" t="s">
        <v>1172</v>
      </c>
      <c r="AF98" s="20">
        <v>7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O98" s="20" t="s">
        <v>1173</v>
      </c>
      <c r="AR98" s="20">
        <v>0</v>
      </c>
      <c r="AS98" s="20">
        <v>10112</v>
      </c>
      <c r="AV98" s="20" t="s">
        <v>1174</v>
      </c>
      <c r="AX98" s="20">
        <v>62128510024</v>
      </c>
      <c r="AY98" s="20">
        <v>62035811024</v>
      </c>
      <c r="AZ98" s="20">
        <v>55187694024</v>
      </c>
      <c r="BA98" s="20" t="s">
        <v>1175</v>
      </c>
      <c r="BB98" s="20" t="s">
        <v>1176</v>
      </c>
      <c r="BC98" s="20" t="s">
        <v>1177</v>
      </c>
      <c r="BD98" s="20">
        <v>1</v>
      </c>
      <c r="BE98" s="20">
        <v>0</v>
      </c>
      <c r="BF98" s="20">
        <v>0</v>
      </c>
      <c r="BG98" s="20">
        <v>0</v>
      </c>
      <c r="BN98" s="20" t="s">
        <v>1178</v>
      </c>
      <c r="BV98" s="20">
        <v>0</v>
      </c>
      <c r="CL98" s="20">
        <v>0</v>
      </c>
      <c r="DD98" s="20" t="s">
        <v>1179</v>
      </c>
      <c r="DE98" s="20" t="s">
        <v>1179</v>
      </c>
      <c r="DI98" s="20">
        <v>0</v>
      </c>
      <c r="DP98" s="21" t="s">
        <v>1180</v>
      </c>
      <c r="DQ98" s="21">
        <f>PartsMaster!$A367</f>
        <v>0</v>
      </c>
      <c r="DR98" s="21" t="s">
        <v>1181</v>
      </c>
      <c r="DS98" s="21" t="str">
        <f>PartsMaster!$K368&amp;" "&amp;PartsMaster!L368&amp;" "&amp;PartsMaster!$M368</f>
        <v>Front Right Low</v>
      </c>
    </row>
    <row r="99" spans="1:123" ht="90" x14ac:dyDescent="0.25">
      <c r="A99" s="20" t="s">
        <v>1166</v>
      </c>
      <c r="B99" s="20" t="s">
        <v>1167</v>
      </c>
      <c r="C99" s="20" t="s">
        <v>1168</v>
      </c>
      <c r="D99" s="21" t="str">
        <f>PartsMaster!B77&amp;" "&amp;PartsMaster!$C77</f>
        <v>Jaguar XK8 XKR X100 Window Regulator and Motor -  Convertible</v>
      </c>
      <c r="E99" s="20">
        <v>3000</v>
      </c>
      <c r="F99" s="20" t="s">
        <v>1182</v>
      </c>
      <c r="H99" s="21" t="str">
        <f>PartsMaster!$Q77</f>
        <v>Window Regulator and Motor</v>
      </c>
      <c r="I99" s="20">
        <v>9886</v>
      </c>
      <c r="K99" s="20">
        <v>0</v>
      </c>
      <c r="L99" s="20">
        <v>0</v>
      </c>
      <c r="M99" s="21">
        <f>PartsMaster!$D77</f>
        <v>1</v>
      </c>
      <c r="O99" s="20" t="s">
        <v>1169</v>
      </c>
      <c r="P99" s="23">
        <f>PartsMaster!$S77/1.45</f>
        <v>310.34482758620692</v>
      </c>
      <c r="S99" s="20">
        <v>30</v>
      </c>
      <c r="T99" s="20">
        <v>0</v>
      </c>
      <c r="U99" s="20" t="s">
        <v>1170</v>
      </c>
      <c r="Z99" s="26" t="str">
        <f>"&lt;P&gt;"&amp;PartsMaster!$I77&amp;" "&amp;PartsMaster!$H77&amp;"&lt;/P&gt;"&amp;"&lt;P&gt;Jaguar part name "&amp;PartsMaster!$E77&amp;"&lt;/P&gt;&lt;P&gt;Product numbers "&amp;PartsMaster!R77&amp;" "&amp;DQ99&amp;"&lt;/P&gt;&lt;P&gt;Fits starting from VIN/ModelYear "&amp;PartsMaster!$F77&amp;" until VIN/ModelYear "&amp;PartsMaster!$G77&amp;"&lt;/P&gt;&lt;P&gt;Condition: "&amp;PartsMaster!AB77&amp;"&lt;/P&gt;&lt;P&gt; (part source "&amp;PartsMaster!AD77&amp;")&lt;/P&gt;&lt;P&gt;Notes: "&amp;PartsMaster!AA77&amp;"&lt;/P&gt;"</f>
        <v>&lt;P&gt;Windows Mechanics&lt;/P&gt;&lt;P&gt;Jaguar part name BODY CLOSURES AND SEALING/CONVERTIBLE REAR QUARTER MECHANISM AND SEAL - Window regulator and motor - RH rear quarter&lt;/P&gt;&lt;P&gt;Product numbers GJE2242AA
GJE2242AB
GJE2242AC
GJE2242AD
GJE2242AE  GJA2242AJ&lt;/P&gt;&lt;P&gt;Fits starting from VIN/ModelYear MY1996 until VIN/ModelYear 042775&lt;/P&gt;&lt;P&gt;Condition: Dismantled from bottom &amp; engine damaged MY1997 XK8 Convertible VIN 0136xx&lt;/P&gt;&lt;P&gt; (part source )&lt;/P&gt;&lt;P&gt;Notes: One lock spring and plastic shim missing. See pictures.&lt;/P&gt;</v>
      </c>
      <c r="AA99" s="20" t="s">
        <v>1171</v>
      </c>
      <c r="AC99" s="20">
        <v>0</v>
      </c>
      <c r="AD99" s="20">
        <v>0</v>
      </c>
      <c r="AE99" s="20" t="s">
        <v>1172</v>
      </c>
      <c r="AF99" s="20">
        <v>7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O99" s="20" t="s">
        <v>1173</v>
      </c>
      <c r="AR99" s="20">
        <v>0</v>
      </c>
      <c r="AS99" s="20">
        <v>10112</v>
      </c>
      <c r="AV99" s="20" t="s">
        <v>1174</v>
      </c>
      <c r="AX99" s="20">
        <v>62128510024</v>
      </c>
      <c r="AY99" s="20">
        <v>62035811024</v>
      </c>
      <c r="AZ99" s="20">
        <v>55187694024</v>
      </c>
      <c r="BA99" s="20" t="s">
        <v>1175</v>
      </c>
      <c r="BB99" s="20" t="s">
        <v>1176</v>
      </c>
      <c r="BC99" s="20" t="s">
        <v>1177</v>
      </c>
      <c r="BD99" s="20">
        <v>1</v>
      </c>
      <c r="BE99" s="20">
        <v>0</v>
      </c>
      <c r="BF99" s="20">
        <v>0</v>
      </c>
      <c r="BG99" s="20">
        <v>0</v>
      </c>
      <c r="BN99" s="20" t="s">
        <v>1178</v>
      </c>
      <c r="BV99" s="20">
        <v>0</v>
      </c>
      <c r="CL99" s="20">
        <v>0</v>
      </c>
      <c r="DD99" s="20" t="s">
        <v>1179</v>
      </c>
      <c r="DE99" s="20" t="s">
        <v>1179</v>
      </c>
      <c r="DI99" s="20">
        <v>0</v>
      </c>
      <c r="DP99" s="21" t="s">
        <v>1180</v>
      </c>
      <c r="DQ99" s="21" t="str">
        <f>PartsMaster!$A77</f>
        <v>GJA2242AJ</v>
      </c>
      <c r="DR99" s="21" t="s">
        <v>1181</v>
      </c>
      <c r="DS99" s="21" t="str">
        <f>PartsMaster!$K78&amp;" "&amp;PartsMaster!L78&amp;" "&amp;PartsMaster!$M78</f>
        <v>Rear Center NA</v>
      </c>
    </row>
    <row r="100" spans="1:123" ht="30" x14ac:dyDescent="0.25">
      <c r="A100" s="20" t="s">
        <v>1166</v>
      </c>
      <c r="B100" s="20" t="s">
        <v>1167</v>
      </c>
      <c r="C100" s="20" t="s">
        <v>1168</v>
      </c>
      <c r="D100" s="21" t="str">
        <f>PartsMaster!B78&amp;" "&amp;PartsMaster!$C78</f>
        <v>Jaguar XK8 XKR X100 Pop-up trunk plunger</v>
      </c>
      <c r="E100" s="20">
        <v>3000</v>
      </c>
      <c r="F100" s="20" t="s">
        <v>1182</v>
      </c>
      <c r="H100" s="21" t="str">
        <f>PartsMaster!$Q78</f>
        <v>Pop-up trunk plunger</v>
      </c>
      <c r="I100" s="20">
        <v>9886</v>
      </c>
      <c r="K100" s="20">
        <v>0</v>
      </c>
      <c r="L100" s="20">
        <v>0</v>
      </c>
      <c r="M100" s="21">
        <f>PartsMaster!$D78</f>
        <v>1</v>
      </c>
      <c r="O100" s="20" t="s">
        <v>1169</v>
      </c>
      <c r="P100" s="23">
        <f>PartsMaster!$S78/1.45</f>
        <v>10.344827586206897</v>
      </c>
      <c r="S100" s="20">
        <v>30</v>
      </c>
      <c r="T100" s="20">
        <v>0</v>
      </c>
      <c r="U100" s="20" t="s">
        <v>1170</v>
      </c>
      <c r="Z100" s="26" t="str">
        <f>"&lt;P&gt;"&amp;PartsMaster!$I78&amp;" "&amp;PartsMaster!$H78&amp;"&lt;/P&gt;"&amp;"&lt;P&gt;Jaguar part name "&amp;PartsMaster!$E78&amp;"&lt;/P&gt;&lt;P&gt;Product numbers "&amp;PartsMaster!R78&amp;" "&amp;DQ100&amp;"&lt;/P&gt;&lt;P&gt;Fits starting from VIN/ModelYear "&amp;PartsMaster!$F78&amp;" until VIN/ModelYear "&amp;PartsMaster!$G78&amp;"&lt;/P&gt;&lt;P&gt;Condition: "&amp;PartsMaster!AB78&amp;"&lt;/P&gt;&lt;P&gt; (part source "&amp;PartsMaster!AD78&amp;")&lt;/P&gt;&lt;P&gt;Notes: "&amp;PartsMaster!AA78&amp;"&lt;/P&gt;"</f>
        <v>&lt;P&gt;Plunger Plunger&lt;/P&gt;&lt;P&gt;Jaguar part name BODY CLOSURES AND SEALING/TRUNK LATHING MECHANISMS AND SEALS&lt;/P&gt;&lt;P&gt;Product numbers GJA3516AA GJA3516AA&lt;/P&gt;&lt;P&gt;Fits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100" s="20" t="s">
        <v>1171</v>
      </c>
      <c r="AC100" s="20">
        <v>0</v>
      </c>
      <c r="AD100" s="20">
        <v>0</v>
      </c>
      <c r="AE100" s="20" t="s">
        <v>1172</v>
      </c>
      <c r="AF100" s="20">
        <v>7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O100" s="20" t="s">
        <v>1173</v>
      </c>
      <c r="AR100" s="20">
        <v>0</v>
      </c>
      <c r="AS100" s="20">
        <v>10112</v>
      </c>
      <c r="AV100" s="20" t="s">
        <v>1174</v>
      </c>
      <c r="AX100" s="20">
        <v>62128510024</v>
      </c>
      <c r="AY100" s="20">
        <v>62035811024</v>
      </c>
      <c r="AZ100" s="20">
        <v>55187694024</v>
      </c>
      <c r="BA100" s="20" t="s">
        <v>1175</v>
      </c>
      <c r="BB100" s="20" t="s">
        <v>1176</v>
      </c>
      <c r="BC100" s="20" t="s">
        <v>1177</v>
      </c>
      <c r="BD100" s="20">
        <v>1</v>
      </c>
      <c r="BE100" s="20">
        <v>0</v>
      </c>
      <c r="BF100" s="20">
        <v>0</v>
      </c>
      <c r="BG100" s="20">
        <v>0</v>
      </c>
      <c r="BN100" s="20" t="s">
        <v>1178</v>
      </c>
      <c r="BV100" s="20">
        <v>0</v>
      </c>
      <c r="CL100" s="20">
        <v>0</v>
      </c>
      <c r="DD100" s="20" t="s">
        <v>1179</v>
      </c>
      <c r="DE100" s="20" t="s">
        <v>1179</v>
      </c>
      <c r="DI100" s="20">
        <v>0</v>
      </c>
      <c r="DP100" s="21" t="s">
        <v>1180</v>
      </c>
      <c r="DQ100" s="21" t="str">
        <f>PartsMaster!$A78</f>
        <v>GJA3516AA</v>
      </c>
      <c r="DR100" s="21" t="s">
        <v>1181</v>
      </c>
      <c r="DS100" s="21" t="str">
        <f>PartsMaster!$K79&amp;" "&amp;PartsMaster!L79&amp;" "&amp;PartsMaster!$M79</f>
        <v>Rear Right N/A</v>
      </c>
    </row>
    <row r="101" spans="1:123" ht="30" hidden="1" x14ac:dyDescent="0.25">
      <c r="A101" s="20" t="s">
        <v>1166</v>
      </c>
      <c r="B101" s="20" t="s">
        <v>1167</v>
      </c>
      <c r="C101" s="20" t="s">
        <v>1168</v>
      </c>
      <c r="D101" s="21" t="str">
        <f>PartsMaster!B99&amp;" "&amp;PartsMaster!$C99</f>
        <v>Jaguar XK8 XKR X100 Seat  - Mechanism cover</v>
      </c>
      <c r="E101" s="20">
        <v>3000</v>
      </c>
      <c r="F101" s="20" t="s">
        <v>1182</v>
      </c>
      <c r="H101" s="21">
        <f>PartsMaster!$Q99</f>
        <v>0</v>
      </c>
      <c r="I101" s="20">
        <v>9886</v>
      </c>
      <c r="K101" s="20">
        <v>0</v>
      </c>
      <c r="L101" s="20">
        <v>0</v>
      </c>
      <c r="M101" s="21">
        <f>PartsMaster!$D99</f>
        <v>0</v>
      </c>
      <c r="O101" s="20" t="s">
        <v>1169</v>
      </c>
      <c r="P101" s="23">
        <f>PartsMaster!$S99/1.45</f>
        <v>0</v>
      </c>
      <c r="S101" s="20">
        <v>30</v>
      </c>
      <c r="T101" s="20">
        <v>0</v>
      </c>
      <c r="U101" s="20" t="s">
        <v>1170</v>
      </c>
      <c r="Z101" s="26" t="str">
        <f>"&lt;P&gt;"&amp;PartsMaster!$I99&amp;" "&amp;PartsMaster!$H99&amp;"&lt;/P&gt;"&amp;"&lt;P&gt;Jaguar part name "&amp;PartsMaster!$E99&amp;"&lt;/P&gt;&lt;P&gt;Product numbers "&amp;PartsMaster!R99&amp;" "&amp;DQ101&amp;"&lt;/P&gt;&lt;P&gt;Fits starting from VIN/ModelYear "&amp;PartsMaster!$F99&amp;" until VIN/ModelYear "&amp;PartsMaster!$G99&amp;"&lt;/P&gt;&lt;P&gt;Condition: "&amp;PartsMaster!AB99&amp;"&lt;/P&gt;&lt;P&gt; (part source "&amp;PartsMaster!AD99&amp;")&lt;/P&gt;&lt;P&gt;Notes: "&amp;PartsMaster!AA99&amp;"&lt;/P&gt;"</f>
        <v>&lt;P&gt;Cap / Cover Cap / Cover / Trim&lt;/P&gt;&lt;P&gt;Jaguar part name SEATING/FRONT SEATS, TRIM AND FITTINGS  - Mechanism cover
SEAT HINGE COVER &lt;/P&gt;&lt;P&gt;Product numbers  GJB4731AA/SDZ
GJB4731AASDZ&lt;/P&gt;&lt;P&gt;Fits starting from VIN/ModelYear 18108 until VIN/ModelYear -&lt;/P&gt;&lt;P&gt;Condition: &lt;/P&gt;&lt;P&gt; (part source )&lt;/P&gt;&lt;P&gt;Notes: &lt;/P&gt;</v>
      </c>
      <c r="AA101" s="20" t="s">
        <v>1171</v>
      </c>
      <c r="AC101" s="20">
        <v>0</v>
      </c>
      <c r="AD101" s="20">
        <v>0</v>
      </c>
      <c r="AE101" s="20" t="s">
        <v>1172</v>
      </c>
      <c r="AF101" s="20">
        <v>7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O101" s="20" t="s">
        <v>1173</v>
      </c>
      <c r="AR101" s="20">
        <v>0</v>
      </c>
      <c r="AS101" s="20">
        <v>10112</v>
      </c>
      <c r="AV101" s="20" t="s">
        <v>1174</v>
      </c>
      <c r="AX101" s="20">
        <v>62128510024</v>
      </c>
      <c r="AY101" s="20">
        <v>62035811024</v>
      </c>
      <c r="AZ101" s="20">
        <v>55187694024</v>
      </c>
      <c r="BA101" s="20" t="s">
        <v>1175</v>
      </c>
      <c r="BB101" s="20" t="s">
        <v>1176</v>
      </c>
      <c r="BC101" s="20" t="s">
        <v>1177</v>
      </c>
      <c r="BD101" s="20">
        <v>1</v>
      </c>
      <c r="BE101" s="20">
        <v>0</v>
      </c>
      <c r="BF101" s="20">
        <v>0</v>
      </c>
      <c r="BG101" s="20">
        <v>0</v>
      </c>
      <c r="BN101" s="20" t="s">
        <v>1178</v>
      </c>
      <c r="BV101" s="20">
        <v>0</v>
      </c>
      <c r="CL101" s="20">
        <v>0</v>
      </c>
      <c r="DD101" s="20" t="s">
        <v>1179</v>
      </c>
      <c r="DE101" s="20" t="s">
        <v>1179</v>
      </c>
      <c r="DI101" s="20">
        <v>0</v>
      </c>
      <c r="DP101" s="21" t="s">
        <v>1180</v>
      </c>
      <c r="DQ101" s="21" t="str">
        <f>PartsMaster!$A99</f>
        <v>GJB4731AA/SDZ
GJB4731AASDZ</v>
      </c>
      <c r="DR101" s="21" t="s">
        <v>1181</v>
      </c>
      <c r="DS101" s="21" t="str">
        <f>PartsMaster!$K100&amp;" "&amp;PartsMaster!L100&amp;" "&amp;PartsMaster!$M100</f>
        <v>Center Center Bottom</v>
      </c>
    </row>
    <row r="102" spans="1:123" ht="45" x14ac:dyDescent="0.25">
      <c r="A102" s="20" t="s">
        <v>1166</v>
      </c>
      <c r="B102" s="20" t="s">
        <v>1167</v>
      </c>
      <c r="C102" s="20" t="s">
        <v>1168</v>
      </c>
      <c r="D102" s="21" t="str">
        <f>PartsMaster!B93&amp;" "&amp;PartsMaster!$C93</f>
        <v>Jaguar XK8 XKR X100 Wiper arm cap</v>
      </c>
      <c r="E102" s="20">
        <v>3000</v>
      </c>
      <c r="F102" s="20" t="s">
        <v>1182</v>
      </c>
      <c r="H102" s="21" t="str">
        <f>PartsMaster!$Q93</f>
        <v>CAP-WIPER AR</v>
      </c>
      <c r="I102" s="20">
        <v>9886</v>
      </c>
      <c r="K102" s="20">
        <v>0</v>
      </c>
      <c r="L102" s="20">
        <v>0</v>
      </c>
      <c r="M102" s="21">
        <f>PartsMaster!$D93</f>
        <v>0</v>
      </c>
      <c r="O102" s="20" t="s">
        <v>1169</v>
      </c>
      <c r="P102" s="23">
        <f>PartsMaster!$S93/1.45</f>
        <v>0</v>
      </c>
      <c r="S102" s="20">
        <v>30</v>
      </c>
      <c r="T102" s="20">
        <v>0</v>
      </c>
      <c r="U102" s="20" t="s">
        <v>1170</v>
      </c>
      <c r="Z102" s="26" t="str">
        <f>"&lt;P&gt;"&amp;PartsMaster!$I93&amp;" "&amp;PartsMaster!$H93&amp;"&lt;/P&gt;"&amp;"&lt;P&gt;Jaguar part name "&amp;PartsMaster!$E93&amp;"&lt;/P&gt;&lt;P&gt;Product numbers "&amp;PartsMaster!R93&amp;" "&amp;DQ102&amp;"&lt;/P&gt;&lt;P&gt;Fits starting from VIN/ModelYear "&amp;PartsMaster!$F93&amp;" until VIN/ModelYear "&amp;PartsMaster!$G93&amp;"&lt;/P&gt;&lt;P&gt;Condition: "&amp;PartsMaster!AB93&amp;"&lt;/P&gt;&lt;P&gt; (part source "&amp;PartsMaster!AD93&amp;")&lt;/P&gt;&lt;P&gt;Notes: "&amp;PartsMaster!AA93&amp;"&lt;/P&gt;"</f>
        <v>&lt;P&gt;Cover Exterior trim&lt;/P&gt;&lt;P&gt;Jaguar part name WIPER AND WASHER SYSTEMS/WIPER MOTOR, ARMS AND BLADES - Wiper arm cap
&lt;/P&gt;&lt;P&gt;Product numbers GJA8966AB GJA8966AB&lt;/P&gt;&lt;P&gt;Fits starting from VIN/ModelYear 0 until VIN/ModelYear 042775&lt;/P&gt;&lt;P&gt;Condition: SNG Barratt&lt;/P&gt;&lt;P&gt; (part source )&lt;/P&gt;&lt;P&gt;Notes: http://www.sngbarratt.com/PartSearchResults.aspx?partno=GJA8966AB&lt;/P&gt;</v>
      </c>
      <c r="AA102" s="20" t="s">
        <v>1171</v>
      </c>
      <c r="AC102" s="20">
        <v>0</v>
      </c>
      <c r="AD102" s="20">
        <v>0</v>
      </c>
      <c r="AE102" s="20" t="s">
        <v>1172</v>
      </c>
      <c r="AF102" s="20">
        <v>7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O102" s="20" t="s">
        <v>1173</v>
      </c>
      <c r="AR102" s="20">
        <v>0</v>
      </c>
      <c r="AS102" s="20">
        <v>10112</v>
      </c>
      <c r="AV102" s="20" t="s">
        <v>1174</v>
      </c>
      <c r="AX102" s="20">
        <v>62128510024</v>
      </c>
      <c r="AY102" s="20">
        <v>62035811024</v>
      </c>
      <c r="AZ102" s="20">
        <v>55187694024</v>
      </c>
      <c r="BA102" s="20" t="s">
        <v>1175</v>
      </c>
      <c r="BB102" s="20" t="s">
        <v>1176</v>
      </c>
      <c r="BC102" s="20" t="s">
        <v>1177</v>
      </c>
      <c r="BD102" s="20">
        <v>1</v>
      </c>
      <c r="BE102" s="20">
        <v>0</v>
      </c>
      <c r="BF102" s="20">
        <v>0</v>
      </c>
      <c r="BG102" s="20">
        <v>0</v>
      </c>
      <c r="BN102" s="20" t="s">
        <v>1178</v>
      </c>
      <c r="BV102" s="20">
        <v>0</v>
      </c>
      <c r="CL102" s="20">
        <v>0</v>
      </c>
      <c r="DD102" s="20" t="s">
        <v>1179</v>
      </c>
      <c r="DE102" s="20" t="s">
        <v>1179</v>
      </c>
      <c r="DI102" s="20">
        <v>0</v>
      </c>
      <c r="DP102" s="21" t="s">
        <v>1180</v>
      </c>
      <c r="DQ102" s="21" t="str">
        <f>PartsMaster!$A93</f>
        <v>GJA8966AB</v>
      </c>
      <c r="DR102" s="21" t="s">
        <v>1181</v>
      </c>
      <c r="DS102" s="21" t="str">
        <f>PartsMaster!$K94&amp;" "&amp;PartsMaster!L94&amp;" "&amp;PartsMaster!$M94</f>
        <v>Front Left Bottom</v>
      </c>
    </row>
    <row r="103" spans="1:123" ht="45" x14ac:dyDescent="0.25">
      <c r="A103" s="20" t="s">
        <v>1166</v>
      </c>
      <c r="B103" s="20" t="s">
        <v>1167</v>
      </c>
      <c r="C103" s="20" t="s">
        <v>1168</v>
      </c>
      <c r="D103" s="21" t="str">
        <f>PartsMaster!B97&amp;" "&amp;PartsMaster!$C97</f>
        <v>Jaguar XK8 XKR X100 Seat  - Mechanism cover</v>
      </c>
      <c r="E103" s="20">
        <v>3000</v>
      </c>
      <c r="F103" s="20" t="s">
        <v>1182</v>
      </c>
      <c r="H103" s="21">
        <f>PartsMaster!$Q97</f>
        <v>0</v>
      </c>
      <c r="I103" s="20">
        <v>9886</v>
      </c>
      <c r="K103" s="20">
        <v>0</v>
      </c>
      <c r="L103" s="20">
        <v>0</v>
      </c>
      <c r="M103" s="21">
        <f>PartsMaster!$D97</f>
        <v>0</v>
      </c>
      <c r="O103" s="20" t="s">
        <v>1169</v>
      </c>
      <c r="P103" s="23">
        <f>PartsMaster!$S97/1.45</f>
        <v>0</v>
      </c>
      <c r="S103" s="20">
        <v>30</v>
      </c>
      <c r="T103" s="20">
        <v>0</v>
      </c>
      <c r="U103" s="20" t="s">
        <v>1170</v>
      </c>
      <c r="Z103" s="26" t="str">
        <f>"&lt;P&gt;"&amp;PartsMaster!$I97&amp;" "&amp;PartsMaster!$H97&amp;"&lt;/P&gt;"&amp;"&lt;P&gt;Jaguar part name "&amp;PartsMaster!$E97&amp;"&lt;/P&gt;&lt;P&gt;Product numbers "&amp;PartsMaster!R97&amp;" "&amp;DQ103&amp;"&lt;/P&gt;&lt;P&gt;Fits starting from VIN/ModelYear "&amp;PartsMaster!$F97&amp;" until VIN/ModelYear "&amp;PartsMaster!$G97&amp;"&lt;/P&gt;&lt;P&gt;Condition: "&amp;PartsMaster!AB97&amp;"&lt;/P&gt;&lt;P&gt; (part source "&amp;PartsMaster!AD97&amp;")&lt;/P&gt;&lt;P&gt;Notes: "&amp;PartsMaster!AA97&amp;"&lt;/P&gt;"</f>
        <v>&lt;P&gt;Cap / Cover Cap / Cover / Trim&lt;/P&gt;&lt;P&gt;Jaguar part name SEATING/FRONT SEATS, TRIM AND FITTINGS  - Mechanism cover
SEAT HINGE COVER &lt;/P&gt;&lt;P&gt;Product numbers  GJB4730AA/SDZ
GJB4730AASDZ &lt;/P&gt;&lt;P&gt;Fits starting from VIN/ModelYear 18108 until VIN/ModelYear -&lt;/P&gt;&lt;P&gt;Condition: &lt;/P&gt;&lt;P&gt; (part source )&lt;/P&gt;&lt;P&gt;Notes: &lt;/P&gt;</v>
      </c>
      <c r="AA103" s="20" t="s">
        <v>1171</v>
      </c>
      <c r="AC103" s="20">
        <v>0</v>
      </c>
      <c r="AD103" s="20">
        <v>0</v>
      </c>
      <c r="AE103" s="20" t="s">
        <v>1172</v>
      </c>
      <c r="AF103" s="20">
        <v>7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O103" s="20" t="s">
        <v>1173</v>
      </c>
      <c r="AR103" s="20">
        <v>0</v>
      </c>
      <c r="AS103" s="20">
        <v>10112</v>
      </c>
      <c r="AV103" s="20" t="s">
        <v>1174</v>
      </c>
      <c r="AX103" s="20">
        <v>62128510024</v>
      </c>
      <c r="AY103" s="20">
        <v>62035811024</v>
      </c>
      <c r="AZ103" s="20">
        <v>55187694024</v>
      </c>
      <c r="BA103" s="20" t="s">
        <v>1175</v>
      </c>
      <c r="BB103" s="20" t="s">
        <v>1176</v>
      </c>
      <c r="BC103" s="20" t="s">
        <v>1177</v>
      </c>
      <c r="BD103" s="20">
        <v>1</v>
      </c>
      <c r="BE103" s="20">
        <v>0</v>
      </c>
      <c r="BF103" s="20">
        <v>0</v>
      </c>
      <c r="BG103" s="20">
        <v>0</v>
      </c>
      <c r="BN103" s="20" t="s">
        <v>1178</v>
      </c>
      <c r="BV103" s="20">
        <v>0</v>
      </c>
      <c r="CL103" s="20">
        <v>0</v>
      </c>
      <c r="DD103" s="20" t="s">
        <v>1179</v>
      </c>
      <c r="DE103" s="20" t="s">
        <v>1179</v>
      </c>
      <c r="DI103" s="20">
        <v>0</v>
      </c>
      <c r="DP103" s="21" t="s">
        <v>1180</v>
      </c>
      <c r="DQ103" s="21" t="str">
        <f>PartsMaster!$A97</f>
        <v xml:space="preserve">GJB4730AA/SDZ
GJB4730AASDZ </v>
      </c>
      <c r="DR103" s="21" t="s">
        <v>1181</v>
      </c>
      <c r="DS103" s="21" t="str">
        <f>PartsMaster!$K98&amp;" "&amp;PartsMaster!L98&amp;" "&amp;PartsMaster!$M98</f>
        <v>Front Left Low</v>
      </c>
    </row>
    <row r="104" spans="1:123" ht="30" hidden="1" x14ac:dyDescent="0.25">
      <c r="A104" s="20" t="s">
        <v>1166</v>
      </c>
      <c r="B104" s="20" t="s">
        <v>1167</v>
      </c>
      <c r="C104" s="20" t="s">
        <v>1168</v>
      </c>
      <c r="D104" s="21" t="str">
        <f>PartsMaster!B104&amp;" "&amp;PartsMaster!$C104</f>
        <v>Jaguar XK8 XKR X100 Flange finisher</v>
      </c>
      <c r="E104" s="20">
        <v>3000</v>
      </c>
      <c r="F104" s="20" t="s">
        <v>1182</v>
      </c>
      <c r="H104" s="21" t="str">
        <f>PartsMaster!$Q104</f>
        <v>Flange finisher</v>
      </c>
      <c r="I104" s="20">
        <v>9886</v>
      </c>
      <c r="K104" s="20">
        <v>0</v>
      </c>
      <c r="L104" s="20">
        <v>0</v>
      </c>
      <c r="M104" s="21">
        <f>PartsMaster!$D104</f>
        <v>2</v>
      </c>
      <c r="O104" s="20" t="s">
        <v>1169</v>
      </c>
      <c r="P104" s="23">
        <f>PartsMaster!$S104/1.45</f>
        <v>0</v>
      </c>
      <c r="S104" s="20">
        <v>30</v>
      </c>
      <c r="T104" s="20">
        <v>0</v>
      </c>
      <c r="U104" s="20" t="s">
        <v>1170</v>
      </c>
      <c r="Z104" s="26" t="str">
        <f>"&lt;P&gt;"&amp;PartsMaster!$I104&amp;" "&amp;PartsMaster!$H104&amp;"&lt;/P&gt;"&amp;"&lt;P&gt;Jaguar part name "&amp;PartsMaster!$E104&amp;"&lt;/P&gt;&lt;P&gt;Product numbers "&amp;PartsMaster!R104&amp;" "&amp;DQ104&amp;"&lt;/P&gt;&lt;P&gt;Fits starting from VIN/ModelYear "&amp;PartsMaster!$F104&amp;" until VIN/ModelYear "&amp;PartsMaster!$G104&amp;"&lt;/P&gt;&lt;P&gt;Condition: "&amp;PartsMaster!AB104&amp;"&lt;/P&gt;&lt;P&gt; (part source "&amp;PartsMaster!AD104&amp;")&lt;/P&gt;&lt;P&gt;Notes: "&amp;PartsMaster!AA104&amp;"&lt;/P&gt;"</f>
        <v>&lt;P&gt;Seals Door seals&lt;/P&gt;&lt;P&gt;Jaguar part name BODY CLOSURES AND SEALINGS/DOOR SEALS - Flange finisher&lt;/P&gt;&lt;P&gt;Product numbers HJA1650AD HJA1650AD&lt;/P&gt;&lt;P&gt;Fits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104" s="20" t="s">
        <v>1171</v>
      </c>
      <c r="AC104" s="20">
        <v>0</v>
      </c>
      <c r="AD104" s="20">
        <v>0</v>
      </c>
      <c r="AE104" s="20" t="s">
        <v>1172</v>
      </c>
      <c r="AF104" s="20">
        <v>7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O104" s="20" t="s">
        <v>1173</v>
      </c>
      <c r="AR104" s="20">
        <v>0</v>
      </c>
      <c r="AS104" s="20">
        <v>10112</v>
      </c>
      <c r="AV104" s="20" t="s">
        <v>1174</v>
      </c>
      <c r="AX104" s="20">
        <v>62128510024</v>
      </c>
      <c r="AY104" s="20">
        <v>62035811024</v>
      </c>
      <c r="AZ104" s="20">
        <v>55187694024</v>
      </c>
      <c r="BA104" s="20" t="s">
        <v>1175</v>
      </c>
      <c r="BB104" s="20" t="s">
        <v>1176</v>
      </c>
      <c r="BC104" s="20" t="s">
        <v>1177</v>
      </c>
      <c r="BD104" s="20">
        <v>1</v>
      </c>
      <c r="BE104" s="20">
        <v>0</v>
      </c>
      <c r="BF104" s="20">
        <v>0</v>
      </c>
      <c r="BG104" s="20">
        <v>0</v>
      </c>
      <c r="BN104" s="20" t="s">
        <v>1178</v>
      </c>
      <c r="BV104" s="20">
        <v>0</v>
      </c>
      <c r="CL104" s="20">
        <v>0</v>
      </c>
      <c r="DD104" s="20" t="s">
        <v>1179</v>
      </c>
      <c r="DE104" s="20" t="s">
        <v>1179</v>
      </c>
      <c r="DI104" s="20">
        <v>0</v>
      </c>
      <c r="DP104" s="21" t="s">
        <v>1180</v>
      </c>
      <c r="DQ104" s="21" t="str">
        <f>PartsMaster!$A104</f>
        <v>HJA1650AD</v>
      </c>
      <c r="DR104" s="21" t="s">
        <v>1181</v>
      </c>
      <c r="DS104" s="21" t="str">
        <f>PartsMaster!$K105&amp;" "&amp;PartsMaster!L105&amp;" "&amp;PartsMaster!$M105</f>
        <v xml:space="preserve">Front Left/Right </v>
      </c>
    </row>
    <row r="105" spans="1:123" ht="45" hidden="1" x14ac:dyDescent="0.25">
      <c r="A105" s="20" t="s">
        <v>1166</v>
      </c>
      <c r="B105" s="20" t="s">
        <v>1167</v>
      </c>
      <c r="C105" s="20" t="s">
        <v>1168</v>
      </c>
      <c r="D105" s="21" t="str">
        <f>PartsMaster!B100&amp;" "&amp;PartsMaster!$C100</f>
        <v>Jaguar XK8 XKR X100 Gearbox tunnel cover</v>
      </c>
      <c r="E105" s="20">
        <v>3000</v>
      </c>
      <c r="F105" s="20" t="s">
        <v>1182</v>
      </c>
      <c r="H105" s="21" t="str">
        <f>PartsMaster!$Q100</f>
        <v>Gearbox tunnel cover</v>
      </c>
      <c r="I105" s="20">
        <v>9886</v>
      </c>
      <c r="K105" s="20">
        <v>0</v>
      </c>
      <c r="L105" s="20">
        <v>0</v>
      </c>
      <c r="M105" s="21">
        <f>PartsMaster!$D100</f>
        <v>1</v>
      </c>
      <c r="O105" s="20" t="s">
        <v>1169</v>
      </c>
      <c r="P105" s="23">
        <f>PartsMaster!$S100/1.45</f>
        <v>44.827586206896555</v>
      </c>
      <c r="S105" s="20">
        <v>30</v>
      </c>
      <c r="T105" s="20">
        <v>0</v>
      </c>
      <c r="U105" s="20" t="s">
        <v>1170</v>
      </c>
      <c r="Z105" s="26" t="str">
        <f>"&lt;P&gt;"&amp;PartsMaster!$I100&amp;" "&amp;PartsMaster!$H100&amp;"&lt;/P&gt;"&amp;"&lt;P&gt;Jaguar part name "&amp;PartsMaster!$E100&amp;"&lt;/P&gt;&lt;P&gt;Product numbers "&amp;PartsMaster!R100&amp;" "&amp;DQ105&amp;"&lt;/P&gt;&lt;P&gt;Fits starting from VIN/ModelYear "&amp;PartsMaster!$F100&amp;" until VIN/ModelYear "&amp;PartsMaster!$G100&amp;"&lt;/P&gt;&lt;P&gt;Condition: "&amp;PartsMaster!AB100&amp;"&lt;/P&gt;&lt;P&gt; (part source "&amp;PartsMaster!AD100&amp;")&lt;/P&gt;&lt;P&gt;Notes: "&amp;PartsMaster!AA100&amp;"&lt;/P&gt;"</f>
        <v>&lt;P&gt;Cover Bodyshell/cover&lt;/P&gt;&lt;P&gt;Jaguar part name METAL PANELS AND SEALING/FIXED BODY PANELS - Gearbox tonnel cover&lt;/P&gt;&lt;P&gt;Product numbers GJB7820AB GJB7820AB&lt;/P&gt;&lt;P&gt;Fits starting from VIN/ModelYear  until VIN/ModelYear &lt;/P&gt;&lt;P&gt;Condition: Dismantled from bottom &amp; engine damaged MY1997 XK8 Convertible VIN 0136xx&lt;/P&gt;&lt;P&gt; (part source KK)&lt;/P&gt;&lt;P&gt;Notes: automatic&lt;/P&gt;</v>
      </c>
      <c r="AA105" s="20" t="s">
        <v>1171</v>
      </c>
      <c r="AC105" s="20">
        <v>0</v>
      </c>
      <c r="AD105" s="20">
        <v>0</v>
      </c>
      <c r="AE105" s="20" t="s">
        <v>1172</v>
      </c>
      <c r="AF105" s="20">
        <v>7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O105" s="20" t="s">
        <v>1173</v>
      </c>
      <c r="AR105" s="20">
        <v>0</v>
      </c>
      <c r="AS105" s="20">
        <v>10112</v>
      </c>
      <c r="AV105" s="20" t="s">
        <v>1174</v>
      </c>
      <c r="AX105" s="20">
        <v>62128510024</v>
      </c>
      <c r="AY105" s="20">
        <v>62035811024</v>
      </c>
      <c r="AZ105" s="20">
        <v>55187694024</v>
      </c>
      <c r="BA105" s="20" t="s">
        <v>1175</v>
      </c>
      <c r="BB105" s="20" t="s">
        <v>1176</v>
      </c>
      <c r="BC105" s="20" t="s">
        <v>1177</v>
      </c>
      <c r="BD105" s="20">
        <v>1</v>
      </c>
      <c r="BE105" s="20">
        <v>0</v>
      </c>
      <c r="BF105" s="20">
        <v>0</v>
      </c>
      <c r="BG105" s="20">
        <v>0</v>
      </c>
      <c r="BN105" s="20" t="s">
        <v>1178</v>
      </c>
      <c r="BV105" s="20">
        <v>0</v>
      </c>
      <c r="CL105" s="20">
        <v>0</v>
      </c>
      <c r="DD105" s="20" t="s">
        <v>1179</v>
      </c>
      <c r="DE105" s="20" t="s">
        <v>1179</v>
      </c>
      <c r="DI105" s="20">
        <v>0</v>
      </c>
      <c r="DP105" s="21" t="s">
        <v>1180</v>
      </c>
      <c r="DQ105" s="21" t="str">
        <f>PartsMaster!$A100</f>
        <v>GJB7820AB</v>
      </c>
      <c r="DR105" s="21" t="s">
        <v>1181</v>
      </c>
      <c r="DS105" s="21" t="str">
        <f>PartsMaster!$K101&amp;" "&amp;PartsMaster!L101&amp;" "&amp;PartsMaster!$M101</f>
        <v>Front Right Bottom</v>
      </c>
    </row>
    <row r="106" spans="1:123" ht="30" hidden="1" x14ac:dyDescent="0.25">
      <c r="A106" s="20" t="s">
        <v>1166</v>
      </c>
      <c r="B106" s="20" t="s">
        <v>1167</v>
      </c>
      <c r="C106" s="20" t="s">
        <v>1168</v>
      </c>
      <c r="D106" s="21" t="str">
        <f>PartsMaster!B101&amp;" "&amp;PartsMaster!$C101</f>
        <v>Jaguar XK8 XKR X100 Battery Clamp</v>
      </c>
      <c r="E106" s="20">
        <v>3000</v>
      </c>
      <c r="F106" s="20" t="s">
        <v>1182</v>
      </c>
      <c r="H106" s="21" t="str">
        <f>PartsMaster!$Q101</f>
        <v>Battery Clamp</v>
      </c>
      <c r="I106" s="20">
        <v>9886</v>
      </c>
      <c r="K106" s="20">
        <v>0</v>
      </c>
      <c r="L106" s="20">
        <v>0</v>
      </c>
      <c r="M106" s="21">
        <f>PartsMaster!$D101</f>
        <v>1</v>
      </c>
      <c r="O106" s="20" t="s">
        <v>1169</v>
      </c>
      <c r="P106" s="23">
        <f>PartsMaster!$S101/1.45</f>
        <v>0</v>
      </c>
      <c r="S106" s="20">
        <v>30</v>
      </c>
      <c r="T106" s="20">
        <v>0</v>
      </c>
      <c r="U106" s="20" t="s">
        <v>1170</v>
      </c>
      <c r="Z106" s="26" t="str">
        <f>"&lt;P&gt;"&amp;PartsMaster!$I101&amp;" "&amp;PartsMaster!$H101&amp;"&lt;/P&gt;"&amp;"&lt;P&gt;Jaguar part name "&amp;PartsMaster!$E101&amp;"&lt;/P&gt;&lt;P&gt;Product numbers "&amp;PartsMaster!R101&amp;" "&amp;DQ106&amp;"&lt;/P&gt;&lt;P&gt;Fits starting from VIN/ModelYear "&amp;PartsMaster!$F101&amp;" until VIN/ModelYear "&amp;PartsMaster!$G101&amp;"&lt;/P&gt;&lt;P&gt;Condition: "&amp;PartsMaster!AB101&amp;"&lt;/P&gt;&lt;P&gt; (part source "&amp;PartsMaster!AD101&amp;")&lt;/P&gt;&lt;P&gt;Notes: "&amp;PartsMaster!AA101&amp;"&lt;/P&gt;"</f>
        <v>&lt;P&gt;Mounting Clamp&lt;/P&gt;&lt;P&gt;Jaguar part name BATTERY/STARTER MOTOR/ALTERNATOR/BATTERY AND FIXINGS &lt;/P&gt;&lt;P&gt;Product numbers  GNB3542AB&lt;/P&gt;&lt;P&gt;Fits starting from VIN/ModelYear MY1996 until VIN/ModelYear End&lt;/P&gt;&lt;P&gt;Condition: &lt;/P&gt;&lt;P&gt; (part source )&lt;/P&gt;&lt;P&gt;Notes: &lt;/P&gt;</v>
      </c>
      <c r="AA106" s="20" t="s">
        <v>1171</v>
      </c>
      <c r="AC106" s="20">
        <v>0</v>
      </c>
      <c r="AD106" s="20">
        <v>0</v>
      </c>
      <c r="AE106" s="20" t="s">
        <v>1172</v>
      </c>
      <c r="AF106" s="20">
        <v>7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O106" s="20" t="s">
        <v>1173</v>
      </c>
      <c r="AR106" s="20">
        <v>0</v>
      </c>
      <c r="AS106" s="20">
        <v>10112</v>
      </c>
      <c r="AV106" s="20" t="s">
        <v>1174</v>
      </c>
      <c r="AX106" s="20">
        <v>62128510024</v>
      </c>
      <c r="AY106" s="20">
        <v>62035811024</v>
      </c>
      <c r="AZ106" s="20">
        <v>55187694024</v>
      </c>
      <c r="BA106" s="20" t="s">
        <v>1175</v>
      </c>
      <c r="BB106" s="20" t="s">
        <v>1176</v>
      </c>
      <c r="BC106" s="20" t="s">
        <v>1177</v>
      </c>
      <c r="BD106" s="20">
        <v>1</v>
      </c>
      <c r="BE106" s="20">
        <v>0</v>
      </c>
      <c r="BF106" s="20">
        <v>0</v>
      </c>
      <c r="BG106" s="20">
        <v>0</v>
      </c>
      <c r="BN106" s="20" t="s">
        <v>1178</v>
      </c>
      <c r="BV106" s="20">
        <v>0</v>
      </c>
      <c r="CL106" s="20">
        <v>0</v>
      </c>
      <c r="DD106" s="20" t="s">
        <v>1179</v>
      </c>
      <c r="DE106" s="20" t="s">
        <v>1179</v>
      </c>
      <c r="DI106" s="20">
        <v>0</v>
      </c>
      <c r="DP106" s="21" t="s">
        <v>1180</v>
      </c>
      <c r="DQ106" s="21" t="str">
        <f>PartsMaster!$A101</f>
        <v>GNB3542AB</v>
      </c>
      <c r="DR106" s="21" t="s">
        <v>1181</v>
      </c>
      <c r="DS106" s="21" t="str">
        <f>PartsMaster!$K102&amp;" "&amp;PartsMaster!L102&amp;" "&amp;PartsMaster!$M102</f>
        <v>Front Right Bottom</v>
      </c>
    </row>
    <row r="107" spans="1:123" ht="30" x14ac:dyDescent="0.25">
      <c r="A107" s="20" t="s">
        <v>1166</v>
      </c>
      <c r="B107" s="20" t="s">
        <v>1167</v>
      </c>
      <c r="C107" s="20" t="s">
        <v>1168</v>
      </c>
      <c r="D107" s="21" t="str">
        <f>PartsMaster!B80&amp;" "&amp;PartsMaster!$C80</f>
        <v xml:space="preserve">Jaguar XK8 XKR X100 Trunk Battery Cover </v>
      </c>
      <c r="E107" s="20">
        <v>3000</v>
      </c>
      <c r="F107" s="20" t="s">
        <v>1182</v>
      </c>
      <c r="H107" s="21">
        <f>PartsMaster!$Q80</f>
        <v>0</v>
      </c>
      <c r="I107" s="20">
        <v>9886</v>
      </c>
      <c r="K107" s="20">
        <v>0</v>
      </c>
      <c r="L107" s="20">
        <v>0</v>
      </c>
      <c r="M107" s="21">
        <f>PartsMaster!$D80</f>
        <v>0</v>
      </c>
      <c r="O107" s="20" t="s">
        <v>1169</v>
      </c>
      <c r="P107" s="23">
        <f>PartsMaster!$S80/1.45</f>
        <v>0</v>
      </c>
      <c r="S107" s="20">
        <v>30</v>
      </c>
      <c r="T107" s="20">
        <v>0</v>
      </c>
      <c r="U107" s="20" t="s">
        <v>1170</v>
      </c>
      <c r="Z107" s="26" t="str">
        <f>"&lt;P&gt;"&amp;PartsMaster!$I80&amp;" "&amp;PartsMaster!$H80&amp;"&lt;/P&gt;"&amp;"&lt;P&gt;Jaguar part name "&amp;PartsMaster!$E80&amp;"&lt;/P&gt;&lt;P&gt;Product numbers "&amp;PartsMaster!R80&amp;" "&amp;DQ107&amp;"&lt;/P&gt;&lt;P&gt;Fits starting from VIN/ModelYear "&amp;PartsMaster!$F80&amp;" until VIN/ModelYear "&amp;PartsMaster!$G80&amp;"&lt;/P&gt;&lt;P&gt;Condition: "&amp;PartsMaster!AB80&amp;"&lt;/P&gt;&lt;P&gt; (part source "&amp;PartsMaster!AD80&amp;")&lt;/P&gt;&lt;P&gt;Notes: "&amp;PartsMaster!AA80&amp;"&lt;/P&gt;"</f>
        <v>&lt;P&gt;Cap / Cover Cap / Cover / Trim&lt;/P&gt;&lt;P&gt;Jaguar part name Trunk Battery Cover &lt;/P&gt;&lt;P&gt;Product numbers  GJA3620AG&lt;/P&gt;&lt;P&gt;Fits starting from VIN/ModelYear MY1997 until VIN/ModelYear MY1998&lt;/P&gt;&lt;P&gt;Condition: &lt;/P&gt;&lt;P&gt; (part source )&lt;/P&gt;&lt;P&gt;Notes: &lt;/P&gt;</v>
      </c>
      <c r="AA107" s="20" t="s">
        <v>1171</v>
      </c>
      <c r="AC107" s="20">
        <v>0</v>
      </c>
      <c r="AD107" s="20">
        <v>0</v>
      </c>
      <c r="AE107" s="20" t="s">
        <v>1172</v>
      </c>
      <c r="AF107" s="20">
        <v>7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O107" s="20" t="s">
        <v>1173</v>
      </c>
      <c r="AR107" s="20">
        <v>0</v>
      </c>
      <c r="AS107" s="20">
        <v>10112</v>
      </c>
      <c r="AV107" s="20" t="s">
        <v>1174</v>
      </c>
      <c r="AX107" s="20">
        <v>62128510024</v>
      </c>
      <c r="AY107" s="20">
        <v>62035811024</v>
      </c>
      <c r="AZ107" s="20">
        <v>55187694024</v>
      </c>
      <c r="BA107" s="20" t="s">
        <v>1175</v>
      </c>
      <c r="BB107" s="20" t="s">
        <v>1176</v>
      </c>
      <c r="BC107" s="20" t="s">
        <v>1177</v>
      </c>
      <c r="BD107" s="20">
        <v>1</v>
      </c>
      <c r="BE107" s="20">
        <v>0</v>
      </c>
      <c r="BF107" s="20">
        <v>0</v>
      </c>
      <c r="BG107" s="20">
        <v>0</v>
      </c>
      <c r="BN107" s="20" t="s">
        <v>1178</v>
      </c>
      <c r="BV107" s="20">
        <v>0</v>
      </c>
      <c r="CL107" s="20">
        <v>0</v>
      </c>
      <c r="DD107" s="20" t="s">
        <v>1179</v>
      </c>
      <c r="DE107" s="20" t="s">
        <v>1179</v>
      </c>
      <c r="DI107" s="20">
        <v>0</v>
      </c>
      <c r="DP107" s="21" t="s">
        <v>1180</v>
      </c>
      <c r="DQ107" s="21" t="str">
        <f>PartsMaster!$A80</f>
        <v>GJA3620AG</v>
      </c>
      <c r="DR107" s="21" t="s">
        <v>1181</v>
      </c>
      <c r="DS107" s="21" t="str">
        <f>PartsMaster!$K81&amp;" "&amp;PartsMaster!L81&amp;" "&amp;PartsMaster!$M81</f>
        <v xml:space="preserve">Rear Right </v>
      </c>
    </row>
    <row r="108" spans="1:123" ht="30" x14ac:dyDescent="0.25">
      <c r="A108" s="20" t="s">
        <v>1166</v>
      </c>
      <c r="B108" s="20" t="s">
        <v>1167</v>
      </c>
      <c r="C108" s="20" t="s">
        <v>1168</v>
      </c>
      <c r="D108" s="21" t="str">
        <f>PartsMaster!B87&amp;" "&amp;PartsMaster!$C87</f>
        <v>Jaguar XK8 XKR X100 Wiper mechanism</v>
      </c>
      <c r="E108" s="20">
        <v>3000</v>
      </c>
      <c r="F108" s="20" t="s">
        <v>1182</v>
      </c>
      <c r="H108" s="21" t="str">
        <f>PartsMaster!$Q87</f>
        <v>Wiper mechanism</v>
      </c>
      <c r="I108" s="20">
        <v>9886</v>
      </c>
      <c r="K108" s="20">
        <v>0</v>
      </c>
      <c r="L108" s="20">
        <v>0</v>
      </c>
      <c r="M108" s="21">
        <f>PartsMaster!$D87</f>
        <v>1</v>
      </c>
      <c r="O108" s="20" t="s">
        <v>1169</v>
      </c>
      <c r="P108" s="23">
        <f>PartsMaster!$S87/1.45</f>
        <v>0</v>
      </c>
      <c r="S108" s="20">
        <v>30</v>
      </c>
      <c r="T108" s="20">
        <v>0</v>
      </c>
      <c r="U108" s="20" t="s">
        <v>1170</v>
      </c>
      <c r="Z108" s="26" t="str">
        <f>"&lt;P&gt;"&amp;PartsMaster!$I87&amp;" "&amp;PartsMaster!$H87&amp;"&lt;/P&gt;"&amp;"&lt;P&gt;Jaguar part name "&amp;PartsMaster!$E87&amp;"&lt;/P&gt;&lt;P&gt;Product numbers "&amp;PartsMaster!R87&amp;" "&amp;DQ108&amp;"&lt;/P&gt;&lt;P&gt;Fits starting from VIN/ModelYear "&amp;PartsMaster!$F87&amp;" until VIN/ModelYear "&amp;PartsMaster!$G87&amp;"&lt;/P&gt;&lt;P&gt;Condition: "&amp;PartsMaster!AB87&amp;"&lt;/P&gt;&lt;P&gt; (part source "&amp;PartsMaster!AD87&amp;")&lt;/P&gt;&lt;P&gt;Notes: "&amp;PartsMaster!AA87&amp;"&lt;/P&gt;"</f>
        <v>&lt;P&gt;Wipers / motors Windscreen wiper mechanism&lt;/P&gt;&lt;P&gt;Jaguar part name WIPER AND WASHERS SYSTEMS/WIPER MOTOR, ARMS AND BLADES - Wiper mechanism&lt;/P&gt;&lt;P&gt;Product numbers GJA8951AE GJA8951AE&lt;/P&gt;&lt;P&gt;Fits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108" s="20" t="s">
        <v>1171</v>
      </c>
      <c r="AC108" s="20">
        <v>0</v>
      </c>
      <c r="AD108" s="20">
        <v>0</v>
      </c>
      <c r="AE108" s="20" t="s">
        <v>1172</v>
      </c>
      <c r="AF108" s="20">
        <v>7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O108" s="20" t="s">
        <v>1173</v>
      </c>
      <c r="AR108" s="20">
        <v>0</v>
      </c>
      <c r="AS108" s="20">
        <v>10112</v>
      </c>
      <c r="AV108" s="20" t="s">
        <v>1174</v>
      </c>
      <c r="AX108" s="20">
        <v>62128510024</v>
      </c>
      <c r="AY108" s="20">
        <v>62035811024</v>
      </c>
      <c r="AZ108" s="20">
        <v>55187694024</v>
      </c>
      <c r="BA108" s="20" t="s">
        <v>1175</v>
      </c>
      <c r="BB108" s="20" t="s">
        <v>1176</v>
      </c>
      <c r="BC108" s="20" t="s">
        <v>1177</v>
      </c>
      <c r="BD108" s="20">
        <v>1</v>
      </c>
      <c r="BE108" s="20">
        <v>0</v>
      </c>
      <c r="BF108" s="20">
        <v>0</v>
      </c>
      <c r="BG108" s="20">
        <v>0</v>
      </c>
      <c r="BN108" s="20" t="s">
        <v>1178</v>
      </c>
      <c r="BV108" s="20">
        <v>0</v>
      </c>
      <c r="CL108" s="20">
        <v>0</v>
      </c>
      <c r="DD108" s="20" t="s">
        <v>1179</v>
      </c>
      <c r="DE108" s="20" t="s">
        <v>1179</v>
      </c>
      <c r="DI108" s="20">
        <v>0</v>
      </c>
      <c r="DP108" s="21" t="s">
        <v>1180</v>
      </c>
      <c r="DQ108" s="21" t="str">
        <f>PartsMaster!$A87</f>
        <v>GJA8951AE</v>
      </c>
      <c r="DR108" s="21" t="s">
        <v>1181</v>
      </c>
      <c r="DS108" s="21" t="str">
        <f>PartsMaster!$K88&amp;" "&amp;PartsMaster!L88&amp;" "&amp;PartsMaster!$M88</f>
        <v xml:space="preserve">  </v>
      </c>
    </row>
    <row r="109" spans="1:123" ht="30" x14ac:dyDescent="0.25">
      <c r="A109" s="20" t="s">
        <v>1166</v>
      </c>
      <c r="B109" s="20" t="s">
        <v>1167</v>
      </c>
      <c r="C109" s="20" t="s">
        <v>1168</v>
      </c>
      <c r="D109" s="21" t="str">
        <f>PartsMaster!B301&amp;" "&amp;PartsMaster!$C301</f>
        <v>Jaguar XK8 XKR X100 GASKET-EXHAUST MANIFOLD</v>
      </c>
      <c r="E109" s="20">
        <v>3000</v>
      </c>
      <c r="F109" s="20" t="s">
        <v>1182</v>
      </c>
      <c r="H109" s="21" t="str">
        <f>PartsMaster!$Q301</f>
        <v>GASKET-EXHAUST MANIFOLD</v>
      </c>
      <c r="I109" s="20">
        <v>9886</v>
      </c>
      <c r="K109" s="20">
        <v>0</v>
      </c>
      <c r="L109" s="20">
        <v>0</v>
      </c>
      <c r="M109" s="21">
        <f>PartsMaster!$D301</f>
        <v>0</v>
      </c>
      <c r="O109" s="20" t="s">
        <v>1169</v>
      </c>
      <c r="P109" s="23">
        <f>PartsMaster!$S301/1.45</f>
        <v>0</v>
      </c>
      <c r="S109" s="20">
        <v>30</v>
      </c>
      <c r="T109" s="20">
        <v>0</v>
      </c>
      <c r="U109" s="20" t="s">
        <v>1170</v>
      </c>
      <c r="Z109" s="26" t="str">
        <f>"&lt;P&gt;"&amp;PartsMaster!$I301&amp;" "&amp;PartsMaster!$H301&amp;"&lt;/P&gt;"&amp;"&lt;P&gt;Jaguar part name "&amp;PartsMaster!$E301&amp;"&lt;/P&gt;&lt;P&gt;Product numbers "&amp;PartsMaster!R301&amp;" "&amp;DQ109&amp;"&lt;/P&gt;&lt;P&gt;Fits starting from VIN/ModelYear "&amp;PartsMaster!$F301&amp;" until VIN/ModelYear "&amp;PartsMaster!$G301&amp;"&lt;/P&gt;&lt;P&gt;Condition: "&amp;PartsMaster!AB301&amp;"&lt;/P&gt;&lt;P&gt; (part source "&amp;PartsMaster!AD301&amp;")&lt;/P&gt;&lt;P&gt;Notes: "&amp;PartsMaster!AA301&amp;"&lt;/P&gt;"</f>
        <v>&lt;P&gt;Engine Exchaust Gasket / Seal / O-Ring&lt;/P&gt;&lt;P&gt;Jaguar part name &lt;/P&gt;&lt;P&gt;Product numbers NCA2907AE NCA2907AE&lt;/P&gt;&lt;P&gt;Fits starting from VIN/ModelYear  until VIN/ModelYear &lt;/P&gt;&lt;P&gt;Condition: British Parts&lt;/P&gt;&lt;P&gt; (part source )&lt;/P&gt;&lt;P&gt;Notes: &lt;/P&gt;</v>
      </c>
      <c r="AA109" s="20" t="s">
        <v>1171</v>
      </c>
      <c r="AC109" s="20">
        <v>0</v>
      </c>
      <c r="AD109" s="20">
        <v>0</v>
      </c>
      <c r="AE109" s="20" t="s">
        <v>1172</v>
      </c>
      <c r="AF109" s="20">
        <v>7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O109" s="20" t="s">
        <v>1173</v>
      </c>
      <c r="AR109" s="20">
        <v>0</v>
      </c>
      <c r="AS109" s="20">
        <v>10112</v>
      </c>
      <c r="AV109" s="20" t="s">
        <v>1174</v>
      </c>
      <c r="AX109" s="20">
        <v>62128510024</v>
      </c>
      <c r="AY109" s="20">
        <v>62035811024</v>
      </c>
      <c r="AZ109" s="20">
        <v>55187694024</v>
      </c>
      <c r="BA109" s="20" t="s">
        <v>1175</v>
      </c>
      <c r="BB109" s="20" t="s">
        <v>1176</v>
      </c>
      <c r="BC109" s="20" t="s">
        <v>1177</v>
      </c>
      <c r="BD109" s="20">
        <v>1</v>
      </c>
      <c r="BE109" s="20">
        <v>0</v>
      </c>
      <c r="BF109" s="20">
        <v>0</v>
      </c>
      <c r="BG109" s="20">
        <v>0</v>
      </c>
      <c r="BN109" s="20" t="s">
        <v>1178</v>
      </c>
      <c r="BV109" s="20">
        <v>0</v>
      </c>
      <c r="CL109" s="20">
        <v>0</v>
      </c>
      <c r="DD109" s="20" t="s">
        <v>1179</v>
      </c>
      <c r="DE109" s="20" t="s">
        <v>1179</v>
      </c>
      <c r="DI109" s="20">
        <v>0</v>
      </c>
      <c r="DP109" s="21" t="s">
        <v>1180</v>
      </c>
      <c r="DQ109" s="21" t="str">
        <f>PartsMaster!$A301</f>
        <v>NCA2907AE</v>
      </c>
      <c r="DR109" s="21" t="s">
        <v>1181</v>
      </c>
      <c r="DS109" s="21" t="str">
        <f>PartsMaster!$K302&amp;" "&amp;PartsMaster!L302&amp;" "&amp;PartsMaster!$M302</f>
        <v xml:space="preserve">  </v>
      </c>
    </row>
    <row r="110" spans="1:123" ht="30" x14ac:dyDescent="0.25">
      <c r="A110" s="20" t="s">
        <v>1166</v>
      </c>
      <c r="B110" s="20" t="s">
        <v>1167</v>
      </c>
      <c r="C110" s="20" t="s">
        <v>1168</v>
      </c>
      <c r="D110" s="21" t="str">
        <f>PartsMaster!B157&amp;" "&amp;PartsMaster!$C157</f>
        <v>Jaguar XJ8 XJR X308 Wheelarch Liner + Seal</v>
      </c>
      <c r="E110" s="20">
        <v>3000</v>
      </c>
      <c r="F110" s="20" t="s">
        <v>1182</v>
      </c>
      <c r="H110" s="21" t="str">
        <f>PartsMaster!$Q157</f>
        <v>Wheelarch Liner + Seal</v>
      </c>
      <c r="I110" s="20">
        <v>9886</v>
      </c>
      <c r="K110" s="20">
        <v>0</v>
      </c>
      <c r="L110" s="20">
        <v>0</v>
      </c>
      <c r="M110" s="21">
        <f>PartsMaster!$D157</f>
        <v>0</v>
      </c>
      <c r="O110" s="20" t="s">
        <v>1169</v>
      </c>
      <c r="P110" s="23">
        <f>PartsMaster!$S157/1.45</f>
        <v>44.827586206896555</v>
      </c>
      <c r="S110" s="20">
        <v>30</v>
      </c>
      <c r="T110" s="20">
        <v>0</v>
      </c>
      <c r="U110" s="20" t="s">
        <v>1170</v>
      </c>
      <c r="Z110" s="26" t="str">
        <f>"&lt;P&gt;"&amp;PartsMaster!$I157&amp;" "&amp;PartsMaster!$H157&amp;"&lt;/P&gt;"&amp;"&lt;P&gt;Jaguar part name "&amp;PartsMaster!$E157&amp;"&lt;/P&gt;&lt;P&gt;Product numbers "&amp;PartsMaster!R157&amp;" "&amp;DQ110&amp;"&lt;/P&gt;&lt;P&gt;Fits starting from VIN/ModelYear "&amp;PartsMaster!$F157&amp;" until VIN/ModelYear "&amp;PartsMaster!$G157&amp;"&lt;/P&gt;&lt;P&gt;Condition: "&amp;PartsMaster!AB157&amp;"&lt;/P&gt;&lt;P&gt; (part source "&amp;PartsMaster!AD157&amp;")&lt;/P&gt;&lt;P&gt;Notes: "&amp;PartsMaster!AA157&amp;"&lt;/P&gt;"</f>
        <v>&lt;P&gt;Trim Trim&lt;/P&gt;&lt;P&gt;Jaguar part name BODY METAL PANELS AND SEALING/FIXED BODY PANELS - Wheelarch liner + Seal / Right &lt;/P&gt;&lt;P&gt;Product numbers HNA4772AD + BCC2478 HNA4772AD + BCC2478&lt;/P&gt;&lt;P&gt;Fits starting from VIN/ModelYear 812317 until VIN/ModelYear F59525&lt;/P&gt;&lt;P&gt;Condition: Extra Spare Part&lt;/P&gt;&lt;P&gt; (part source SJ)&lt;/P&gt;&lt;P&gt;Notes: should fit also X300&lt;/P&gt;</v>
      </c>
      <c r="AA110" s="20" t="s">
        <v>1171</v>
      </c>
      <c r="AC110" s="20">
        <v>0</v>
      </c>
      <c r="AD110" s="20">
        <v>0</v>
      </c>
      <c r="AE110" s="20" t="s">
        <v>1172</v>
      </c>
      <c r="AF110" s="20">
        <v>7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O110" s="20" t="s">
        <v>1173</v>
      </c>
      <c r="AR110" s="20">
        <v>0</v>
      </c>
      <c r="AS110" s="20">
        <v>10112</v>
      </c>
      <c r="AV110" s="20" t="s">
        <v>1174</v>
      </c>
      <c r="AX110" s="20">
        <v>62128510024</v>
      </c>
      <c r="AY110" s="20">
        <v>62035811024</v>
      </c>
      <c r="AZ110" s="20">
        <v>55187694024</v>
      </c>
      <c r="BA110" s="20" t="s">
        <v>1175</v>
      </c>
      <c r="BB110" s="20" t="s">
        <v>1176</v>
      </c>
      <c r="BC110" s="20" t="s">
        <v>1177</v>
      </c>
      <c r="BD110" s="20">
        <v>1</v>
      </c>
      <c r="BE110" s="20">
        <v>0</v>
      </c>
      <c r="BF110" s="20">
        <v>0</v>
      </c>
      <c r="BG110" s="20">
        <v>0</v>
      </c>
      <c r="BN110" s="20" t="s">
        <v>1178</v>
      </c>
      <c r="BV110" s="20">
        <v>0</v>
      </c>
      <c r="CL110" s="20">
        <v>0</v>
      </c>
      <c r="DD110" s="20" t="s">
        <v>1179</v>
      </c>
      <c r="DE110" s="20" t="s">
        <v>1179</v>
      </c>
      <c r="DI110" s="20">
        <v>0</v>
      </c>
      <c r="DP110" s="21" t="s">
        <v>1180</v>
      </c>
      <c r="DQ110" s="21" t="str">
        <f>PartsMaster!$A157</f>
        <v>HNA4772AD + BCC2478</v>
      </c>
      <c r="DR110" s="21" t="s">
        <v>1181</v>
      </c>
      <c r="DS110" s="21" t="str">
        <f>PartsMaster!$K158&amp;" "&amp;PartsMaster!L158&amp;" "&amp;PartsMaster!$M158</f>
        <v xml:space="preserve"> Right </v>
      </c>
    </row>
    <row r="111" spans="1:123" x14ac:dyDescent="0.25">
      <c r="A111" s="20" t="s">
        <v>1166</v>
      </c>
      <c r="B111" s="20" t="s">
        <v>1167</v>
      </c>
      <c r="C111" s="20" t="s">
        <v>1168</v>
      </c>
      <c r="D111" s="21" t="str">
        <f>PartsMaster!B158&amp;" "&amp;PartsMaster!$C158</f>
        <v>Jaguar XK8 XKR X100 Airbag</v>
      </c>
      <c r="E111" s="20">
        <v>3000</v>
      </c>
      <c r="F111" s="20" t="s">
        <v>1182</v>
      </c>
      <c r="H111" s="21">
        <f>PartsMaster!$Q158</f>
        <v>0</v>
      </c>
      <c r="I111" s="20">
        <v>9886</v>
      </c>
      <c r="K111" s="20">
        <v>0</v>
      </c>
      <c r="L111" s="20">
        <v>0</v>
      </c>
      <c r="M111" s="21">
        <f>PartsMaster!$D158</f>
        <v>0</v>
      </c>
      <c r="O111" s="20" t="s">
        <v>1169</v>
      </c>
      <c r="P111" s="23">
        <f>PartsMaster!$S158/1.45</f>
        <v>0</v>
      </c>
      <c r="S111" s="20">
        <v>30</v>
      </c>
      <c r="T111" s="20">
        <v>0</v>
      </c>
      <c r="U111" s="20" t="s">
        <v>1170</v>
      </c>
      <c r="Z111" s="26" t="str">
        <f>"&lt;P&gt;"&amp;PartsMaster!$I158&amp;" "&amp;PartsMaster!$H158&amp;"&lt;/P&gt;"&amp;"&lt;P&gt;Jaguar part name "&amp;PartsMaster!$E158&amp;"&lt;/P&gt;&lt;P&gt;Product numbers "&amp;PartsMaster!R158&amp;" "&amp;DQ111&amp;"&lt;/P&gt;&lt;P&gt;Fits starting from VIN/ModelYear "&amp;PartsMaster!$F158&amp;" until VIN/ModelYear "&amp;PartsMaster!$G158&amp;"&lt;/P&gt;&lt;P&gt;Condition: "&amp;PartsMaster!AB158&amp;"&lt;/P&gt;&lt;P&gt; (part source "&amp;PartsMaster!AD158&amp;")&lt;/P&gt;&lt;P&gt;Notes: "&amp;PartsMaster!AA158&amp;"&lt;/P&gt;"</f>
        <v>&lt;P&gt; &lt;/P&gt;&lt;P&gt;Jaguar part name &lt;/P&gt;&lt;P&gt;Product numbers  HNA9670BA &lt;/P&gt;&lt;P&gt;Fits starting from VIN/ModelYear  until VIN/ModelYear &lt;/P&gt;&lt;P&gt;Condition: eBay&lt;/P&gt;&lt;P&gt; (part source )&lt;/P&gt;&lt;P&gt;Notes: &lt;/P&gt;</v>
      </c>
      <c r="AA111" s="20" t="s">
        <v>1171</v>
      </c>
      <c r="AC111" s="20">
        <v>0</v>
      </c>
      <c r="AD111" s="20">
        <v>0</v>
      </c>
      <c r="AE111" s="20" t="s">
        <v>1172</v>
      </c>
      <c r="AF111" s="20">
        <v>7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O111" s="20" t="s">
        <v>1173</v>
      </c>
      <c r="AR111" s="20">
        <v>0</v>
      </c>
      <c r="AS111" s="20">
        <v>10112</v>
      </c>
      <c r="AV111" s="20" t="s">
        <v>1174</v>
      </c>
      <c r="AX111" s="20">
        <v>62128510024</v>
      </c>
      <c r="AY111" s="20">
        <v>62035811024</v>
      </c>
      <c r="AZ111" s="20">
        <v>55187694024</v>
      </c>
      <c r="BA111" s="20" t="s">
        <v>1175</v>
      </c>
      <c r="BB111" s="20" t="s">
        <v>1176</v>
      </c>
      <c r="BC111" s="20" t="s">
        <v>1177</v>
      </c>
      <c r="BD111" s="20">
        <v>1</v>
      </c>
      <c r="BE111" s="20">
        <v>0</v>
      </c>
      <c r="BF111" s="20">
        <v>0</v>
      </c>
      <c r="BG111" s="20">
        <v>0</v>
      </c>
      <c r="BN111" s="20" t="s">
        <v>1178</v>
      </c>
      <c r="BV111" s="20">
        <v>0</v>
      </c>
      <c r="CL111" s="20">
        <v>0</v>
      </c>
      <c r="DD111" s="20" t="s">
        <v>1179</v>
      </c>
      <c r="DE111" s="20" t="s">
        <v>1179</v>
      </c>
      <c r="DI111" s="20">
        <v>0</v>
      </c>
      <c r="DP111" s="21" t="s">
        <v>1180</v>
      </c>
      <c r="DQ111" s="21" t="str">
        <f>PartsMaster!$A158</f>
        <v xml:space="preserve">HNA9670BA </v>
      </c>
      <c r="DR111" s="21" t="s">
        <v>1181</v>
      </c>
      <c r="DS111" s="21" t="str">
        <f>PartsMaster!$K159&amp;" "&amp;PartsMaster!L159&amp;" "&amp;PartsMaster!$M159</f>
        <v>Front Left/Right Top</v>
      </c>
    </row>
    <row r="112" spans="1:123" ht="30" hidden="1" x14ac:dyDescent="0.25">
      <c r="A112" s="20" t="s">
        <v>1166</v>
      </c>
      <c r="B112" s="20" t="s">
        <v>1167</v>
      </c>
      <c r="C112" s="20" t="s">
        <v>1168</v>
      </c>
      <c r="D112" s="21" t="str">
        <f>PartsMaster!B83&amp;" "&amp;PartsMaster!$C83</f>
        <v>Jaguar XK8 XKR X100 Seat  - Mechanism cover</v>
      </c>
      <c r="E112" s="20">
        <v>3000</v>
      </c>
      <c r="F112" s="20" t="s">
        <v>1182</v>
      </c>
      <c r="H112" s="21">
        <f>PartsMaster!$Q83</f>
        <v>0</v>
      </c>
      <c r="I112" s="20">
        <v>9886</v>
      </c>
      <c r="K112" s="20">
        <v>0</v>
      </c>
      <c r="L112" s="20">
        <v>0</v>
      </c>
      <c r="M112" s="21">
        <f>PartsMaster!$D83</f>
        <v>0</v>
      </c>
      <c r="O112" s="20" t="s">
        <v>1169</v>
      </c>
      <c r="P112" s="23">
        <f>PartsMaster!$S83/1.45</f>
        <v>0</v>
      </c>
      <c r="S112" s="20">
        <v>30</v>
      </c>
      <c r="T112" s="20">
        <v>0</v>
      </c>
      <c r="U112" s="20" t="s">
        <v>1170</v>
      </c>
      <c r="Z112" s="26" t="str">
        <f>"&lt;P&gt;"&amp;PartsMaster!$I83&amp;" "&amp;PartsMaster!$H83&amp;"&lt;/P&gt;"&amp;"&lt;P&gt;Jaguar part name "&amp;PartsMaster!$E83&amp;"&lt;/P&gt;&lt;P&gt;Product numbers "&amp;PartsMaster!R83&amp;" "&amp;DQ112&amp;"&lt;/P&gt;&lt;P&gt;Fits starting from VIN/ModelYear "&amp;PartsMaster!$F83&amp;" until VIN/ModelYear "&amp;PartsMaster!$G83&amp;"&lt;/P&gt;&lt;P&gt;Condition: "&amp;PartsMaster!AB83&amp;"&lt;/P&gt;&lt;P&gt; (part source "&amp;PartsMaster!AD83&amp;")&lt;/P&gt;&lt;P&gt;Notes: "&amp;PartsMaster!AA83&amp;"&lt;/P&gt;"</f>
        <v>&lt;P&gt;Cap / Cover Cap / Cover / Trim&lt;/P&gt;&lt;P&gt;Jaguar part name SEATING/FRONT SEATS, TRIM AND FITTINGS  - Mechanism cover
SEAT HINGE COVER &lt;/P&gt;&lt;P&gt;Product numbers  GJA4731AA/AGD
GJA4731AAAGD &lt;/P&gt;&lt;P&gt;Fits starting from VIN/ModelYear 0 until VIN/ModelYear 18107&lt;/P&gt;&lt;P&gt;Condition: &lt;/P&gt;&lt;P&gt; (part source )&lt;/P&gt;&lt;P&gt;Notes: &lt;/P&gt;</v>
      </c>
      <c r="AA112" s="20" t="s">
        <v>1171</v>
      </c>
      <c r="AC112" s="20">
        <v>0</v>
      </c>
      <c r="AD112" s="20">
        <v>0</v>
      </c>
      <c r="AE112" s="20" t="s">
        <v>1172</v>
      </c>
      <c r="AF112" s="20">
        <v>7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O112" s="20" t="s">
        <v>1173</v>
      </c>
      <c r="AR112" s="20">
        <v>0</v>
      </c>
      <c r="AS112" s="20">
        <v>10112</v>
      </c>
      <c r="AV112" s="20" t="s">
        <v>1174</v>
      </c>
      <c r="AX112" s="20">
        <v>62128510024</v>
      </c>
      <c r="AY112" s="20">
        <v>62035811024</v>
      </c>
      <c r="AZ112" s="20">
        <v>55187694024</v>
      </c>
      <c r="BA112" s="20" t="s">
        <v>1175</v>
      </c>
      <c r="BB112" s="20" t="s">
        <v>1176</v>
      </c>
      <c r="BC112" s="20" t="s">
        <v>1177</v>
      </c>
      <c r="BD112" s="20">
        <v>1</v>
      </c>
      <c r="BE112" s="20">
        <v>0</v>
      </c>
      <c r="BF112" s="20">
        <v>0</v>
      </c>
      <c r="BG112" s="20">
        <v>0</v>
      </c>
      <c r="BN112" s="20" t="s">
        <v>1178</v>
      </c>
      <c r="BV112" s="20">
        <v>0</v>
      </c>
      <c r="CL112" s="20">
        <v>0</v>
      </c>
      <c r="DD112" s="20" t="s">
        <v>1179</v>
      </c>
      <c r="DE112" s="20" t="s">
        <v>1179</v>
      </c>
      <c r="DI112" s="20">
        <v>0</v>
      </c>
      <c r="DP112" s="21" t="s">
        <v>1180</v>
      </c>
      <c r="DQ112" s="21" t="str">
        <f>PartsMaster!$A83</f>
        <v xml:space="preserve">GJA4731AA/AGD
GJA4731AAAGD </v>
      </c>
      <c r="DR112" s="21" t="s">
        <v>1181</v>
      </c>
      <c r="DS112" s="21" t="str">
        <f>PartsMaster!$K84&amp;" "&amp;PartsMaster!L84&amp;" "&amp;PartsMaster!$M84</f>
        <v xml:space="preserve">  </v>
      </c>
    </row>
    <row r="113" spans="1:123" hidden="1" x14ac:dyDescent="0.25">
      <c r="A113" s="20" t="s">
        <v>1166</v>
      </c>
      <c r="B113" s="20" t="s">
        <v>1167</v>
      </c>
      <c r="C113" s="20" t="s">
        <v>1168</v>
      </c>
      <c r="D113" s="21" t="str">
        <f>PartsMaster!B385&amp;" "&amp;PartsMaster!$C385</f>
        <v>Jaguar XK8 XKR X100 Seat  - Mechanism cover - Ivory</v>
      </c>
      <c r="E113" s="20">
        <v>3000</v>
      </c>
      <c r="F113" s="20" t="s">
        <v>1182</v>
      </c>
      <c r="H113" s="21">
        <f>PartsMaster!$Q385</f>
        <v>0</v>
      </c>
      <c r="I113" s="20">
        <v>9886</v>
      </c>
      <c r="K113" s="20">
        <v>0</v>
      </c>
      <c r="L113" s="20">
        <v>0</v>
      </c>
      <c r="M113" s="21">
        <f>PartsMaster!$D385</f>
        <v>0</v>
      </c>
      <c r="O113" s="20" t="s">
        <v>1169</v>
      </c>
      <c r="P113" s="23">
        <f>PartsMaster!$S385/1.45</f>
        <v>0</v>
      </c>
      <c r="S113" s="20">
        <v>30</v>
      </c>
      <c r="T113" s="20">
        <v>0</v>
      </c>
      <c r="U113" s="20" t="s">
        <v>1170</v>
      </c>
      <c r="Z113" s="26" t="str">
        <f>"&lt;P&gt;"&amp;PartsMaster!$I385&amp;" "&amp;PartsMaster!$H385&amp;"&lt;/P&gt;"&amp;"&lt;P&gt;Jaguar part name "&amp;PartsMaster!$E385&amp;"&lt;/P&gt;&lt;P&gt;Product numbers "&amp;PartsMaster!R385&amp;" "&amp;DQ113&amp;"&lt;/P&gt;&lt;P&gt;Fits starting from VIN/ModelYear "&amp;PartsMaster!$F385&amp;" until VIN/ModelYear "&amp;PartsMaster!$G385&amp;"&lt;/P&gt;&lt;P&gt;Condition: "&amp;PartsMaster!AB385&amp;"&lt;/P&gt;&lt;P&gt; (part source "&amp;PartsMaster!AD385&amp;")&lt;/P&gt;&lt;P&gt;Notes: "&amp;PartsMaster!AA385&amp;"&lt;/P&gt;"</f>
        <v>&lt;P&gt;Cap / Cover Cap / Cover / Trim&lt;/P&gt;&lt;P&gt;Jaguar part name &lt;/P&gt;&lt;P&gt;Product numbers  0&lt;/P&gt;&lt;P&gt;Fits starting from VIN/ModelYear 0 until VIN/ModelYear 18107&lt;/P&gt;&lt;P&gt;Condition: &lt;/P&gt;&lt;P&gt; (part source )&lt;/P&gt;&lt;P&gt;Notes: &lt;/P&gt;</v>
      </c>
      <c r="AA113" s="20" t="s">
        <v>1171</v>
      </c>
      <c r="AC113" s="20">
        <v>0</v>
      </c>
      <c r="AD113" s="20">
        <v>0</v>
      </c>
      <c r="AE113" s="20" t="s">
        <v>1172</v>
      </c>
      <c r="AF113" s="20">
        <v>7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O113" s="20" t="s">
        <v>1173</v>
      </c>
      <c r="AR113" s="20">
        <v>0</v>
      </c>
      <c r="AS113" s="20">
        <v>10112</v>
      </c>
      <c r="AV113" s="20" t="s">
        <v>1174</v>
      </c>
      <c r="AX113" s="20">
        <v>62128510024</v>
      </c>
      <c r="AY113" s="20">
        <v>62035811024</v>
      </c>
      <c r="AZ113" s="20">
        <v>55187694024</v>
      </c>
      <c r="BA113" s="20" t="s">
        <v>1175</v>
      </c>
      <c r="BB113" s="20" t="s">
        <v>1176</v>
      </c>
      <c r="BC113" s="20" t="s">
        <v>1177</v>
      </c>
      <c r="BD113" s="20">
        <v>1</v>
      </c>
      <c r="BE113" s="20">
        <v>0</v>
      </c>
      <c r="BF113" s="20">
        <v>0</v>
      </c>
      <c r="BG113" s="20">
        <v>0</v>
      </c>
      <c r="BN113" s="20" t="s">
        <v>1178</v>
      </c>
      <c r="BV113" s="20">
        <v>0</v>
      </c>
      <c r="CL113" s="20">
        <v>0</v>
      </c>
      <c r="DD113" s="20" t="s">
        <v>1179</v>
      </c>
      <c r="DE113" s="20" t="s">
        <v>1179</v>
      </c>
      <c r="DI113" s="20">
        <v>0</v>
      </c>
      <c r="DP113" s="21" t="s">
        <v>1180</v>
      </c>
      <c r="DQ113" s="21">
        <f>PartsMaster!$A385</f>
        <v>0</v>
      </c>
      <c r="DR113" s="21" t="s">
        <v>1181</v>
      </c>
      <c r="DS113" s="21" t="str">
        <f>PartsMaster!$K386&amp;" "&amp;PartsMaster!L386&amp;" "&amp;PartsMaster!$M386</f>
        <v>Front Left Low</v>
      </c>
    </row>
    <row r="114" spans="1:123" ht="30" x14ac:dyDescent="0.25">
      <c r="A114" s="20" t="s">
        <v>1166</v>
      </c>
      <c r="B114" s="20" t="s">
        <v>1167</v>
      </c>
      <c r="C114" s="20" t="s">
        <v>1168</v>
      </c>
      <c r="D114" s="21" t="str">
        <f>PartsMaster!B192&amp;" "&amp;PartsMaster!$C192</f>
        <v>Jaguar XK8 XKR X100 Wheel Bearing - Inner</v>
      </c>
      <c r="E114" s="20">
        <v>3000</v>
      </c>
      <c r="F114" s="20" t="s">
        <v>1182</v>
      </c>
      <c r="H114" s="21">
        <f>PartsMaster!$Q192</f>
        <v>0</v>
      </c>
      <c r="I114" s="20">
        <v>9886</v>
      </c>
      <c r="K114" s="20">
        <v>0</v>
      </c>
      <c r="L114" s="20">
        <v>0</v>
      </c>
      <c r="M114" s="21">
        <f>PartsMaster!$D192</f>
        <v>0</v>
      </c>
      <c r="O114" s="20" t="s">
        <v>1169</v>
      </c>
      <c r="P114" s="23">
        <f>PartsMaster!$S192/1.45</f>
        <v>0</v>
      </c>
      <c r="S114" s="20">
        <v>30</v>
      </c>
      <c r="T114" s="20">
        <v>0</v>
      </c>
      <c r="U114" s="20" t="s">
        <v>1170</v>
      </c>
      <c r="Z114" s="26" t="str">
        <f>"&lt;P&gt;"&amp;PartsMaster!$I192&amp;" "&amp;PartsMaster!$H192&amp;"&lt;/P&gt;"&amp;"&lt;P&gt;Jaguar part name "&amp;PartsMaster!$E192&amp;"&lt;/P&gt;&lt;P&gt;Product numbers "&amp;PartsMaster!R192&amp;" "&amp;DQ114&amp;"&lt;/P&gt;&lt;P&gt;Fits starting from VIN/ModelYear "&amp;PartsMaster!$F192&amp;" until VIN/ModelYear "&amp;PartsMaster!$G192&amp;"&lt;/P&gt;&lt;P&gt;Condition: "&amp;PartsMaster!AB192&amp;"&lt;/P&gt;&lt;P&gt; (part source "&amp;PartsMaster!AD192&amp;")&lt;/P&gt;&lt;P&gt;Notes: "&amp;PartsMaster!AA192&amp;"&lt;/P&gt;"</f>
        <v>&lt;P&gt;Bearing Bearing&lt;/P&gt;&lt;P&gt;Jaguar part name STEERING AND SUSPENSION/HUB AND CARRIER-REAR - Hub bearing inner&lt;/P&gt;&lt;P&gt;Product numbers JLM21053 JLM21053&lt;/P&gt;&lt;P&gt;Fits starting from VIN/ModelYear 031303 until VIN/ModelYear 042775&lt;/P&gt;&lt;P&gt;Condition: &lt;/P&gt;&lt;P&gt; (part source )&lt;/P&gt;&lt;P&gt;Notes: &lt;/P&gt;</v>
      </c>
      <c r="AA114" s="20" t="s">
        <v>1171</v>
      </c>
      <c r="AC114" s="20">
        <v>0</v>
      </c>
      <c r="AD114" s="20">
        <v>0</v>
      </c>
      <c r="AE114" s="20" t="s">
        <v>1172</v>
      </c>
      <c r="AF114" s="20">
        <v>7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O114" s="20" t="s">
        <v>1173</v>
      </c>
      <c r="AR114" s="20">
        <v>0</v>
      </c>
      <c r="AS114" s="20">
        <v>10112</v>
      </c>
      <c r="AV114" s="20" t="s">
        <v>1174</v>
      </c>
      <c r="AX114" s="20">
        <v>62128510024</v>
      </c>
      <c r="AY114" s="20">
        <v>62035811024</v>
      </c>
      <c r="AZ114" s="20">
        <v>55187694024</v>
      </c>
      <c r="BA114" s="20" t="s">
        <v>1175</v>
      </c>
      <c r="BB114" s="20" t="s">
        <v>1176</v>
      </c>
      <c r="BC114" s="20" t="s">
        <v>1177</v>
      </c>
      <c r="BD114" s="20">
        <v>1</v>
      </c>
      <c r="BE114" s="20">
        <v>0</v>
      </c>
      <c r="BF114" s="20">
        <v>0</v>
      </c>
      <c r="BG114" s="20">
        <v>0</v>
      </c>
      <c r="BN114" s="20" t="s">
        <v>1178</v>
      </c>
      <c r="BV114" s="20">
        <v>0</v>
      </c>
      <c r="CL114" s="20">
        <v>0</v>
      </c>
      <c r="DD114" s="20" t="s">
        <v>1179</v>
      </c>
      <c r="DE114" s="20" t="s">
        <v>1179</v>
      </c>
      <c r="DI114" s="20">
        <v>0</v>
      </c>
      <c r="DP114" s="21" t="s">
        <v>1180</v>
      </c>
      <c r="DQ114" s="21" t="str">
        <f>PartsMaster!$A192</f>
        <v>JLM21053</v>
      </c>
      <c r="DR114" s="21" t="s">
        <v>1181</v>
      </c>
      <c r="DS114" s="21" t="str">
        <f>PartsMaster!$K193&amp;" "&amp;PartsMaster!L193&amp;" "&amp;PartsMaster!$M193</f>
        <v xml:space="preserve">  </v>
      </c>
    </row>
    <row r="115" spans="1:123" ht="60" hidden="1" x14ac:dyDescent="0.25">
      <c r="A115" s="20" t="s">
        <v>1166</v>
      </c>
      <c r="B115" s="20" t="s">
        <v>1167</v>
      </c>
      <c r="C115" s="20" t="s">
        <v>1168</v>
      </c>
      <c r="D115" s="21" t="str">
        <f>PartsMaster!B110&amp;" "&amp;PartsMaster!$C110</f>
        <v>Jaguar XK8 XKR X100 Wheelarch Liner Service hole cover Panel</v>
      </c>
      <c r="E115" s="20">
        <v>3000</v>
      </c>
      <c r="F115" s="20" t="s">
        <v>1182</v>
      </c>
      <c r="H115" s="21" t="str">
        <f>PartsMaster!$Q110</f>
        <v>PANEL-H/LMP</v>
      </c>
      <c r="I115" s="20">
        <v>9886</v>
      </c>
      <c r="K115" s="20">
        <v>0</v>
      </c>
      <c r="L115" s="20">
        <v>0</v>
      </c>
      <c r="M115" s="21">
        <f>PartsMaster!$D110</f>
        <v>0</v>
      </c>
      <c r="O115" s="20" t="s">
        <v>1169</v>
      </c>
      <c r="P115" s="23">
        <f>PartsMaster!$S110/1.45</f>
        <v>0</v>
      </c>
      <c r="S115" s="20">
        <v>30</v>
      </c>
      <c r="T115" s="20">
        <v>0</v>
      </c>
      <c r="U115" s="20" t="s">
        <v>1170</v>
      </c>
      <c r="Z115" s="26" t="str">
        <f>"&lt;P&gt;"&amp;PartsMaster!$I110&amp;" "&amp;PartsMaster!$H110&amp;"&lt;/P&gt;"&amp;"&lt;P&gt;Jaguar part name "&amp;PartsMaster!$E110&amp;"&lt;/P&gt;&lt;P&gt;Product numbers "&amp;PartsMaster!R110&amp;" "&amp;DQ115&amp;"&lt;/P&gt;&lt;P&gt;Fits starting from VIN/ModelYear "&amp;PartsMaster!$F110&amp;" until VIN/ModelYear "&amp;PartsMaster!$G110&amp;"&lt;/P&gt;&lt;P&gt;Condition: "&amp;PartsMaster!AB110&amp;"&lt;/P&gt;&lt;P&gt; (part source "&amp;PartsMaster!AD110&amp;")&lt;/P&gt;&lt;P&gt;Notes: "&amp;PartsMaster!AA110&amp;"&lt;/P&gt;"</f>
        <v>&lt;P&gt;Cap / Cover Cap / Cover / Trim&lt;/P&gt;&lt;P&gt;Jaguar part name Panel,Bulb Access &lt;/P&gt;&lt;P&gt;Product numbers HJA4583AD HJA4583AD&lt;/P&gt;&lt;P&gt;Fits starting from VIN/ModelYear  until VIN/ModelYear &lt;/P&gt;&lt;P&gt;Condition: SNG Barratt&lt;/P&gt;&lt;P&gt; (part source )&lt;/P&gt;&lt;P&gt;Notes: &lt;/P&gt;</v>
      </c>
      <c r="AA115" s="20" t="s">
        <v>1171</v>
      </c>
      <c r="AC115" s="20">
        <v>0</v>
      </c>
      <c r="AD115" s="20">
        <v>0</v>
      </c>
      <c r="AE115" s="20" t="s">
        <v>1172</v>
      </c>
      <c r="AF115" s="20">
        <v>7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O115" s="20" t="s">
        <v>1173</v>
      </c>
      <c r="AR115" s="20">
        <v>0</v>
      </c>
      <c r="AS115" s="20">
        <v>10112</v>
      </c>
      <c r="AV115" s="20" t="s">
        <v>1174</v>
      </c>
      <c r="AX115" s="20">
        <v>62128510024</v>
      </c>
      <c r="AY115" s="20">
        <v>62035811024</v>
      </c>
      <c r="AZ115" s="20">
        <v>55187694024</v>
      </c>
      <c r="BA115" s="20" t="s">
        <v>1175</v>
      </c>
      <c r="BB115" s="20" t="s">
        <v>1176</v>
      </c>
      <c r="BC115" s="20" t="s">
        <v>1177</v>
      </c>
      <c r="BD115" s="20">
        <v>1</v>
      </c>
      <c r="BE115" s="20">
        <v>0</v>
      </c>
      <c r="BF115" s="20">
        <v>0</v>
      </c>
      <c r="BG115" s="20">
        <v>0</v>
      </c>
      <c r="BN115" s="20" t="s">
        <v>1178</v>
      </c>
      <c r="BV115" s="20">
        <v>0</v>
      </c>
      <c r="CL115" s="20">
        <v>0</v>
      </c>
      <c r="DD115" s="20" t="s">
        <v>1179</v>
      </c>
      <c r="DE115" s="20" t="s">
        <v>1179</v>
      </c>
      <c r="DI115" s="20">
        <v>0</v>
      </c>
      <c r="DP115" s="21" t="s">
        <v>1180</v>
      </c>
      <c r="DQ115" s="21" t="str">
        <f>PartsMaster!$A110</f>
        <v>HJA4583AD</v>
      </c>
      <c r="DR115" s="21" t="s">
        <v>1181</v>
      </c>
      <c r="DS115" s="21" t="str">
        <f>PartsMaster!$K111&amp;" "&amp;PartsMaster!L111&amp;" "&amp;PartsMaster!$M111</f>
        <v>Rear Left /right Top</v>
      </c>
    </row>
    <row r="116" spans="1:123" ht="30" hidden="1" x14ac:dyDescent="0.25">
      <c r="A116" s="20" t="s">
        <v>1166</v>
      </c>
      <c r="B116" s="20" t="s">
        <v>1167</v>
      </c>
      <c r="C116" s="20" t="s">
        <v>1168</v>
      </c>
      <c r="D116" s="21" t="str">
        <f>PartsMaster!B111&amp;" "&amp;PartsMaster!$C111</f>
        <v>Jaguar XK8 XKR X100 Bonnet Seal / Insulation</v>
      </c>
      <c r="E116" s="20">
        <v>3000</v>
      </c>
      <c r="F116" s="20" t="s">
        <v>1182</v>
      </c>
      <c r="H116" s="21">
        <f>PartsMaster!$Q111</f>
        <v>0</v>
      </c>
      <c r="I116" s="20">
        <v>9886</v>
      </c>
      <c r="K116" s="20">
        <v>0</v>
      </c>
      <c r="L116" s="20">
        <v>0</v>
      </c>
      <c r="M116" s="21">
        <f>PartsMaster!$D111</f>
        <v>0</v>
      </c>
      <c r="O116" s="20" t="s">
        <v>1169</v>
      </c>
      <c r="P116" s="23">
        <f>PartsMaster!$S111/1.45</f>
        <v>0</v>
      </c>
      <c r="S116" s="20">
        <v>30</v>
      </c>
      <c r="T116" s="20">
        <v>0</v>
      </c>
      <c r="U116" s="20" t="s">
        <v>1170</v>
      </c>
      <c r="Z116" s="26" t="str">
        <f>"&lt;P&gt;"&amp;PartsMaster!$I111&amp;" "&amp;PartsMaster!$H111&amp;"&lt;/P&gt;"&amp;"&lt;P&gt;Jaguar part name "&amp;PartsMaster!$E111&amp;"&lt;/P&gt;&lt;P&gt;Product numbers "&amp;PartsMaster!R111&amp;" "&amp;DQ116&amp;"&lt;/P&gt;&lt;P&gt;Fits starting from VIN/ModelYear "&amp;PartsMaster!$F111&amp;" until VIN/ModelYear "&amp;PartsMaster!$G111&amp;"&lt;/P&gt;&lt;P&gt;Condition: "&amp;PartsMaster!AB111&amp;"&lt;/P&gt;&lt;P&gt; (part source "&amp;PartsMaster!AD111&amp;")&lt;/P&gt;&lt;P&gt;Notes: "&amp;PartsMaster!AA111&amp;"&lt;/P&gt;"</f>
        <v>&lt;P&gt;Air Insulation Seal / Insulation&lt;/P&gt;&lt;P&gt;Jaguar part name &lt;/P&gt;&lt;P&gt;Product numbers HJA5244AD   HJA5244AD  &lt;/P&gt;&lt;P&gt;Fits starting from VIN/ModelYear  until VIN/ModelYear 042775&lt;/P&gt;&lt;P&gt;Condition: &lt;/P&gt;&lt;P&gt; (part source )&lt;/P&gt;&lt;P&gt;Notes: &lt;/P&gt;</v>
      </c>
      <c r="AA116" s="20" t="s">
        <v>1171</v>
      </c>
      <c r="AC116" s="20">
        <v>0</v>
      </c>
      <c r="AD116" s="20">
        <v>0</v>
      </c>
      <c r="AE116" s="20" t="s">
        <v>1172</v>
      </c>
      <c r="AF116" s="20">
        <v>7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O116" s="20" t="s">
        <v>1173</v>
      </c>
      <c r="AR116" s="20">
        <v>0</v>
      </c>
      <c r="AS116" s="20">
        <v>10112</v>
      </c>
      <c r="AV116" s="20" t="s">
        <v>1174</v>
      </c>
      <c r="AX116" s="20">
        <v>62128510024</v>
      </c>
      <c r="AY116" s="20">
        <v>62035811024</v>
      </c>
      <c r="AZ116" s="20">
        <v>55187694024</v>
      </c>
      <c r="BA116" s="20" t="s">
        <v>1175</v>
      </c>
      <c r="BB116" s="20" t="s">
        <v>1176</v>
      </c>
      <c r="BC116" s="20" t="s">
        <v>1177</v>
      </c>
      <c r="BD116" s="20">
        <v>1</v>
      </c>
      <c r="BE116" s="20">
        <v>0</v>
      </c>
      <c r="BF116" s="20">
        <v>0</v>
      </c>
      <c r="BG116" s="20">
        <v>0</v>
      </c>
      <c r="BN116" s="20" t="s">
        <v>1178</v>
      </c>
      <c r="BV116" s="20">
        <v>0</v>
      </c>
      <c r="CL116" s="20">
        <v>0</v>
      </c>
      <c r="DD116" s="20" t="s">
        <v>1179</v>
      </c>
      <c r="DE116" s="20" t="s">
        <v>1179</v>
      </c>
      <c r="DI116" s="20">
        <v>0</v>
      </c>
      <c r="DP116" s="21" t="s">
        <v>1180</v>
      </c>
      <c r="DQ116" s="21" t="str">
        <f>PartsMaster!$A111</f>
        <v xml:space="preserve">HJA5244AD  </v>
      </c>
      <c r="DR116" s="21" t="s">
        <v>1181</v>
      </c>
      <c r="DS116" s="21" t="str">
        <f>PartsMaster!$K112&amp;" "&amp;PartsMaster!L112&amp;" "&amp;PartsMaster!$M112</f>
        <v>Rear Left /right Top</v>
      </c>
    </row>
    <row r="117" spans="1:123" ht="30" hidden="1" x14ac:dyDescent="0.25">
      <c r="A117" s="20" t="s">
        <v>1166</v>
      </c>
      <c r="B117" s="20" t="s">
        <v>1167</v>
      </c>
      <c r="C117" s="20" t="s">
        <v>1168</v>
      </c>
      <c r="D117" s="21" t="str">
        <f>PartsMaster!B118&amp;" "&amp;PartsMaster!$C118</f>
        <v>Jaguar XK8 XKR X100 Door seal - LH</v>
      </c>
      <c r="E117" s="20">
        <v>3000</v>
      </c>
      <c r="F117" s="20" t="s">
        <v>1182</v>
      </c>
      <c r="H117" s="21" t="str">
        <f>PartsMaster!$Q118</f>
        <v>Door seal - LH</v>
      </c>
      <c r="I117" s="20">
        <v>9886</v>
      </c>
      <c r="K117" s="20">
        <v>0</v>
      </c>
      <c r="L117" s="20">
        <v>0</v>
      </c>
      <c r="M117" s="21">
        <f>PartsMaster!$D118</f>
        <v>1</v>
      </c>
      <c r="O117" s="20" t="s">
        <v>1169</v>
      </c>
      <c r="P117" s="23">
        <f>PartsMaster!$S118/1.45</f>
        <v>55.172413793103452</v>
      </c>
      <c r="S117" s="20">
        <v>30</v>
      </c>
      <c r="T117" s="20">
        <v>0</v>
      </c>
      <c r="U117" s="20" t="s">
        <v>1170</v>
      </c>
      <c r="Z117" s="26" t="str">
        <f>"&lt;P&gt;"&amp;PartsMaster!$I118&amp;" "&amp;PartsMaster!$H118&amp;"&lt;/P&gt;"&amp;"&lt;P&gt;Jaguar part name "&amp;PartsMaster!$E118&amp;"&lt;/P&gt;&lt;P&gt;Product numbers "&amp;PartsMaster!R118&amp;" "&amp;DQ117&amp;"&lt;/P&gt;&lt;P&gt;Fits starting from VIN/ModelYear "&amp;PartsMaster!$F118&amp;" until VIN/ModelYear "&amp;PartsMaster!$G118&amp;"&lt;/P&gt;&lt;P&gt;Condition: "&amp;PartsMaster!AB118&amp;"&lt;/P&gt;&lt;P&gt; (part source "&amp;PartsMaster!AD118&amp;")&lt;/P&gt;&lt;P&gt;Notes: "&amp;PartsMaster!AA118&amp;"&lt;/P&gt;"</f>
        <v>&lt;P&gt;Seal Seal / Insulation&lt;/P&gt;&lt;P&gt;Jaguar part name BODY CLOSURES AND SEALING/DOOR SEALS - Door seal - Convertible - LH&lt;/P&gt;&lt;P&gt;Product numbers HJA5363BA HJA5363BC HJA5363BA&lt;/P&gt;&lt;P&gt;Fits starting from VIN/ModelYear  until VIN/ModelYear &lt;/P&gt;&lt;P&gt;Condition: Dismantled from bottom &amp; engine damaged MY1997 XK8 Convertible VIN 0136xx&lt;/P&gt;&lt;P&gt; (part source KK)&lt;/P&gt;&lt;P&gt;Notes: Convertable&lt;/P&gt;</v>
      </c>
      <c r="AA117" s="20" t="s">
        <v>1171</v>
      </c>
      <c r="AC117" s="20">
        <v>0</v>
      </c>
      <c r="AD117" s="20">
        <v>0</v>
      </c>
      <c r="AE117" s="20" t="s">
        <v>1172</v>
      </c>
      <c r="AF117" s="20">
        <v>7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O117" s="20" t="s">
        <v>1173</v>
      </c>
      <c r="AR117" s="20">
        <v>0</v>
      </c>
      <c r="AS117" s="20">
        <v>10112</v>
      </c>
      <c r="AV117" s="20" t="s">
        <v>1174</v>
      </c>
      <c r="AX117" s="20">
        <v>62128510024</v>
      </c>
      <c r="AY117" s="20">
        <v>62035811024</v>
      </c>
      <c r="AZ117" s="20">
        <v>55187694024</v>
      </c>
      <c r="BA117" s="20" t="s">
        <v>1175</v>
      </c>
      <c r="BB117" s="20" t="s">
        <v>1176</v>
      </c>
      <c r="BC117" s="20" t="s">
        <v>1177</v>
      </c>
      <c r="BD117" s="20">
        <v>1</v>
      </c>
      <c r="BE117" s="20">
        <v>0</v>
      </c>
      <c r="BF117" s="20">
        <v>0</v>
      </c>
      <c r="BG117" s="20">
        <v>0</v>
      </c>
      <c r="BN117" s="20" t="s">
        <v>1178</v>
      </c>
      <c r="BV117" s="20">
        <v>0</v>
      </c>
      <c r="CL117" s="20">
        <v>0</v>
      </c>
      <c r="DD117" s="20" t="s">
        <v>1179</v>
      </c>
      <c r="DE117" s="20" t="s">
        <v>1179</v>
      </c>
      <c r="DI117" s="20">
        <v>0</v>
      </c>
      <c r="DP117" s="21" t="s">
        <v>1180</v>
      </c>
      <c r="DQ117" s="21" t="str">
        <f>PartsMaster!$A118</f>
        <v>HJA5363BA</v>
      </c>
      <c r="DR117" s="21" t="s">
        <v>1181</v>
      </c>
      <c r="DS117" s="21" t="str">
        <f>PartsMaster!$K119&amp;" "&amp;PartsMaster!L119&amp;" "&amp;PartsMaster!$M119</f>
        <v xml:space="preserve">Rear Right </v>
      </c>
    </row>
    <row r="118" spans="1:123" hidden="1" x14ac:dyDescent="0.25">
      <c r="A118" s="20" t="s">
        <v>1166</v>
      </c>
      <c r="B118" s="20" t="s">
        <v>1167</v>
      </c>
      <c r="C118" s="20" t="s">
        <v>1168</v>
      </c>
      <c r="D118" s="21" t="str">
        <f>PartsMaster!B381&amp;" "&amp;PartsMaster!$C381</f>
        <v>Jaguar XK8 XKR X100 Seat  - Mechanism cover - Cream</v>
      </c>
      <c r="E118" s="20">
        <v>3000</v>
      </c>
      <c r="F118" s="20" t="s">
        <v>1182</v>
      </c>
      <c r="H118" s="21">
        <f>PartsMaster!$Q381</f>
        <v>0</v>
      </c>
      <c r="I118" s="20">
        <v>9886</v>
      </c>
      <c r="K118" s="20">
        <v>0</v>
      </c>
      <c r="L118" s="20">
        <v>0</v>
      </c>
      <c r="M118" s="21">
        <f>PartsMaster!$D381</f>
        <v>0</v>
      </c>
      <c r="O118" s="20" t="s">
        <v>1169</v>
      </c>
      <c r="P118" s="23">
        <f>PartsMaster!$S381/1.45</f>
        <v>0</v>
      </c>
      <c r="S118" s="20">
        <v>30</v>
      </c>
      <c r="T118" s="20">
        <v>0</v>
      </c>
      <c r="U118" s="20" t="s">
        <v>1170</v>
      </c>
      <c r="Z118" s="26" t="str">
        <f>"&lt;P&gt;"&amp;PartsMaster!$I381&amp;" "&amp;PartsMaster!$H381&amp;"&lt;/P&gt;"&amp;"&lt;P&gt;Jaguar part name "&amp;PartsMaster!$E381&amp;"&lt;/P&gt;&lt;P&gt;Product numbers "&amp;PartsMaster!R381&amp;" "&amp;DQ118&amp;"&lt;/P&gt;&lt;P&gt;Fits starting from VIN/ModelYear "&amp;PartsMaster!$F381&amp;" until VIN/ModelYear "&amp;PartsMaster!$G381&amp;"&lt;/P&gt;&lt;P&gt;Condition: "&amp;PartsMaster!AB381&amp;"&lt;/P&gt;&lt;P&gt; (part source "&amp;PartsMaster!AD381&amp;")&lt;/P&gt;&lt;P&gt;Notes: "&amp;PartsMaster!AA381&amp;"&lt;/P&gt;"</f>
        <v>&lt;P&gt;Cap / Cover Cap / Cover / Trim&lt;/P&gt;&lt;P&gt;Jaguar part name &lt;/P&gt;&lt;P&gt;Product numbers  0&lt;/P&gt;&lt;P&gt;Fits starting from VIN/ModelYear 0 until VIN/ModelYear 18107&lt;/P&gt;&lt;P&gt;Condition: &lt;/P&gt;&lt;P&gt; (part source )&lt;/P&gt;&lt;P&gt;Notes: &lt;/P&gt;</v>
      </c>
      <c r="AA118" s="20" t="s">
        <v>1171</v>
      </c>
      <c r="AC118" s="20">
        <v>0</v>
      </c>
      <c r="AD118" s="20">
        <v>0</v>
      </c>
      <c r="AE118" s="20" t="s">
        <v>1172</v>
      </c>
      <c r="AF118" s="20">
        <v>7</v>
      </c>
      <c r="AG118" s="20">
        <v>0</v>
      </c>
      <c r="AH118" s="20">
        <v>0</v>
      </c>
      <c r="AI118" s="20">
        <v>0</v>
      </c>
      <c r="AJ118" s="20">
        <v>0</v>
      </c>
      <c r="AK118" s="20">
        <v>0</v>
      </c>
      <c r="AO118" s="20" t="s">
        <v>1173</v>
      </c>
      <c r="AR118" s="20">
        <v>0</v>
      </c>
      <c r="AS118" s="20">
        <v>10112</v>
      </c>
      <c r="AV118" s="20" t="s">
        <v>1174</v>
      </c>
      <c r="AX118" s="20">
        <v>62128510024</v>
      </c>
      <c r="AY118" s="20">
        <v>62035811024</v>
      </c>
      <c r="AZ118" s="20">
        <v>55187694024</v>
      </c>
      <c r="BA118" s="20" t="s">
        <v>1175</v>
      </c>
      <c r="BB118" s="20" t="s">
        <v>1176</v>
      </c>
      <c r="BC118" s="20" t="s">
        <v>1177</v>
      </c>
      <c r="BD118" s="20">
        <v>1</v>
      </c>
      <c r="BE118" s="20">
        <v>0</v>
      </c>
      <c r="BF118" s="20">
        <v>0</v>
      </c>
      <c r="BG118" s="20">
        <v>0</v>
      </c>
      <c r="BN118" s="20" t="s">
        <v>1178</v>
      </c>
      <c r="BV118" s="20">
        <v>0</v>
      </c>
      <c r="CL118" s="20">
        <v>0</v>
      </c>
      <c r="DD118" s="20" t="s">
        <v>1179</v>
      </c>
      <c r="DE118" s="20" t="s">
        <v>1179</v>
      </c>
      <c r="DI118" s="20">
        <v>0</v>
      </c>
      <c r="DP118" s="21" t="s">
        <v>1180</v>
      </c>
      <c r="DQ118" s="21">
        <f>PartsMaster!$A381</f>
        <v>0</v>
      </c>
      <c r="DR118" s="21" t="s">
        <v>1181</v>
      </c>
      <c r="DS118" s="21" t="str">
        <f>PartsMaster!$K382&amp;" "&amp;PartsMaster!L382&amp;" "&amp;PartsMaster!$M382</f>
        <v>Front Right Low</v>
      </c>
    </row>
    <row r="119" spans="1:123" ht="30" hidden="1" x14ac:dyDescent="0.25">
      <c r="A119" s="20" t="s">
        <v>1166</v>
      </c>
      <c r="B119" s="20" t="s">
        <v>1167</v>
      </c>
      <c r="C119" s="20" t="s">
        <v>1168</v>
      </c>
      <c r="D119" s="21" t="str">
        <f>PartsMaster!B182&amp;" "&amp;PartsMaster!$C182</f>
        <v>Jaguar XK8 XKR X100 GEARBOX FILTER O-Ring</v>
      </c>
      <c r="E119" s="20">
        <v>3000</v>
      </c>
      <c r="F119" s="20" t="s">
        <v>1182</v>
      </c>
      <c r="H119" s="21" t="str">
        <f>PartsMaster!$Q182</f>
        <v>FILTER-AUTO GEARBOX O-RING</v>
      </c>
      <c r="I119" s="20">
        <v>9886</v>
      </c>
      <c r="K119" s="20">
        <v>0</v>
      </c>
      <c r="L119" s="20">
        <v>0</v>
      </c>
      <c r="M119" s="21">
        <f>PartsMaster!$D182</f>
        <v>0</v>
      </c>
      <c r="O119" s="20" t="s">
        <v>1169</v>
      </c>
      <c r="P119" s="23">
        <f>PartsMaster!$S182/1.45</f>
        <v>0</v>
      </c>
      <c r="S119" s="20">
        <v>30</v>
      </c>
      <c r="T119" s="20">
        <v>0</v>
      </c>
      <c r="U119" s="20" t="s">
        <v>1170</v>
      </c>
      <c r="Z119" s="26" t="str">
        <f>"&lt;P&gt;"&amp;PartsMaster!$I182&amp;" "&amp;PartsMaster!$H182&amp;"&lt;/P&gt;"&amp;"&lt;P&gt;Jaguar part name "&amp;PartsMaster!$E182&amp;"&lt;/P&gt;&lt;P&gt;Product numbers "&amp;PartsMaster!R182&amp;" "&amp;DQ119&amp;"&lt;/P&gt;&lt;P&gt;Fits starting from VIN/ModelYear "&amp;PartsMaster!$F182&amp;" until VIN/ModelYear "&amp;PartsMaster!$G182&amp;"&lt;/P&gt;&lt;P&gt;Condition: "&amp;PartsMaster!AB182&amp;"&lt;/P&gt;&lt;P&gt; (part source "&amp;PartsMaster!AD182&amp;")&lt;/P&gt;&lt;P&gt;Notes: "&amp;PartsMaster!AA182&amp;"&lt;/P&gt;"</f>
        <v>&lt;P&gt;Gear box / Gear shifter / Gear Selector Gasket / Seal / O-Ring&lt;/P&gt;&lt;P&gt;Jaguar part name &lt;/P&gt;&lt;P&gt;Product numbers JLM20217 JLM20217&lt;/P&gt;&lt;P&gt;Fits starting from VIN/ModelYear  until VIN/ModelYear &lt;/P&gt;&lt;P&gt;Condition: British Parts&lt;/P&gt;&lt;P&gt; (part source )&lt;/P&gt;&lt;P&gt;Notes: &lt;/P&gt;</v>
      </c>
      <c r="AA119" s="20" t="s">
        <v>1171</v>
      </c>
      <c r="AC119" s="20">
        <v>0</v>
      </c>
      <c r="AD119" s="20">
        <v>0</v>
      </c>
      <c r="AE119" s="20" t="s">
        <v>1172</v>
      </c>
      <c r="AF119" s="20">
        <v>7</v>
      </c>
      <c r="AG119" s="20">
        <v>0</v>
      </c>
      <c r="AH119" s="20">
        <v>0</v>
      </c>
      <c r="AI119" s="20">
        <v>0</v>
      </c>
      <c r="AJ119" s="20">
        <v>0</v>
      </c>
      <c r="AK119" s="20">
        <v>0</v>
      </c>
      <c r="AO119" s="20" t="s">
        <v>1173</v>
      </c>
      <c r="AR119" s="20">
        <v>0</v>
      </c>
      <c r="AS119" s="20">
        <v>10112</v>
      </c>
      <c r="AV119" s="20" t="s">
        <v>1174</v>
      </c>
      <c r="AX119" s="20">
        <v>62128510024</v>
      </c>
      <c r="AY119" s="20">
        <v>62035811024</v>
      </c>
      <c r="AZ119" s="20">
        <v>55187694024</v>
      </c>
      <c r="BA119" s="20" t="s">
        <v>1175</v>
      </c>
      <c r="BB119" s="20" t="s">
        <v>1176</v>
      </c>
      <c r="BC119" s="20" t="s">
        <v>1177</v>
      </c>
      <c r="BD119" s="20">
        <v>1</v>
      </c>
      <c r="BE119" s="20">
        <v>0</v>
      </c>
      <c r="BF119" s="20">
        <v>0</v>
      </c>
      <c r="BG119" s="20">
        <v>0</v>
      </c>
      <c r="BN119" s="20" t="s">
        <v>1178</v>
      </c>
      <c r="BV119" s="20">
        <v>0</v>
      </c>
      <c r="CL119" s="20">
        <v>0</v>
      </c>
      <c r="DD119" s="20" t="s">
        <v>1179</v>
      </c>
      <c r="DE119" s="20" t="s">
        <v>1179</v>
      </c>
      <c r="DI119" s="20">
        <v>0</v>
      </c>
      <c r="DP119" s="21" t="s">
        <v>1180</v>
      </c>
      <c r="DQ119" s="21" t="str">
        <f>PartsMaster!$A182</f>
        <v>JLM20217</v>
      </c>
      <c r="DR119" s="21" t="s">
        <v>1181</v>
      </c>
      <c r="DS119" s="21" t="str">
        <f>PartsMaster!$K183&amp;" "&amp;PartsMaster!L183&amp;" "&amp;PartsMaster!$M183</f>
        <v xml:space="preserve">Rear Center </v>
      </c>
    </row>
    <row r="120" spans="1:123" ht="30" hidden="1" x14ac:dyDescent="0.25">
      <c r="A120" s="20" t="s">
        <v>1166</v>
      </c>
      <c r="B120" s="20" t="s">
        <v>1167</v>
      </c>
      <c r="C120" s="20" t="s">
        <v>1168</v>
      </c>
      <c r="D120" s="21" t="str">
        <f>PartsMaster!B186&amp;" "&amp;PartsMaster!$C186</f>
        <v>Jaguar XK8 XKR X100 Brake Disk</v>
      </c>
      <c r="E120" s="20">
        <v>3000</v>
      </c>
      <c r="F120" s="20" t="s">
        <v>1182</v>
      </c>
      <c r="H120" s="21" t="str">
        <f>PartsMaster!$Q186</f>
        <v>Brake Disk</v>
      </c>
      <c r="I120" s="20">
        <v>9886</v>
      </c>
      <c r="K120" s="20">
        <v>0</v>
      </c>
      <c r="L120" s="20">
        <v>0</v>
      </c>
      <c r="M120" s="21">
        <f>PartsMaster!$D186</f>
        <v>2</v>
      </c>
      <c r="O120" s="20" t="s">
        <v>1169</v>
      </c>
      <c r="P120" s="23">
        <f>PartsMaster!$S186/1.45</f>
        <v>51.724137931034484</v>
      </c>
      <c r="S120" s="20">
        <v>30</v>
      </c>
      <c r="T120" s="20">
        <v>0</v>
      </c>
      <c r="U120" s="20" t="s">
        <v>1170</v>
      </c>
      <c r="Z120" s="26" t="str">
        <f>"&lt;P&gt;"&amp;PartsMaster!$I186&amp;" "&amp;PartsMaster!$H186&amp;"&lt;/P&gt;"&amp;"&lt;P&gt;Jaguar part name "&amp;PartsMaster!$E186&amp;"&lt;/P&gt;&lt;P&gt;Product numbers "&amp;PartsMaster!R186&amp;" "&amp;DQ120&amp;"&lt;/P&gt;&lt;P&gt;Fits starting from VIN/ModelYear "&amp;PartsMaster!$F186&amp;" until VIN/ModelYear "&amp;PartsMaster!$G186&amp;"&lt;/P&gt;&lt;P&gt;Condition: "&amp;PartsMaster!AB186&amp;"&lt;/P&gt;&lt;P&gt; (part source "&amp;PartsMaster!AD186&amp;")&lt;/P&gt;&lt;P&gt;Notes: "&amp;PartsMaster!AA186&amp;"&lt;/P&gt;"</f>
        <v>&lt;P&gt;Brakes &lt;/P&gt;&lt;P&gt;Jaguar part name BRAKING SYSTEM/BRAKE DISC AND CALIPERS  - Brake Disk - Non cross Drilled&lt;/P&gt;&lt;P&gt;Product numbers JLM20617 / 
C2C41250 JLM20617 / 
C2C41250&lt;/P&gt;&lt;P&gt;Fits starting from VIN/ModelYear 031303 until VIN/ModelYear 042775&lt;/P&gt;&lt;P&gt;Condition: Extra spare&lt;/P&gt;&lt;P&gt; (part source JP)&lt;/P&gt;&lt;P&gt;Notes: OE Jaguar&lt;/P&gt;</v>
      </c>
      <c r="AA120" s="20" t="s">
        <v>1171</v>
      </c>
      <c r="AC120" s="20">
        <v>0</v>
      </c>
      <c r="AD120" s="20">
        <v>0</v>
      </c>
      <c r="AE120" s="20" t="s">
        <v>1172</v>
      </c>
      <c r="AF120" s="20">
        <v>7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O120" s="20" t="s">
        <v>1173</v>
      </c>
      <c r="AR120" s="20">
        <v>0</v>
      </c>
      <c r="AS120" s="20">
        <v>10112</v>
      </c>
      <c r="AV120" s="20" t="s">
        <v>1174</v>
      </c>
      <c r="AX120" s="20">
        <v>62128510024</v>
      </c>
      <c r="AY120" s="20">
        <v>62035811024</v>
      </c>
      <c r="AZ120" s="20">
        <v>55187694024</v>
      </c>
      <c r="BA120" s="20" t="s">
        <v>1175</v>
      </c>
      <c r="BB120" s="20" t="s">
        <v>1176</v>
      </c>
      <c r="BC120" s="20" t="s">
        <v>1177</v>
      </c>
      <c r="BD120" s="20">
        <v>1</v>
      </c>
      <c r="BE120" s="20">
        <v>0</v>
      </c>
      <c r="BF120" s="20">
        <v>0</v>
      </c>
      <c r="BG120" s="20">
        <v>0</v>
      </c>
      <c r="BN120" s="20" t="s">
        <v>1178</v>
      </c>
      <c r="BV120" s="20">
        <v>0</v>
      </c>
      <c r="CL120" s="20">
        <v>0</v>
      </c>
      <c r="DD120" s="20" t="s">
        <v>1179</v>
      </c>
      <c r="DE120" s="20" t="s">
        <v>1179</v>
      </c>
      <c r="DI120" s="20">
        <v>0</v>
      </c>
      <c r="DP120" s="21" t="s">
        <v>1180</v>
      </c>
      <c r="DQ120" s="21" t="str">
        <f>PartsMaster!$A186</f>
        <v>JLM20617 / 
C2C41250</v>
      </c>
      <c r="DR120" s="21" t="s">
        <v>1181</v>
      </c>
      <c r="DS120" s="21" t="str">
        <f>PartsMaster!$K187&amp;" "&amp;PartsMaster!L187&amp;" "&amp;PartsMaster!$M187</f>
        <v>Front Left/Right Bottom</v>
      </c>
    </row>
    <row r="121" spans="1:123" ht="30" hidden="1" x14ac:dyDescent="0.25">
      <c r="A121" s="20" t="s">
        <v>1166</v>
      </c>
      <c r="B121" s="20" t="s">
        <v>1167</v>
      </c>
      <c r="C121" s="20" t="s">
        <v>1168</v>
      </c>
      <c r="D121" s="21" t="str">
        <f>PartsMaster!B322&amp;" "&amp;PartsMaster!$C322</f>
        <v>Jaguar XK8 X100 XJ8 X308 Engine Cover Mounting Long</v>
      </c>
      <c r="E121" s="20">
        <v>3000</v>
      </c>
      <c r="F121" s="20" t="s">
        <v>1182</v>
      </c>
      <c r="H121" s="21" t="str">
        <f>PartsMaster!$Q322</f>
        <v xml:space="preserve">Engine Cover fuel pipes rubber
</v>
      </c>
      <c r="I121" s="20">
        <v>9886</v>
      </c>
      <c r="K121" s="20">
        <v>0</v>
      </c>
      <c r="L121" s="20">
        <v>0</v>
      </c>
      <c r="M121" s="21">
        <f>PartsMaster!$D322</f>
        <v>2</v>
      </c>
      <c r="O121" s="20" t="s">
        <v>1169</v>
      </c>
      <c r="P121" s="23">
        <f>PartsMaster!$S322/1.45</f>
        <v>6.8965517241379315</v>
      </c>
      <c r="S121" s="20">
        <v>30</v>
      </c>
      <c r="T121" s="20">
        <v>0</v>
      </c>
      <c r="U121" s="20" t="s">
        <v>1170</v>
      </c>
      <c r="Z121" s="26" t="str">
        <f>"&lt;P&gt;"&amp;PartsMaster!$I322&amp;" "&amp;PartsMaster!$H322&amp;"&lt;/P&gt;"&amp;"&lt;P&gt;Jaguar part name "&amp;PartsMaster!$E322&amp;"&lt;/P&gt;&lt;P&gt;Product numbers "&amp;PartsMaster!R322&amp;" "&amp;DQ121&amp;"&lt;/P&gt;&lt;P&gt;Fits starting from VIN/ModelYear "&amp;PartsMaster!$F322&amp;" until VIN/ModelYear "&amp;PartsMaster!$G322&amp;"&lt;/P&gt;&lt;P&gt;Condition: "&amp;PartsMaster!AB322&amp;"&lt;/P&gt;&lt;P&gt; (part source "&amp;PartsMaster!AD322&amp;")&lt;/P&gt;&lt;P&gt;Notes: "&amp;PartsMaster!AA322&amp;"&lt;/P&gt;"</f>
        <v>&lt;P&gt;Trim Mount&lt;/P&gt;&lt;P&gt;Jaguar part name ENGINE/ENGINE Assembly - Engine Cover engine bay cover engine bay fuel pipes rubber
&lt;/P&gt;&lt;P&gt;Product numbers NJA6790BC NJA6790BC&lt;/P&gt;&lt;P&gt;Fits starting from VIN/ModelYear X100 MY1996 - X308 812317 until VIN/ModelYear X100 A30664 - X308 F59525&lt;/P&gt;&lt;P&gt;Condition: Extra Spare Part&lt;/P&gt;&lt;P&gt; (part source SJ)&lt;/P&gt;&lt;P&gt;Notes: Bare&lt;/P&gt;</v>
      </c>
      <c r="AA121" s="20" t="s">
        <v>1171</v>
      </c>
      <c r="AC121" s="20">
        <v>0</v>
      </c>
      <c r="AD121" s="20">
        <v>0</v>
      </c>
      <c r="AE121" s="20" t="s">
        <v>1172</v>
      </c>
      <c r="AF121" s="20">
        <v>7</v>
      </c>
      <c r="AG121" s="20">
        <v>0</v>
      </c>
      <c r="AH121" s="20">
        <v>0</v>
      </c>
      <c r="AI121" s="20">
        <v>0</v>
      </c>
      <c r="AJ121" s="20">
        <v>0</v>
      </c>
      <c r="AK121" s="20">
        <v>0</v>
      </c>
      <c r="AO121" s="20" t="s">
        <v>1173</v>
      </c>
      <c r="AR121" s="20">
        <v>0</v>
      </c>
      <c r="AS121" s="20">
        <v>10112</v>
      </c>
      <c r="AV121" s="20" t="s">
        <v>1174</v>
      </c>
      <c r="AX121" s="20">
        <v>62128510024</v>
      </c>
      <c r="AY121" s="20">
        <v>62035811024</v>
      </c>
      <c r="AZ121" s="20">
        <v>55187694024</v>
      </c>
      <c r="BA121" s="20" t="s">
        <v>1175</v>
      </c>
      <c r="BB121" s="20" t="s">
        <v>1176</v>
      </c>
      <c r="BC121" s="20" t="s">
        <v>1177</v>
      </c>
      <c r="BD121" s="20">
        <v>1</v>
      </c>
      <c r="BE121" s="20">
        <v>0</v>
      </c>
      <c r="BF121" s="20">
        <v>0</v>
      </c>
      <c r="BG121" s="20">
        <v>0</v>
      </c>
      <c r="BN121" s="20" t="s">
        <v>1178</v>
      </c>
      <c r="BV121" s="20">
        <v>0</v>
      </c>
      <c r="CL121" s="20">
        <v>0</v>
      </c>
      <c r="DD121" s="20" t="s">
        <v>1179</v>
      </c>
      <c r="DE121" s="20" t="s">
        <v>1179</v>
      </c>
      <c r="DI121" s="20">
        <v>0</v>
      </c>
      <c r="DP121" s="21" t="s">
        <v>1180</v>
      </c>
      <c r="DQ121" s="21" t="str">
        <f>PartsMaster!$A322</f>
        <v>NJA6790BC</v>
      </c>
      <c r="DR121" s="21" t="s">
        <v>1181</v>
      </c>
      <c r="DS121" s="21" t="str">
        <f>PartsMaster!$K323&amp;" "&amp;PartsMaster!L323&amp;" "&amp;PartsMaster!$M323</f>
        <v>Front Left/Right N/A</v>
      </c>
    </row>
    <row r="122" spans="1:123" ht="30" hidden="1" x14ac:dyDescent="0.25">
      <c r="A122" s="20" t="s">
        <v>1166</v>
      </c>
      <c r="B122" s="20" t="s">
        <v>1167</v>
      </c>
      <c r="C122" s="20" t="s">
        <v>1168</v>
      </c>
      <c r="D122" s="21" t="str">
        <f>PartsMaster!B89&amp;" "&amp;PartsMaster!$C89</f>
        <v xml:space="preserve">Jaguar XK8 XKR X100 WIPER BLADE </v>
      </c>
      <c r="E122" s="20">
        <v>3000</v>
      </c>
      <c r="F122" s="20" t="s">
        <v>1182</v>
      </c>
      <c r="H122" s="21" t="str">
        <f>PartsMaster!$Q89</f>
        <v xml:space="preserve">WIPER BLADE </v>
      </c>
      <c r="I122" s="20">
        <v>9886</v>
      </c>
      <c r="K122" s="20">
        <v>0</v>
      </c>
      <c r="L122" s="20">
        <v>0</v>
      </c>
      <c r="M122" s="21">
        <f>PartsMaster!$D89</f>
        <v>0</v>
      </c>
      <c r="O122" s="20" t="s">
        <v>1169</v>
      </c>
      <c r="P122" s="23">
        <f>PartsMaster!$S89/1.45</f>
        <v>0</v>
      </c>
      <c r="S122" s="20">
        <v>30</v>
      </c>
      <c r="T122" s="20">
        <v>0</v>
      </c>
      <c r="U122" s="20" t="s">
        <v>1170</v>
      </c>
      <c r="Z122" s="26" t="str">
        <f>"&lt;P&gt;"&amp;PartsMaster!$I89&amp;" "&amp;PartsMaster!$H89&amp;"&lt;/P&gt;"&amp;"&lt;P&gt;Jaguar part name "&amp;PartsMaster!$E89&amp;"&lt;/P&gt;&lt;P&gt;Product numbers "&amp;PartsMaster!R89&amp;" "&amp;DQ122&amp;"&lt;/P&gt;&lt;P&gt;Fits starting from VIN/ModelYear "&amp;PartsMaster!$F89&amp;" until VIN/ModelYear "&amp;PartsMaster!$G89&amp;"&lt;/P&gt;&lt;P&gt;Condition: "&amp;PartsMaster!AB89&amp;"&lt;/P&gt;&lt;P&gt; (part source "&amp;PartsMaster!AD89&amp;")&lt;/P&gt;&lt;P&gt;Notes: "&amp;PartsMaster!AA89&amp;"&lt;/P&gt;"</f>
        <v>&lt;P&gt;Windshield &lt;/P&gt;&lt;P&gt;Jaguar part name &lt;/P&gt;&lt;P&gt;Product numbers GJA8960BB GJA8960BB&lt;/P&gt;&lt;P&gt;Fits starting from VIN/ModelYear  until VIN/ModelYear &lt;/P&gt;&lt;P&gt;Condition: British Parts&lt;/P&gt;&lt;P&gt; (part source )&lt;/P&gt;&lt;P&gt;Notes: Can host LJA2870AC&lt;/P&gt;</v>
      </c>
      <c r="AA122" s="20" t="s">
        <v>1171</v>
      </c>
      <c r="AC122" s="20">
        <v>0</v>
      </c>
      <c r="AD122" s="20">
        <v>0</v>
      </c>
      <c r="AE122" s="20" t="s">
        <v>1172</v>
      </c>
      <c r="AF122" s="20">
        <v>7</v>
      </c>
      <c r="AG122" s="20">
        <v>0</v>
      </c>
      <c r="AH122" s="20">
        <v>0</v>
      </c>
      <c r="AI122" s="20">
        <v>0</v>
      </c>
      <c r="AJ122" s="20">
        <v>0</v>
      </c>
      <c r="AK122" s="20">
        <v>0</v>
      </c>
      <c r="AO122" s="20" t="s">
        <v>1173</v>
      </c>
      <c r="AR122" s="20">
        <v>0</v>
      </c>
      <c r="AS122" s="20">
        <v>10112</v>
      </c>
      <c r="AV122" s="20" t="s">
        <v>1174</v>
      </c>
      <c r="AX122" s="20">
        <v>62128510024</v>
      </c>
      <c r="AY122" s="20">
        <v>62035811024</v>
      </c>
      <c r="AZ122" s="20">
        <v>55187694024</v>
      </c>
      <c r="BA122" s="20" t="s">
        <v>1175</v>
      </c>
      <c r="BB122" s="20" t="s">
        <v>1176</v>
      </c>
      <c r="BC122" s="20" t="s">
        <v>1177</v>
      </c>
      <c r="BD122" s="20">
        <v>1</v>
      </c>
      <c r="BE122" s="20">
        <v>0</v>
      </c>
      <c r="BF122" s="20">
        <v>0</v>
      </c>
      <c r="BG122" s="20">
        <v>0</v>
      </c>
      <c r="BN122" s="20" t="s">
        <v>1178</v>
      </c>
      <c r="BV122" s="20">
        <v>0</v>
      </c>
      <c r="CL122" s="20">
        <v>0</v>
      </c>
      <c r="DD122" s="20" t="s">
        <v>1179</v>
      </c>
      <c r="DE122" s="20" t="s">
        <v>1179</v>
      </c>
      <c r="DI122" s="20">
        <v>0</v>
      </c>
      <c r="DP122" s="21" t="s">
        <v>1180</v>
      </c>
      <c r="DQ122" s="21" t="str">
        <f>PartsMaster!$A89</f>
        <v>GJA8960BB</v>
      </c>
      <c r="DR122" s="21" t="s">
        <v>1181</v>
      </c>
      <c r="DS122" s="21" t="str">
        <f>PartsMaster!$K90&amp;" "&amp;PartsMaster!L90&amp;" "&amp;PartsMaster!$M90</f>
        <v xml:space="preserve">  </v>
      </c>
    </row>
    <row r="123" spans="1:123" hidden="1" x14ac:dyDescent="0.25">
      <c r="A123" s="20" t="s">
        <v>1166</v>
      </c>
      <c r="B123" s="20" t="s">
        <v>1167</v>
      </c>
      <c r="C123" s="20" t="s">
        <v>1168</v>
      </c>
      <c r="D123" s="21" t="str">
        <f>PartsMaster!B290&amp;" "&amp;PartsMaster!$C290</f>
        <v>Jaguar XK8 XKR X100 Engine Drive Belt</v>
      </c>
      <c r="E123" s="20">
        <v>3000</v>
      </c>
      <c r="F123" s="20" t="s">
        <v>1182</v>
      </c>
      <c r="H123" s="21" t="str">
        <f>PartsMaster!$Q290</f>
        <v>BELT</v>
      </c>
      <c r="I123" s="20">
        <v>9886</v>
      </c>
      <c r="K123" s="20">
        <v>0</v>
      </c>
      <c r="L123" s="20">
        <v>0</v>
      </c>
      <c r="M123" s="21">
        <f>PartsMaster!$D290</f>
        <v>0</v>
      </c>
      <c r="O123" s="20" t="s">
        <v>1169</v>
      </c>
      <c r="P123" s="23">
        <f>PartsMaster!$S290/1.45</f>
        <v>27.586206896551726</v>
      </c>
      <c r="S123" s="20">
        <v>30</v>
      </c>
      <c r="T123" s="20">
        <v>0</v>
      </c>
      <c r="U123" s="20" t="s">
        <v>1170</v>
      </c>
      <c r="Z123" s="26" t="str">
        <f>"&lt;P&gt;"&amp;PartsMaster!$I290&amp;" "&amp;PartsMaster!$H290&amp;"&lt;/P&gt;"&amp;"&lt;P&gt;Jaguar part name "&amp;PartsMaster!$E290&amp;"&lt;/P&gt;&lt;P&gt;Product numbers "&amp;PartsMaster!R290&amp;" "&amp;DQ123&amp;"&lt;/P&gt;&lt;P&gt;Fits starting from VIN/ModelYear "&amp;PartsMaster!$F290&amp;" until VIN/ModelYear "&amp;PartsMaster!$G290&amp;"&lt;/P&gt;&lt;P&gt;Condition: "&amp;PartsMaster!AB290&amp;"&lt;/P&gt;&lt;P&gt; (part source "&amp;PartsMaster!AD290&amp;")&lt;/P&gt;&lt;P&gt;Notes: "&amp;PartsMaster!AA290&amp;"&lt;/P&gt;"</f>
        <v>&lt;P&gt;Engine Belt&lt;/P&gt;&lt;P&gt;Jaguar part name &lt;/P&gt;&lt;P&gt;Product numbers NCA2211AC NCA2211AC&lt;/P&gt;&lt;P&gt;Fits starting from VIN/ModelYear XKR 4.0 1996
XJ8 1997 With Plastic Idler  until VIN/ModelYear 42775
1999 878717&lt;/P&gt;&lt;P&gt;Condition: British Parts&lt;/P&gt;&lt;P&gt; (part source )&lt;/P&gt;&lt;P&gt;Notes: &lt;/P&gt;</v>
      </c>
      <c r="AA123" s="20" t="s">
        <v>1171</v>
      </c>
      <c r="AC123" s="20">
        <v>0</v>
      </c>
      <c r="AD123" s="20">
        <v>0</v>
      </c>
      <c r="AE123" s="20" t="s">
        <v>1172</v>
      </c>
      <c r="AF123" s="20">
        <v>7</v>
      </c>
      <c r="AG123" s="20">
        <v>0</v>
      </c>
      <c r="AH123" s="20">
        <v>0</v>
      </c>
      <c r="AI123" s="20">
        <v>0</v>
      </c>
      <c r="AJ123" s="20">
        <v>0</v>
      </c>
      <c r="AK123" s="20">
        <v>0</v>
      </c>
      <c r="AO123" s="20" t="s">
        <v>1173</v>
      </c>
      <c r="AR123" s="20">
        <v>0</v>
      </c>
      <c r="AS123" s="20">
        <v>10112</v>
      </c>
      <c r="AV123" s="20" t="s">
        <v>1174</v>
      </c>
      <c r="AX123" s="20">
        <v>62128510024</v>
      </c>
      <c r="AY123" s="20">
        <v>62035811024</v>
      </c>
      <c r="AZ123" s="20">
        <v>55187694024</v>
      </c>
      <c r="BA123" s="20" t="s">
        <v>1175</v>
      </c>
      <c r="BB123" s="20" t="s">
        <v>1176</v>
      </c>
      <c r="BC123" s="20" t="s">
        <v>1177</v>
      </c>
      <c r="BD123" s="20">
        <v>1</v>
      </c>
      <c r="BE123" s="20">
        <v>0</v>
      </c>
      <c r="BF123" s="20">
        <v>0</v>
      </c>
      <c r="BG123" s="20">
        <v>0</v>
      </c>
      <c r="BN123" s="20" t="s">
        <v>1178</v>
      </c>
      <c r="BV123" s="20">
        <v>0</v>
      </c>
      <c r="CL123" s="20">
        <v>0</v>
      </c>
      <c r="DD123" s="20" t="s">
        <v>1179</v>
      </c>
      <c r="DE123" s="20" t="s">
        <v>1179</v>
      </c>
      <c r="DI123" s="20">
        <v>0</v>
      </c>
      <c r="DP123" s="21" t="s">
        <v>1180</v>
      </c>
      <c r="DQ123" s="21" t="str">
        <f>PartsMaster!$A290</f>
        <v>NCA2211AC</v>
      </c>
      <c r="DR123" s="21" t="s">
        <v>1181</v>
      </c>
      <c r="DS123" s="21" t="str">
        <f>PartsMaster!$K291&amp;" "&amp;PartsMaster!L291&amp;" "&amp;PartsMaster!$M291</f>
        <v xml:space="preserve">  </v>
      </c>
    </row>
    <row r="124" spans="1:123" hidden="1" x14ac:dyDescent="0.25">
      <c r="A124" s="20" t="s">
        <v>1166</v>
      </c>
      <c r="B124" s="20" t="s">
        <v>1167</v>
      </c>
      <c r="C124" s="20" t="s">
        <v>1168</v>
      </c>
      <c r="D124" s="21" t="str">
        <f>PartsMaster!B348&amp;" "&amp;PartsMaster!$C348</f>
        <v xml:space="preserve">Jaguar XK8 XKR X100 Change Gearbox </v>
      </c>
      <c r="E124" s="20">
        <v>3000</v>
      </c>
      <c r="F124" s="20" t="s">
        <v>1182</v>
      </c>
      <c r="H124" s="21">
        <f>PartsMaster!$Q348</f>
        <v>0</v>
      </c>
      <c r="I124" s="20">
        <v>9886</v>
      </c>
      <c r="K124" s="20">
        <v>0</v>
      </c>
      <c r="L124" s="20">
        <v>0</v>
      </c>
      <c r="M124" s="21">
        <f>PartsMaster!$D348</f>
        <v>0</v>
      </c>
      <c r="O124" s="20" t="s">
        <v>1169</v>
      </c>
      <c r="P124" s="23">
        <f>PartsMaster!$S348/1.45</f>
        <v>0</v>
      </c>
      <c r="S124" s="20">
        <v>30</v>
      </c>
      <c r="T124" s="20">
        <v>0</v>
      </c>
      <c r="U124" s="20" t="s">
        <v>1170</v>
      </c>
      <c r="Z124" s="26" t="str">
        <f>"&lt;P&gt;"&amp;PartsMaster!$I348&amp;" "&amp;PartsMaster!$H348&amp;"&lt;/P&gt;"&amp;"&lt;P&gt;Jaguar part name "&amp;PartsMaster!$E348&amp;"&lt;/P&gt;&lt;P&gt;Product numbers "&amp;PartsMaster!R348&amp;" "&amp;DQ124&amp;"&lt;/P&gt;&lt;P&gt;Fits starting from VIN/ModelYear "&amp;PartsMaster!$F348&amp;" until VIN/ModelYear "&amp;PartsMaster!$G348&amp;"&lt;/P&gt;&lt;P&gt;Condition: "&amp;PartsMaster!AB348&amp;"&lt;/P&gt;&lt;P&gt; (part source "&amp;PartsMaster!AD348&amp;")&lt;/P&gt;&lt;P&gt;Notes: "&amp;PartsMaster!AA348&amp;"&lt;/P&gt;"</f>
        <v>&lt;P&gt; &lt;/P&gt;&lt;P&gt;Jaguar part name &lt;/P&gt;&lt;P&gt;Product numbers  0&lt;/P&gt;&lt;P&gt;Fits starting from VIN/ModelYear  until VIN/ModelYear &lt;/P&gt;&lt;P&gt;Condition: &lt;/P&gt;&lt;P&gt; (part source )&lt;/P&gt;&lt;P&gt;Notes: &lt;/P&gt;</v>
      </c>
      <c r="AA124" s="20" t="s">
        <v>1171</v>
      </c>
      <c r="AC124" s="20">
        <v>0</v>
      </c>
      <c r="AD124" s="20">
        <v>0</v>
      </c>
      <c r="AE124" s="20" t="s">
        <v>1172</v>
      </c>
      <c r="AF124" s="20">
        <v>7</v>
      </c>
      <c r="AG124" s="20">
        <v>0</v>
      </c>
      <c r="AH124" s="20">
        <v>0</v>
      </c>
      <c r="AI124" s="20">
        <v>0</v>
      </c>
      <c r="AJ124" s="20">
        <v>0</v>
      </c>
      <c r="AK124" s="20">
        <v>0</v>
      </c>
      <c r="AO124" s="20" t="s">
        <v>1173</v>
      </c>
      <c r="AR124" s="20">
        <v>0</v>
      </c>
      <c r="AS124" s="20">
        <v>10112</v>
      </c>
      <c r="AV124" s="20" t="s">
        <v>1174</v>
      </c>
      <c r="AX124" s="20">
        <v>62128510024</v>
      </c>
      <c r="AY124" s="20">
        <v>62035811024</v>
      </c>
      <c r="AZ124" s="20">
        <v>55187694024</v>
      </c>
      <c r="BA124" s="20" t="s">
        <v>1175</v>
      </c>
      <c r="BB124" s="20" t="s">
        <v>1176</v>
      </c>
      <c r="BC124" s="20" t="s">
        <v>1177</v>
      </c>
      <c r="BD124" s="20">
        <v>1</v>
      </c>
      <c r="BE124" s="20">
        <v>0</v>
      </c>
      <c r="BF124" s="20">
        <v>0</v>
      </c>
      <c r="BG124" s="20">
        <v>0</v>
      </c>
      <c r="BN124" s="20" t="s">
        <v>1178</v>
      </c>
      <c r="BV124" s="20">
        <v>0</v>
      </c>
      <c r="CL124" s="20">
        <v>0</v>
      </c>
      <c r="DD124" s="20" t="s">
        <v>1179</v>
      </c>
      <c r="DE124" s="20" t="s">
        <v>1179</v>
      </c>
      <c r="DI124" s="20">
        <v>0</v>
      </c>
      <c r="DP124" s="21" t="s">
        <v>1180</v>
      </c>
      <c r="DQ124" s="21">
        <f>PartsMaster!$A348</f>
        <v>0</v>
      </c>
      <c r="DR124" s="21" t="s">
        <v>1181</v>
      </c>
      <c r="DS124" s="21" t="str">
        <f>PartsMaster!$K349&amp;" "&amp;PartsMaster!L349&amp;" "&amp;PartsMaster!$M349</f>
        <v xml:space="preserve">  </v>
      </c>
    </row>
    <row r="125" spans="1:123" hidden="1" x14ac:dyDescent="0.25">
      <c r="A125" s="20" t="s">
        <v>1166</v>
      </c>
      <c r="B125" s="20" t="s">
        <v>1167</v>
      </c>
      <c r="C125" s="20" t="s">
        <v>1168</v>
      </c>
      <c r="D125" s="21" t="str">
        <f>PartsMaster!B383&amp;" "&amp;PartsMaster!$C383</f>
        <v>Jaguar XK8 XKR X100 Seat  - Mechanism cover - Cream</v>
      </c>
      <c r="E125" s="20">
        <v>3000</v>
      </c>
      <c r="F125" s="20" t="s">
        <v>1182</v>
      </c>
      <c r="H125" s="21">
        <f>PartsMaster!$Q383</f>
        <v>0</v>
      </c>
      <c r="I125" s="20">
        <v>9886</v>
      </c>
      <c r="K125" s="20">
        <v>0</v>
      </c>
      <c r="L125" s="20">
        <v>0</v>
      </c>
      <c r="M125" s="21">
        <f>PartsMaster!$D383</f>
        <v>0</v>
      </c>
      <c r="O125" s="20" t="s">
        <v>1169</v>
      </c>
      <c r="P125" s="23">
        <f>PartsMaster!$S383/1.45</f>
        <v>0</v>
      </c>
      <c r="S125" s="20">
        <v>30</v>
      </c>
      <c r="T125" s="20">
        <v>0</v>
      </c>
      <c r="U125" s="20" t="s">
        <v>1170</v>
      </c>
      <c r="Z125" s="26" t="str">
        <f>"&lt;P&gt;"&amp;PartsMaster!$I383&amp;" "&amp;PartsMaster!$H383&amp;"&lt;/P&gt;"&amp;"&lt;P&gt;Jaguar part name "&amp;PartsMaster!$E383&amp;"&lt;/P&gt;&lt;P&gt;Product numbers "&amp;PartsMaster!R383&amp;" "&amp;DQ125&amp;"&lt;/P&gt;&lt;P&gt;Fits starting from VIN/ModelYear "&amp;PartsMaster!$F383&amp;" until VIN/ModelYear "&amp;PartsMaster!$G383&amp;"&lt;/P&gt;&lt;P&gt;Condition: "&amp;PartsMaster!AB383&amp;"&lt;/P&gt;&lt;P&gt; (part source "&amp;PartsMaster!AD383&amp;")&lt;/P&gt;&lt;P&gt;Notes: "&amp;PartsMaster!AA383&amp;"&lt;/P&gt;"</f>
        <v>&lt;P&gt;Cap / Cover Cap / Cover / Trim&lt;/P&gt;&lt;P&gt;Jaguar part name &lt;/P&gt;&lt;P&gt;Product numbers  0&lt;/P&gt;&lt;P&gt;Fits starting from VIN/ModelYear 0 until VIN/ModelYear 18107&lt;/P&gt;&lt;P&gt;Condition: &lt;/P&gt;&lt;P&gt; (part source )&lt;/P&gt;&lt;P&gt;Notes: &lt;/P&gt;</v>
      </c>
      <c r="AA125" s="20" t="s">
        <v>1171</v>
      </c>
      <c r="AC125" s="20">
        <v>0</v>
      </c>
      <c r="AD125" s="20">
        <v>0</v>
      </c>
      <c r="AE125" s="20" t="s">
        <v>1172</v>
      </c>
      <c r="AF125" s="20">
        <v>7</v>
      </c>
      <c r="AG125" s="20">
        <v>0</v>
      </c>
      <c r="AH125" s="20">
        <v>0</v>
      </c>
      <c r="AI125" s="20">
        <v>0</v>
      </c>
      <c r="AJ125" s="20">
        <v>0</v>
      </c>
      <c r="AK125" s="20">
        <v>0</v>
      </c>
      <c r="AO125" s="20" t="s">
        <v>1173</v>
      </c>
      <c r="AR125" s="20">
        <v>0</v>
      </c>
      <c r="AS125" s="20">
        <v>10112</v>
      </c>
      <c r="AV125" s="20" t="s">
        <v>1174</v>
      </c>
      <c r="AX125" s="20">
        <v>62128510024</v>
      </c>
      <c r="AY125" s="20">
        <v>62035811024</v>
      </c>
      <c r="AZ125" s="20">
        <v>55187694024</v>
      </c>
      <c r="BA125" s="20" t="s">
        <v>1175</v>
      </c>
      <c r="BB125" s="20" t="s">
        <v>1176</v>
      </c>
      <c r="BC125" s="20" t="s">
        <v>1177</v>
      </c>
      <c r="BD125" s="20">
        <v>1</v>
      </c>
      <c r="BE125" s="20">
        <v>0</v>
      </c>
      <c r="BF125" s="20">
        <v>0</v>
      </c>
      <c r="BG125" s="20">
        <v>0</v>
      </c>
      <c r="BN125" s="20" t="s">
        <v>1178</v>
      </c>
      <c r="BV125" s="20">
        <v>0</v>
      </c>
      <c r="CL125" s="20">
        <v>0</v>
      </c>
      <c r="DD125" s="20" t="s">
        <v>1179</v>
      </c>
      <c r="DE125" s="20" t="s">
        <v>1179</v>
      </c>
      <c r="DI125" s="20">
        <v>0</v>
      </c>
      <c r="DP125" s="21" t="s">
        <v>1180</v>
      </c>
      <c r="DQ125" s="21">
        <f>PartsMaster!$A383</f>
        <v>0</v>
      </c>
      <c r="DR125" s="21" t="s">
        <v>1181</v>
      </c>
      <c r="DS125" s="21" t="str">
        <f>PartsMaster!$K384&amp;" "&amp;PartsMaster!L384&amp;" "&amp;PartsMaster!$M384</f>
        <v>Front Right Low</v>
      </c>
    </row>
    <row r="126" spans="1:123" ht="45" hidden="1" x14ac:dyDescent="0.25">
      <c r="A126" s="20" t="s">
        <v>1166</v>
      </c>
      <c r="B126" s="20" t="s">
        <v>1167</v>
      </c>
      <c r="C126" s="20" t="s">
        <v>1168</v>
      </c>
      <c r="D126" s="21" t="str">
        <f>PartsMaster!B121&amp;" "&amp;PartsMaster!$C121</f>
        <v>Jaguar XK8 XKR X100 Seal carrier</v>
      </c>
      <c r="E126" s="20">
        <v>3000</v>
      </c>
      <c r="F126" s="20" t="s">
        <v>1182</v>
      </c>
      <c r="H126" s="21" t="str">
        <f>PartsMaster!$Q121</f>
        <v>Seal carrier</v>
      </c>
      <c r="I126" s="20">
        <v>9886</v>
      </c>
      <c r="K126" s="20">
        <v>0</v>
      </c>
      <c r="L126" s="20">
        <v>0</v>
      </c>
      <c r="M126" s="21">
        <f>PartsMaster!$D121</f>
        <v>1</v>
      </c>
      <c r="O126" s="20" t="s">
        <v>1169</v>
      </c>
      <c r="P126" s="23">
        <f>PartsMaster!$S121/1.45</f>
        <v>0</v>
      </c>
      <c r="S126" s="20">
        <v>30</v>
      </c>
      <c r="T126" s="20">
        <v>0</v>
      </c>
      <c r="U126" s="20" t="s">
        <v>1170</v>
      </c>
      <c r="Z126" s="26" t="str">
        <f>"&lt;P&gt;"&amp;PartsMaster!$I121&amp;" "&amp;PartsMaster!$H121&amp;"&lt;/P&gt;"&amp;"&lt;P&gt;Jaguar part name "&amp;PartsMaster!$E121&amp;"&lt;/P&gt;&lt;P&gt;Product numbers "&amp;PartsMaster!R121&amp;" "&amp;DQ126&amp;"&lt;/P&gt;&lt;P&gt;Fits starting from VIN/ModelYear "&amp;PartsMaster!$F121&amp;" until VIN/ModelYear "&amp;PartsMaster!$G121&amp;"&lt;/P&gt;&lt;P&gt;Condition: "&amp;PartsMaster!AB121&amp;"&lt;/P&gt;&lt;P&gt; (part source "&amp;PartsMaster!AD121&amp;")&lt;/P&gt;&lt;P&gt;Notes: "&amp;PartsMaster!AA121&amp;"&lt;/P&gt;"</f>
        <v>&lt;P&gt;Body sealing / Rear qarter Carrier&lt;/P&gt;&lt;P&gt;Jaguar part name BODY CLOSURES AND SEALINGS/CONVERTABLE REAR QARTER MECHANISM AND SEAL - Seal carrier&lt;/P&gt;&lt;P&gt;Product numbers HJA5762AB HJA5762AB&lt;/P&gt;&lt;P&gt;Fits starting from VIN/ModelYear  until VIN/ModelYear &lt;/P&gt;&lt;P&gt;Condition: Dismantled from bottom &amp; engine damaged MY1997 XK8 Convertible VIN 0136xx&lt;/P&gt;&lt;P&gt; (part source KK)&lt;/P&gt;&lt;P&gt;Notes: Convertible&lt;/P&gt;</v>
      </c>
      <c r="AA126" s="20" t="s">
        <v>1171</v>
      </c>
      <c r="AC126" s="20">
        <v>0</v>
      </c>
      <c r="AD126" s="20">
        <v>0</v>
      </c>
      <c r="AE126" s="20" t="s">
        <v>1172</v>
      </c>
      <c r="AF126" s="20">
        <v>7</v>
      </c>
      <c r="AG126" s="20">
        <v>0</v>
      </c>
      <c r="AH126" s="20">
        <v>0</v>
      </c>
      <c r="AI126" s="20">
        <v>0</v>
      </c>
      <c r="AJ126" s="20">
        <v>0</v>
      </c>
      <c r="AK126" s="20">
        <v>0</v>
      </c>
      <c r="AO126" s="20" t="s">
        <v>1173</v>
      </c>
      <c r="AR126" s="20">
        <v>0</v>
      </c>
      <c r="AS126" s="20">
        <v>10112</v>
      </c>
      <c r="AV126" s="20" t="s">
        <v>1174</v>
      </c>
      <c r="AX126" s="20">
        <v>62128510024</v>
      </c>
      <c r="AY126" s="20">
        <v>62035811024</v>
      </c>
      <c r="AZ126" s="20">
        <v>55187694024</v>
      </c>
      <c r="BA126" s="20" t="s">
        <v>1175</v>
      </c>
      <c r="BB126" s="20" t="s">
        <v>1176</v>
      </c>
      <c r="BC126" s="20" t="s">
        <v>1177</v>
      </c>
      <c r="BD126" s="20">
        <v>1</v>
      </c>
      <c r="BE126" s="20">
        <v>0</v>
      </c>
      <c r="BF126" s="20">
        <v>0</v>
      </c>
      <c r="BG126" s="20">
        <v>0</v>
      </c>
      <c r="BN126" s="20" t="s">
        <v>1178</v>
      </c>
      <c r="BV126" s="20">
        <v>0</v>
      </c>
      <c r="CL126" s="20">
        <v>0</v>
      </c>
      <c r="DD126" s="20" t="s">
        <v>1179</v>
      </c>
      <c r="DE126" s="20" t="s">
        <v>1179</v>
      </c>
      <c r="DI126" s="20">
        <v>0</v>
      </c>
      <c r="DP126" s="21" t="s">
        <v>1180</v>
      </c>
      <c r="DQ126" s="21" t="str">
        <f>PartsMaster!$A121</f>
        <v>HJA5762AB</v>
      </c>
      <c r="DR126" s="21" t="s">
        <v>1181</v>
      </c>
      <c r="DS126" s="21" t="str">
        <f>PartsMaster!$K122&amp;" "&amp;PartsMaster!L122&amp;" "&amp;PartsMaster!$M122</f>
        <v>Front Center NA</v>
      </c>
    </row>
    <row r="127" spans="1:123" ht="45" hidden="1" x14ac:dyDescent="0.25">
      <c r="A127" s="20" t="s">
        <v>1166</v>
      </c>
      <c r="B127" s="20" t="s">
        <v>1167</v>
      </c>
      <c r="C127" s="20" t="s">
        <v>1168</v>
      </c>
      <c r="D127" s="21" t="str">
        <f>PartsMaster!B122&amp;" "&amp;PartsMaster!$C122</f>
        <v>Jaguar XK8 XKR X100 Badge Hood Bonnet 4.0L</v>
      </c>
      <c r="E127" s="20">
        <v>3000</v>
      </c>
      <c r="F127" s="20" t="s">
        <v>1182</v>
      </c>
      <c r="H127" s="21" t="str">
        <f>PartsMaster!$Q122</f>
        <v>BADGE-BONNET</v>
      </c>
      <c r="I127" s="20">
        <v>9886</v>
      </c>
      <c r="K127" s="20">
        <v>0</v>
      </c>
      <c r="L127" s="20">
        <v>0</v>
      </c>
      <c r="M127" s="21">
        <f>PartsMaster!$D122</f>
        <v>0</v>
      </c>
      <c r="O127" s="20" t="s">
        <v>1169</v>
      </c>
      <c r="P127" s="23">
        <f>PartsMaster!$S122/1.45</f>
        <v>0</v>
      </c>
      <c r="S127" s="20">
        <v>30</v>
      </c>
      <c r="T127" s="20">
        <v>0</v>
      </c>
      <c r="U127" s="20" t="s">
        <v>1170</v>
      </c>
      <c r="Z127" s="26" t="str">
        <f>"&lt;P&gt;"&amp;PartsMaster!$I122&amp;" "&amp;PartsMaster!$H122&amp;"&lt;/P&gt;"&amp;"&lt;P&gt;Jaguar part name "&amp;PartsMaster!$E122&amp;"&lt;/P&gt;&lt;P&gt;Product numbers "&amp;PartsMaster!R122&amp;" "&amp;DQ127&amp;"&lt;/P&gt;&lt;P&gt;Fits starting from VIN/ModelYear "&amp;PartsMaster!$F122&amp;" until VIN/ModelYear "&amp;PartsMaster!$G122&amp;"&lt;/P&gt;&lt;P&gt;Condition: "&amp;PartsMaster!AB122&amp;"&lt;/P&gt;&lt;P&gt; (part source "&amp;PartsMaster!AD122&amp;")&lt;/P&gt;&lt;P&gt;Notes: "&amp;PartsMaster!AA122&amp;"&lt;/P&gt;"</f>
        <v>&lt;P&gt; Badge&lt;/P&gt;&lt;P&gt;Jaguar part name Jaguar Hood Bonnet Badge&lt;/P&gt;&lt;P&gt;Product numbers HJA5903AA HJA5903AA&lt;/P&gt;&lt;P&gt;Fits starting from VIN/ModelYear MY97 until VIN/ModelYear &lt;/P&gt;&lt;P&gt;Condition: British Parts&lt;/P&gt;&lt;P&gt; (part source LT)&lt;/P&gt;&lt;P&gt;Notes: &lt;/P&gt;</v>
      </c>
      <c r="AA127" s="20" t="s">
        <v>1171</v>
      </c>
      <c r="AC127" s="20">
        <v>0</v>
      </c>
      <c r="AD127" s="20">
        <v>0</v>
      </c>
      <c r="AE127" s="20" t="s">
        <v>1172</v>
      </c>
      <c r="AF127" s="20">
        <v>7</v>
      </c>
      <c r="AG127" s="20">
        <v>0</v>
      </c>
      <c r="AH127" s="20">
        <v>0</v>
      </c>
      <c r="AI127" s="20">
        <v>0</v>
      </c>
      <c r="AJ127" s="20">
        <v>0</v>
      </c>
      <c r="AK127" s="20">
        <v>0</v>
      </c>
      <c r="AO127" s="20" t="s">
        <v>1173</v>
      </c>
      <c r="AR127" s="20">
        <v>0</v>
      </c>
      <c r="AS127" s="20">
        <v>10112</v>
      </c>
      <c r="AV127" s="20" t="s">
        <v>1174</v>
      </c>
      <c r="AX127" s="20">
        <v>62128510024</v>
      </c>
      <c r="AY127" s="20">
        <v>62035811024</v>
      </c>
      <c r="AZ127" s="20">
        <v>55187694024</v>
      </c>
      <c r="BA127" s="20" t="s">
        <v>1175</v>
      </c>
      <c r="BB127" s="20" t="s">
        <v>1176</v>
      </c>
      <c r="BC127" s="20" t="s">
        <v>1177</v>
      </c>
      <c r="BD127" s="20">
        <v>1</v>
      </c>
      <c r="BE127" s="20">
        <v>0</v>
      </c>
      <c r="BF127" s="20">
        <v>0</v>
      </c>
      <c r="BG127" s="20">
        <v>0</v>
      </c>
      <c r="BN127" s="20" t="s">
        <v>1178</v>
      </c>
      <c r="BV127" s="20">
        <v>0</v>
      </c>
      <c r="CL127" s="20">
        <v>0</v>
      </c>
      <c r="DD127" s="20" t="s">
        <v>1179</v>
      </c>
      <c r="DE127" s="20" t="s">
        <v>1179</v>
      </c>
      <c r="DI127" s="20">
        <v>0</v>
      </c>
      <c r="DP127" s="21" t="s">
        <v>1180</v>
      </c>
      <c r="DQ127" s="21" t="str">
        <f>PartsMaster!$A122</f>
        <v>HJA5903AA</v>
      </c>
      <c r="DR127" s="21" t="s">
        <v>1181</v>
      </c>
      <c r="DS127" s="21" t="str">
        <f>PartsMaster!$K123&amp;" "&amp;PartsMaster!L123&amp;" "&amp;PartsMaster!$M123</f>
        <v>Front Center NA</v>
      </c>
    </row>
    <row r="128" spans="1:123" ht="30" hidden="1" x14ac:dyDescent="0.25">
      <c r="A128" s="20" t="s">
        <v>1166</v>
      </c>
      <c r="B128" s="20" t="s">
        <v>1167</v>
      </c>
      <c r="C128" s="20" t="s">
        <v>1168</v>
      </c>
      <c r="D128" s="21" t="str">
        <f>PartsMaster!B123&amp;" "&amp;PartsMaster!$C123</f>
        <v>Jaguar XK8 XKR X100 Badge Hood Bonnet Supercharged</v>
      </c>
      <c r="E128" s="20">
        <v>3000</v>
      </c>
      <c r="F128" s="20" t="s">
        <v>1182</v>
      </c>
      <c r="H128" s="21" t="str">
        <f>PartsMaster!$Q123</f>
        <v>BADGE-BONNET</v>
      </c>
      <c r="I128" s="20">
        <v>9886</v>
      </c>
      <c r="K128" s="20">
        <v>0</v>
      </c>
      <c r="L128" s="20">
        <v>0</v>
      </c>
      <c r="M128" s="21">
        <f>PartsMaster!$D123</f>
        <v>0</v>
      </c>
      <c r="O128" s="20" t="s">
        <v>1169</v>
      </c>
      <c r="P128" s="23">
        <f>PartsMaster!$S123/1.45</f>
        <v>0</v>
      </c>
      <c r="S128" s="20">
        <v>30</v>
      </c>
      <c r="T128" s="20">
        <v>0</v>
      </c>
      <c r="U128" s="20" t="s">
        <v>1170</v>
      </c>
      <c r="Z128" s="26" t="str">
        <f>"&lt;P&gt;"&amp;PartsMaster!$I123&amp;" "&amp;PartsMaster!$H123&amp;"&lt;/P&gt;"&amp;"&lt;P&gt;Jaguar part name "&amp;PartsMaster!$E123&amp;"&lt;/P&gt;&lt;P&gt;Product numbers "&amp;PartsMaster!R123&amp;" "&amp;DQ128&amp;"&lt;/P&gt;&lt;P&gt;Fits starting from VIN/ModelYear "&amp;PartsMaster!$F123&amp;" until VIN/ModelYear "&amp;PartsMaster!$G123&amp;"&lt;/P&gt;&lt;P&gt;Condition: "&amp;PartsMaster!AB123&amp;"&lt;/P&gt;&lt;P&gt; (part source "&amp;PartsMaster!AD123&amp;")&lt;/P&gt;&lt;P&gt;Notes: "&amp;PartsMaster!AA123&amp;"&lt;/P&gt;"</f>
        <v>&lt;P&gt; Badge&lt;/P&gt;&lt;P&gt;Jaguar part name Jaguar Hood Bonnet Badge&lt;/P&gt;&lt;P&gt;Product numbers HJA5903AA HJA5903AA&lt;/P&gt;&lt;P&gt;Fits starting from VIN/ModelYear MY97 until VIN/ModelYear &lt;/P&gt;&lt;P&gt;Condition: British Parts&lt;/P&gt;&lt;P&gt; (part source )&lt;/P&gt;&lt;P&gt;Notes: &lt;/P&gt;</v>
      </c>
      <c r="AA128" s="20" t="s">
        <v>1171</v>
      </c>
      <c r="AC128" s="20">
        <v>0</v>
      </c>
      <c r="AD128" s="20">
        <v>0</v>
      </c>
      <c r="AE128" s="20" t="s">
        <v>1172</v>
      </c>
      <c r="AF128" s="20">
        <v>7</v>
      </c>
      <c r="AG128" s="20">
        <v>0</v>
      </c>
      <c r="AH128" s="20">
        <v>0</v>
      </c>
      <c r="AI128" s="20">
        <v>0</v>
      </c>
      <c r="AJ128" s="20">
        <v>0</v>
      </c>
      <c r="AK128" s="20">
        <v>0</v>
      </c>
      <c r="AO128" s="20" t="s">
        <v>1173</v>
      </c>
      <c r="AR128" s="20">
        <v>0</v>
      </c>
      <c r="AS128" s="20">
        <v>10112</v>
      </c>
      <c r="AV128" s="20" t="s">
        <v>1174</v>
      </c>
      <c r="AX128" s="20">
        <v>62128510024</v>
      </c>
      <c r="AY128" s="20">
        <v>62035811024</v>
      </c>
      <c r="AZ128" s="20">
        <v>55187694024</v>
      </c>
      <c r="BA128" s="20" t="s">
        <v>1175</v>
      </c>
      <c r="BB128" s="20" t="s">
        <v>1176</v>
      </c>
      <c r="BC128" s="20" t="s">
        <v>1177</v>
      </c>
      <c r="BD128" s="20">
        <v>1</v>
      </c>
      <c r="BE128" s="20">
        <v>0</v>
      </c>
      <c r="BF128" s="20">
        <v>0</v>
      </c>
      <c r="BG128" s="20">
        <v>0</v>
      </c>
      <c r="BN128" s="20" t="s">
        <v>1178</v>
      </c>
      <c r="BV128" s="20">
        <v>0</v>
      </c>
      <c r="CL128" s="20">
        <v>0</v>
      </c>
      <c r="DD128" s="20" t="s">
        <v>1179</v>
      </c>
      <c r="DE128" s="20" t="s">
        <v>1179</v>
      </c>
      <c r="DI128" s="20">
        <v>0</v>
      </c>
      <c r="DP128" s="21" t="s">
        <v>1180</v>
      </c>
      <c r="DQ128" s="21" t="str">
        <f>PartsMaster!$A123</f>
        <v>HJA5903AA</v>
      </c>
      <c r="DR128" s="21" t="s">
        <v>1181</v>
      </c>
      <c r="DS128" s="21" t="str">
        <f>PartsMaster!$K124&amp;" "&amp;PartsMaster!L124&amp;" "&amp;PartsMaster!$M124</f>
        <v xml:space="preserve">Rear Right </v>
      </c>
    </row>
    <row r="129" spans="1:123" ht="45" hidden="1" x14ac:dyDescent="0.25">
      <c r="A129" s="20" t="s">
        <v>1166</v>
      </c>
      <c r="B129" s="20" t="s">
        <v>1167</v>
      </c>
      <c r="C129" s="20" t="s">
        <v>1168</v>
      </c>
      <c r="D129" s="21" t="str">
        <f>PartsMaster!B124&amp;" "&amp;PartsMaster!$C124</f>
        <v>Jaguar XK8 XKR X100 Badge - XK8</v>
      </c>
      <c r="E129" s="20">
        <v>3000</v>
      </c>
      <c r="F129" s="20" t="s">
        <v>1182</v>
      </c>
      <c r="H129" s="21">
        <f>PartsMaster!$Q124</f>
        <v>0</v>
      </c>
      <c r="I129" s="20">
        <v>9886</v>
      </c>
      <c r="K129" s="20">
        <v>0</v>
      </c>
      <c r="L129" s="20">
        <v>0</v>
      </c>
      <c r="M129" s="21">
        <f>PartsMaster!$D124</f>
        <v>0</v>
      </c>
      <c r="O129" s="20" t="s">
        <v>1169</v>
      </c>
      <c r="P129" s="23">
        <f>PartsMaster!$S124/1.45</f>
        <v>0</v>
      </c>
      <c r="S129" s="20">
        <v>30</v>
      </c>
      <c r="T129" s="20">
        <v>0</v>
      </c>
      <c r="U129" s="20" t="s">
        <v>1170</v>
      </c>
      <c r="Z129" s="26" t="str">
        <f>"&lt;P&gt;"&amp;PartsMaster!$I124&amp;" "&amp;PartsMaster!$H124&amp;"&lt;/P&gt;"&amp;"&lt;P&gt;Jaguar part name "&amp;PartsMaster!$E124&amp;"&lt;/P&gt;&lt;P&gt;Product numbers "&amp;PartsMaster!R124&amp;" "&amp;DQ129&amp;"&lt;/P&gt;&lt;P&gt;Fits starting from VIN/ModelYear "&amp;PartsMaster!$F124&amp;" until VIN/ModelYear "&amp;PartsMaster!$G124&amp;"&lt;/P&gt;&lt;P&gt;Condition: "&amp;PartsMaster!AB124&amp;"&lt;/P&gt;&lt;P&gt; (part source "&amp;PartsMaster!AD124&amp;")&lt;/P&gt;&lt;P&gt;Notes: "&amp;PartsMaster!AA124&amp;"&lt;/P&gt;"</f>
        <v>&lt;P&gt; Badge&lt;/P&gt;&lt;P&gt;Jaguar part name Nameplate (Adhesive) - XK8&lt;/P&gt;&lt;P&gt;Product numbers  HJA5980BA&lt;/P&gt;&lt;P&gt;Fits starting from VIN/ModelYear MY1997 until VIN/ModelYear 24686&lt;/P&gt;&lt;P&gt;Condition: &lt;/P&gt;&lt;P&gt; (part source )&lt;/P&gt;&lt;P&gt;Notes: &lt;/P&gt;</v>
      </c>
      <c r="AA129" s="20" t="s">
        <v>1171</v>
      </c>
      <c r="AC129" s="20">
        <v>0</v>
      </c>
      <c r="AD129" s="20">
        <v>0</v>
      </c>
      <c r="AE129" s="20" t="s">
        <v>1172</v>
      </c>
      <c r="AF129" s="20">
        <v>7</v>
      </c>
      <c r="AG129" s="20">
        <v>0</v>
      </c>
      <c r="AH129" s="20">
        <v>0</v>
      </c>
      <c r="AI129" s="20">
        <v>0</v>
      </c>
      <c r="AJ129" s="20">
        <v>0</v>
      </c>
      <c r="AK129" s="20">
        <v>0</v>
      </c>
      <c r="AO129" s="20" t="s">
        <v>1173</v>
      </c>
      <c r="AR129" s="20">
        <v>0</v>
      </c>
      <c r="AS129" s="20">
        <v>10112</v>
      </c>
      <c r="AV129" s="20" t="s">
        <v>1174</v>
      </c>
      <c r="AX129" s="20">
        <v>62128510024</v>
      </c>
      <c r="AY129" s="20">
        <v>62035811024</v>
      </c>
      <c r="AZ129" s="20">
        <v>55187694024</v>
      </c>
      <c r="BA129" s="20" t="s">
        <v>1175</v>
      </c>
      <c r="BB129" s="20" t="s">
        <v>1176</v>
      </c>
      <c r="BC129" s="20" t="s">
        <v>1177</v>
      </c>
      <c r="BD129" s="20">
        <v>1</v>
      </c>
      <c r="BE129" s="20">
        <v>0</v>
      </c>
      <c r="BF129" s="20">
        <v>0</v>
      </c>
      <c r="BG129" s="20">
        <v>0</v>
      </c>
      <c r="BN129" s="20" t="s">
        <v>1178</v>
      </c>
      <c r="BV129" s="20">
        <v>0</v>
      </c>
      <c r="CL129" s="20">
        <v>0</v>
      </c>
      <c r="DD129" s="20" t="s">
        <v>1179</v>
      </c>
      <c r="DE129" s="20" t="s">
        <v>1179</v>
      </c>
      <c r="DI129" s="20">
        <v>0</v>
      </c>
      <c r="DP129" s="21" t="s">
        <v>1180</v>
      </c>
      <c r="DQ129" s="21" t="str">
        <f>PartsMaster!$A124</f>
        <v>HJA5980BA</v>
      </c>
      <c r="DR129" s="21" t="s">
        <v>1181</v>
      </c>
      <c r="DS129" s="21" t="str">
        <f>PartsMaster!$K125&amp;" "&amp;PartsMaster!L125&amp;" "&amp;PartsMaster!$M125</f>
        <v xml:space="preserve">Rear Left </v>
      </c>
    </row>
    <row r="130" spans="1:123" ht="30" hidden="1" x14ac:dyDescent="0.25">
      <c r="A130" s="20" t="s">
        <v>1166</v>
      </c>
      <c r="B130" s="20" t="s">
        <v>1167</v>
      </c>
      <c r="C130" s="20" t="s">
        <v>1168</v>
      </c>
      <c r="D130" s="21" t="str">
        <f>PartsMaster!B125&amp;" "&amp;PartsMaster!$C125</f>
        <v>Jaguar XK8 XKR X100 Badge - Jaguar</v>
      </c>
      <c r="E130" s="20">
        <v>3000</v>
      </c>
      <c r="F130" s="20" t="s">
        <v>1182</v>
      </c>
      <c r="H130" s="21">
        <f>PartsMaster!$Q125</f>
        <v>0</v>
      </c>
      <c r="I130" s="20">
        <v>9886</v>
      </c>
      <c r="K130" s="20">
        <v>0</v>
      </c>
      <c r="L130" s="20">
        <v>0</v>
      </c>
      <c r="M130" s="21">
        <f>PartsMaster!$D125</f>
        <v>1</v>
      </c>
      <c r="O130" s="20" t="s">
        <v>1169</v>
      </c>
      <c r="P130" s="23">
        <f>PartsMaster!$S125/1.45</f>
        <v>17.241379310344829</v>
      </c>
      <c r="S130" s="20">
        <v>30</v>
      </c>
      <c r="T130" s="20">
        <v>0</v>
      </c>
      <c r="U130" s="20" t="s">
        <v>1170</v>
      </c>
      <c r="Z130" s="26" t="str">
        <f>"&lt;P&gt;"&amp;PartsMaster!$I125&amp;" "&amp;PartsMaster!$H125&amp;"&lt;/P&gt;"&amp;"&lt;P&gt;Jaguar part name "&amp;PartsMaster!$E125&amp;"&lt;/P&gt;&lt;P&gt;Product numbers "&amp;PartsMaster!R125&amp;" "&amp;DQ130&amp;"&lt;/P&gt;&lt;P&gt;Fits starting from VIN/ModelYear "&amp;PartsMaster!$F125&amp;" until VIN/ModelYear "&amp;PartsMaster!$G125&amp;"&lt;/P&gt;&lt;P&gt;Condition: "&amp;PartsMaster!AB125&amp;"&lt;/P&gt;&lt;P&gt; (part source "&amp;PartsMaster!AD125&amp;")&lt;/P&gt;&lt;P&gt;Notes: "&amp;PartsMaster!AA125&amp;"&lt;/P&gt;"</f>
        <v>&lt;P&gt; Badge&lt;/P&gt;&lt;P&gt;Jaguar part name Nameplate (Adhesive) - Jaguar&lt;/P&gt;&lt;P&gt;Product numbers  HJA5981AA&lt;/P&gt;&lt;P&gt;Fits starting from VIN/ModelYear MY1997 until VIN/ModelYear 24686&lt;/P&gt;&lt;P&gt;Condition: Extra Spare&lt;/P&gt;&lt;P&gt; (part source JP)&lt;/P&gt;&lt;P&gt;Notes: Slightly crached&lt;/P&gt;</v>
      </c>
      <c r="AA130" s="20" t="s">
        <v>1171</v>
      </c>
      <c r="AC130" s="20">
        <v>0</v>
      </c>
      <c r="AD130" s="20">
        <v>0</v>
      </c>
      <c r="AE130" s="20" t="s">
        <v>1172</v>
      </c>
      <c r="AF130" s="20">
        <v>7</v>
      </c>
      <c r="AG130" s="20">
        <v>0</v>
      </c>
      <c r="AH130" s="20">
        <v>0</v>
      </c>
      <c r="AI130" s="20">
        <v>0</v>
      </c>
      <c r="AJ130" s="20">
        <v>0</v>
      </c>
      <c r="AK130" s="20">
        <v>0</v>
      </c>
      <c r="AO130" s="20" t="s">
        <v>1173</v>
      </c>
      <c r="AR130" s="20">
        <v>0</v>
      </c>
      <c r="AS130" s="20">
        <v>10112</v>
      </c>
      <c r="AV130" s="20" t="s">
        <v>1174</v>
      </c>
      <c r="AX130" s="20">
        <v>62128510024</v>
      </c>
      <c r="AY130" s="20">
        <v>62035811024</v>
      </c>
      <c r="AZ130" s="20">
        <v>55187694024</v>
      </c>
      <c r="BA130" s="20" t="s">
        <v>1175</v>
      </c>
      <c r="BB130" s="20" t="s">
        <v>1176</v>
      </c>
      <c r="BC130" s="20" t="s">
        <v>1177</v>
      </c>
      <c r="BD130" s="20">
        <v>1</v>
      </c>
      <c r="BE130" s="20">
        <v>0</v>
      </c>
      <c r="BF130" s="20">
        <v>0</v>
      </c>
      <c r="BG130" s="20">
        <v>0</v>
      </c>
      <c r="BN130" s="20" t="s">
        <v>1178</v>
      </c>
      <c r="BV130" s="20">
        <v>0</v>
      </c>
      <c r="CL130" s="20">
        <v>0</v>
      </c>
      <c r="DD130" s="20" t="s">
        <v>1179</v>
      </c>
      <c r="DE130" s="20" t="s">
        <v>1179</v>
      </c>
      <c r="DI130" s="20">
        <v>0</v>
      </c>
      <c r="DP130" s="21" t="s">
        <v>1180</v>
      </c>
      <c r="DQ130" s="21" t="str">
        <f>PartsMaster!$A125</f>
        <v>HJA5981AA</v>
      </c>
      <c r="DR130" s="21" t="s">
        <v>1181</v>
      </c>
      <c r="DS130" s="21" t="str">
        <f>PartsMaster!$K126&amp;" "&amp;PartsMaster!L126&amp;" "&amp;PartsMaster!$M126</f>
        <v>Front Center Bottom</v>
      </c>
    </row>
    <row r="131" spans="1:123" ht="30" hidden="1" x14ac:dyDescent="0.25">
      <c r="A131" s="20" t="s">
        <v>1166</v>
      </c>
      <c r="B131" s="20" t="s">
        <v>1167</v>
      </c>
      <c r="C131" s="20" t="s">
        <v>1168</v>
      </c>
      <c r="D131" s="21" t="str">
        <f>PartsMaster!B126&amp;" "&amp;PartsMaster!$C126</f>
        <v>Jaguar XK8 XKR X100 Splitter vane</v>
      </c>
      <c r="E131" s="20">
        <v>3000</v>
      </c>
      <c r="F131" s="20" t="s">
        <v>1182</v>
      </c>
      <c r="H131" s="21" t="str">
        <f>PartsMaster!$Q126</f>
        <v>Splitter vane</v>
      </c>
      <c r="I131" s="20">
        <v>9886</v>
      </c>
      <c r="K131" s="20">
        <v>0</v>
      </c>
      <c r="L131" s="20">
        <v>0</v>
      </c>
      <c r="M131" s="21">
        <f>PartsMaster!$D126</f>
        <v>1</v>
      </c>
      <c r="O131" s="20" t="s">
        <v>1169</v>
      </c>
      <c r="P131" s="23">
        <f>PartsMaster!$S126/1.45</f>
        <v>0</v>
      </c>
      <c r="S131" s="20">
        <v>30</v>
      </c>
      <c r="T131" s="20">
        <v>0</v>
      </c>
      <c r="U131" s="20" t="s">
        <v>1170</v>
      </c>
      <c r="Z131" s="26" t="str">
        <f>"&lt;P&gt;"&amp;PartsMaster!$I126&amp;" "&amp;PartsMaster!$H126&amp;"&lt;/P&gt;"&amp;"&lt;P&gt;Jaguar part name "&amp;PartsMaster!$E126&amp;"&lt;/P&gt;&lt;P&gt;Product numbers "&amp;PartsMaster!R126&amp;" "&amp;DQ131&amp;"&lt;/P&gt;&lt;P&gt;Fits starting from VIN/ModelYear "&amp;PartsMaster!$F126&amp;" until VIN/ModelYear "&amp;PartsMaster!$G126&amp;"&lt;/P&gt;&lt;P&gt;Condition: "&amp;PartsMaster!AB126&amp;"&lt;/P&gt;&lt;P&gt; (part source "&amp;PartsMaster!AD126&amp;")&lt;/P&gt;&lt;P&gt;Notes: "&amp;PartsMaster!AA126&amp;"&lt;/P&gt;"</f>
        <v>&lt;P&gt;Trim Exterior finisher&lt;/P&gt;&lt;P&gt;Jaguar part name EXTERIOR FITTINGS AND SUNROOF/FRONT BUMPERS - Splitter vane&lt;/P&gt;&lt;P&gt;Product numbers HJA6451BC HJA6451BC&lt;/P&gt;&lt;P&gt;Fits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131" s="20" t="s">
        <v>1171</v>
      </c>
      <c r="AC131" s="20">
        <v>0</v>
      </c>
      <c r="AD131" s="20">
        <v>0</v>
      </c>
      <c r="AE131" s="20" t="s">
        <v>1172</v>
      </c>
      <c r="AF131" s="20">
        <v>7</v>
      </c>
      <c r="AG131" s="20">
        <v>0</v>
      </c>
      <c r="AH131" s="20">
        <v>0</v>
      </c>
      <c r="AI131" s="20">
        <v>0</v>
      </c>
      <c r="AJ131" s="20">
        <v>0</v>
      </c>
      <c r="AK131" s="20">
        <v>0</v>
      </c>
      <c r="AO131" s="20" t="s">
        <v>1173</v>
      </c>
      <c r="AR131" s="20">
        <v>0</v>
      </c>
      <c r="AS131" s="20">
        <v>10112</v>
      </c>
      <c r="AV131" s="20" t="s">
        <v>1174</v>
      </c>
      <c r="AX131" s="20">
        <v>62128510024</v>
      </c>
      <c r="AY131" s="20">
        <v>62035811024</v>
      </c>
      <c r="AZ131" s="20">
        <v>55187694024</v>
      </c>
      <c r="BA131" s="20" t="s">
        <v>1175</v>
      </c>
      <c r="BB131" s="20" t="s">
        <v>1176</v>
      </c>
      <c r="BC131" s="20" t="s">
        <v>1177</v>
      </c>
      <c r="BD131" s="20">
        <v>1</v>
      </c>
      <c r="BE131" s="20">
        <v>0</v>
      </c>
      <c r="BF131" s="20">
        <v>0</v>
      </c>
      <c r="BG131" s="20">
        <v>0</v>
      </c>
      <c r="BN131" s="20" t="s">
        <v>1178</v>
      </c>
      <c r="BV131" s="20">
        <v>0</v>
      </c>
      <c r="CL131" s="20">
        <v>0</v>
      </c>
      <c r="DD131" s="20" t="s">
        <v>1179</v>
      </c>
      <c r="DE131" s="20" t="s">
        <v>1179</v>
      </c>
      <c r="DI131" s="20">
        <v>0</v>
      </c>
      <c r="DP131" s="21" t="s">
        <v>1180</v>
      </c>
      <c r="DQ131" s="21" t="str">
        <f>PartsMaster!$A126</f>
        <v>HJA6451BC</v>
      </c>
      <c r="DR131" s="21" t="s">
        <v>1181</v>
      </c>
      <c r="DS131" s="21" t="str">
        <f>PartsMaster!$K127&amp;" "&amp;PartsMaster!L127&amp;" "&amp;PartsMaster!$M127</f>
        <v>Center Right Top</v>
      </c>
    </row>
    <row r="132" spans="1:123" ht="30" hidden="1" x14ac:dyDescent="0.25">
      <c r="A132" s="20" t="s">
        <v>1166</v>
      </c>
      <c r="B132" s="20" t="s">
        <v>1167</v>
      </c>
      <c r="C132" s="20" t="s">
        <v>1168</v>
      </c>
      <c r="D132" s="21" t="str">
        <f>PartsMaster!B127&amp;" "&amp;PartsMaster!$C127</f>
        <v>Jaguar XK8 XKR X100 Hood hinge</v>
      </c>
      <c r="E132" s="20">
        <v>3000</v>
      </c>
      <c r="F132" s="20" t="s">
        <v>1182</v>
      </c>
      <c r="H132" s="21" t="str">
        <f>PartsMaster!$Q127</f>
        <v>Hood frame</v>
      </c>
      <c r="I132" s="20">
        <v>9886</v>
      </c>
      <c r="K132" s="20">
        <v>0</v>
      </c>
      <c r="L132" s="20">
        <v>0</v>
      </c>
      <c r="M132" s="21">
        <f>PartsMaster!$D127</f>
        <v>1</v>
      </c>
      <c r="O132" s="20" t="s">
        <v>1169</v>
      </c>
      <c r="P132" s="23">
        <f>PartsMaster!$S127/1.45</f>
        <v>65.517241379310349</v>
      </c>
      <c r="S132" s="20">
        <v>30</v>
      </c>
      <c r="T132" s="20">
        <v>0</v>
      </c>
      <c r="U132" s="20" t="s">
        <v>1170</v>
      </c>
      <c r="Z132" s="26" t="str">
        <f>"&lt;P&gt;"&amp;PartsMaster!$I127&amp;" "&amp;PartsMaster!$H127&amp;"&lt;/P&gt;"&amp;"&lt;P&gt;Jaguar part name "&amp;PartsMaster!$E127&amp;"&lt;/P&gt;&lt;P&gt;Product numbers "&amp;PartsMaster!R127&amp;" "&amp;DQ132&amp;"&lt;/P&gt;&lt;P&gt;Fits starting from VIN/ModelYear "&amp;PartsMaster!$F127&amp;" until VIN/ModelYear "&amp;PartsMaster!$G127&amp;"&lt;/P&gt;&lt;P&gt;Condition: "&amp;PartsMaster!AB127&amp;"&lt;/P&gt;&lt;P&gt; (part source "&amp;PartsMaster!AD127&amp;")&lt;/P&gt;&lt;P&gt;Notes: "&amp;PartsMaster!AA127&amp;"&lt;/P&gt;"</f>
        <v>&lt;P&gt;Hood frame Hood / Convertible Top&lt;/P&gt;&lt;P&gt;Jaguar part name BODY CLOSURES AND SEALING/CONVERTABLE HOOD AND SEALS&lt;/P&gt;&lt;P&gt;Product numbers HJA6714AB-R HJA6714AB-R&lt;/P&gt;&lt;P&gt;Fits starting from VIN/ModelYear  until VIN/ModelYear &lt;/P&gt;&lt;P&gt;Condition: Dismantled from bottom &amp; engine damaged MY1997 XK8 Convertible VIN 0136xx&lt;/P&gt;&lt;P&gt; (part source KK)&lt;/P&gt;&lt;P&gt;Notes: Convertable&lt;/P&gt;</v>
      </c>
      <c r="AA132" s="20" t="s">
        <v>1171</v>
      </c>
      <c r="AC132" s="20">
        <v>0</v>
      </c>
      <c r="AD132" s="20">
        <v>0</v>
      </c>
      <c r="AE132" s="20" t="s">
        <v>1172</v>
      </c>
      <c r="AF132" s="20">
        <v>7</v>
      </c>
      <c r="AG132" s="20">
        <v>0</v>
      </c>
      <c r="AH132" s="20">
        <v>0</v>
      </c>
      <c r="AI132" s="20">
        <v>0</v>
      </c>
      <c r="AJ132" s="20">
        <v>0</v>
      </c>
      <c r="AK132" s="20">
        <v>0</v>
      </c>
      <c r="AO132" s="20" t="s">
        <v>1173</v>
      </c>
      <c r="AR132" s="20">
        <v>0</v>
      </c>
      <c r="AS132" s="20">
        <v>10112</v>
      </c>
      <c r="AV132" s="20" t="s">
        <v>1174</v>
      </c>
      <c r="AX132" s="20">
        <v>62128510024</v>
      </c>
      <c r="AY132" s="20">
        <v>62035811024</v>
      </c>
      <c r="AZ132" s="20">
        <v>55187694024</v>
      </c>
      <c r="BA132" s="20" t="s">
        <v>1175</v>
      </c>
      <c r="BB132" s="20" t="s">
        <v>1176</v>
      </c>
      <c r="BC132" s="20" t="s">
        <v>1177</v>
      </c>
      <c r="BD132" s="20">
        <v>1</v>
      </c>
      <c r="BE132" s="20">
        <v>0</v>
      </c>
      <c r="BF132" s="20">
        <v>0</v>
      </c>
      <c r="BG132" s="20">
        <v>0</v>
      </c>
      <c r="BN132" s="20" t="s">
        <v>1178</v>
      </c>
      <c r="BV132" s="20">
        <v>0</v>
      </c>
      <c r="CL132" s="20">
        <v>0</v>
      </c>
      <c r="DD132" s="20" t="s">
        <v>1179</v>
      </c>
      <c r="DE132" s="20" t="s">
        <v>1179</v>
      </c>
      <c r="DI132" s="20">
        <v>0</v>
      </c>
      <c r="DP132" s="21" t="s">
        <v>1180</v>
      </c>
      <c r="DQ132" s="21" t="str">
        <f>PartsMaster!$A127</f>
        <v>HJA6714AB-R</v>
      </c>
      <c r="DR132" s="21" t="s">
        <v>1181</v>
      </c>
      <c r="DS132" s="21" t="str">
        <f>PartsMaster!$K128&amp;" "&amp;PartsMaster!L128&amp;" "&amp;PartsMaster!$M128</f>
        <v>Center Left Top</v>
      </c>
    </row>
    <row r="133" spans="1:123" ht="30" hidden="1" x14ac:dyDescent="0.25">
      <c r="A133" s="20" t="s">
        <v>1166</v>
      </c>
      <c r="B133" s="20" t="s">
        <v>1167</v>
      </c>
      <c r="C133" s="20" t="s">
        <v>1168</v>
      </c>
      <c r="D133" s="21" t="str">
        <f>PartsMaster!B128&amp;" "&amp;PartsMaster!$C128</f>
        <v>Jaguar XK8 XKR X100 Hood hinge</v>
      </c>
      <c r="E133" s="20">
        <v>3000</v>
      </c>
      <c r="F133" s="20" t="s">
        <v>1182</v>
      </c>
      <c r="H133" s="21" t="str">
        <f>PartsMaster!$Q128</f>
        <v>Hood frame</v>
      </c>
      <c r="I133" s="20">
        <v>9886</v>
      </c>
      <c r="K133" s="20">
        <v>0</v>
      </c>
      <c r="L133" s="20">
        <v>0</v>
      </c>
      <c r="M133" s="21">
        <f>PartsMaster!$D128</f>
        <v>1</v>
      </c>
      <c r="O133" s="20" t="s">
        <v>1169</v>
      </c>
      <c r="P133" s="23">
        <f>PartsMaster!$S128/1.45</f>
        <v>65.517241379310349</v>
      </c>
      <c r="S133" s="20">
        <v>30</v>
      </c>
      <c r="T133" s="20">
        <v>0</v>
      </c>
      <c r="U133" s="20" t="s">
        <v>1170</v>
      </c>
      <c r="Z133" s="26" t="str">
        <f>"&lt;P&gt;"&amp;PartsMaster!$I128&amp;" "&amp;PartsMaster!$H128&amp;"&lt;/P&gt;"&amp;"&lt;P&gt;Jaguar part name "&amp;PartsMaster!$E128&amp;"&lt;/P&gt;&lt;P&gt;Product numbers "&amp;PartsMaster!R128&amp;" "&amp;DQ133&amp;"&lt;/P&gt;&lt;P&gt;Fits starting from VIN/ModelYear "&amp;PartsMaster!$F128&amp;" until VIN/ModelYear "&amp;PartsMaster!$G128&amp;"&lt;/P&gt;&lt;P&gt;Condition: "&amp;PartsMaster!AB128&amp;"&lt;/P&gt;&lt;P&gt; (part source "&amp;PartsMaster!AD128&amp;")&lt;/P&gt;&lt;P&gt;Notes: "&amp;PartsMaster!AA128&amp;"&lt;/P&gt;"</f>
        <v>&lt;P&gt;Hood frame Hood / Convertible Top&lt;/P&gt;&lt;P&gt;Jaguar part name BODY CLOSURES AND SEALING/CONVERTABLE HOOD AND SEALS&lt;/P&gt;&lt;P&gt;Product numbers HJA6715AD-L HJA6715AD-L&lt;/P&gt;&lt;P&gt;Fits starting from VIN/ModelYear  until VIN/ModelYear &lt;/P&gt;&lt;P&gt;Condition: Dismantled from bottom &amp; engine damaged MY1997 XK8 Convertible VIN 0136xx&lt;/P&gt;&lt;P&gt; (part source KK)&lt;/P&gt;&lt;P&gt;Notes: Convertable&lt;/P&gt;</v>
      </c>
      <c r="AA133" s="20" t="s">
        <v>1171</v>
      </c>
      <c r="AC133" s="20">
        <v>0</v>
      </c>
      <c r="AD133" s="20">
        <v>0</v>
      </c>
      <c r="AE133" s="20" t="s">
        <v>1172</v>
      </c>
      <c r="AF133" s="20">
        <v>7</v>
      </c>
      <c r="AG133" s="20">
        <v>0</v>
      </c>
      <c r="AH133" s="20">
        <v>0</v>
      </c>
      <c r="AI133" s="20">
        <v>0</v>
      </c>
      <c r="AJ133" s="20">
        <v>0</v>
      </c>
      <c r="AK133" s="20">
        <v>0</v>
      </c>
      <c r="AO133" s="20" t="s">
        <v>1173</v>
      </c>
      <c r="AR133" s="20">
        <v>0</v>
      </c>
      <c r="AS133" s="20">
        <v>10112</v>
      </c>
      <c r="AV133" s="20" t="s">
        <v>1174</v>
      </c>
      <c r="AX133" s="20">
        <v>62128510024</v>
      </c>
      <c r="AY133" s="20">
        <v>62035811024</v>
      </c>
      <c r="AZ133" s="20">
        <v>55187694024</v>
      </c>
      <c r="BA133" s="20" t="s">
        <v>1175</v>
      </c>
      <c r="BB133" s="20" t="s">
        <v>1176</v>
      </c>
      <c r="BC133" s="20" t="s">
        <v>1177</v>
      </c>
      <c r="BD133" s="20">
        <v>1</v>
      </c>
      <c r="BE133" s="20">
        <v>0</v>
      </c>
      <c r="BF133" s="20">
        <v>0</v>
      </c>
      <c r="BG133" s="20">
        <v>0</v>
      </c>
      <c r="BN133" s="20" t="s">
        <v>1178</v>
      </c>
      <c r="BV133" s="20">
        <v>0</v>
      </c>
      <c r="CL133" s="20">
        <v>0</v>
      </c>
      <c r="DD133" s="20" t="s">
        <v>1179</v>
      </c>
      <c r="DE133" s="20" t="s">
        <v>1179</v>
      </c>
      <c r="DI133" s="20">
        <v>0</v>
      </c>
      <c r="DP133" s="21" t="s">
        <v>1180</v>
      </c>
      <c r="DQ133" s="21" t="str">
        <f>PartsMaster!$A128</f>
        <v>HJA6715AD-L</v>
      </c>
      <c r="DR133" s="21" t="s">
        <v>1181</v>
      </c>
      <c r="DS133" s="21" t="str">
        <f>PartsMaster!$K129&amp;" "&amp;PartsMaster!L129&amp;" "&amp;PartsMaster!$M129</f>
        <v>Front Left/Right Top</v>
      </c>
    </row>
    <row r="134" spans="1:123" ht="30" hidden="1" x14ac:dyDescent="0.25">
      <c r="A134" s="20" t="s">
        <v>1166</v>
      </c>
      <c r="B134" s="20" t="s">
        <v>1167</v>
      </c>
      <c r="C134" s="20" t="s">
        <v>1168</v>
      </c>
      <c r="D134" s="21" t="str">
        <f>PartsMaster!B129&amp;" "&amp;PartsMaster!$C129</f>
        <v>Jaguar XK8 XKR X100 Seatbelt Front - Topmount plastic cover trim</v>
      </c>
      <c r="E134" s="20">
        <v>3000</v>
      </c>
      <c r="F134" s="20" t="s">
        <v>1182</v>
      </c>
      <c r="H134" s="21">
        <f>PartsMaster!$Q129</f>
        <v>0</v>
      </c>
      <c r="I134" s="20">
        <v>9886</v>
      </c>
      <c r="K134" s="20">
        <v>0</v>
      </c>
      <c r="L134" s="20">
        <v>0</v>
      </c>
      <c r="M134" s="21">
        <f>PartsMaster!$D129</f>
        <v>0</v>
      </c>
      <c r="O134" s="20" t="s">
        <v>1169</v>
      </c>
      <c r="P134" s="23">
        <f>PartsMaster!$S129/1.45</f>
        <v>0</v>
      </c>
      <c r="S134" s="20">
        <v>30</v>
      </c>
      <c r="T134" s="20">
        <v>0</v>
      </c>
      <c r="U134" s="20" t="s">
        <v>1170</v>
      </c>
      <c r="Z134" s="26" t="str">
        <f>"&lt;P&gt;"&amp;PartsMaster!$I129&amp;" "&amp;PartsMaster!$H129&amp;"&lt;/P&gt;"&amp;"&lt;P&gt;Jaguar part name "&amp;PartsMaster!$E129&amp;"&lt;/P&gt;&lt;P&gt;Product numbers "&amp;PartsMaster!R129&amp;" "&amp;DQ134&amp;"&lt;/P&gt;&lt;P&gt;Fits starting from VIN/ModelYear "&amp;PartsMaster!$F129&amp;" until VIN/ModelYear "&amp;PartsMaster!$G129&amp;"&lt;/P&gt;&lt;P&gt;Condition: "&amp;PartsMaster!AB129&amp;"&lt;/P&gt;&lt;P&gt; (part source "&amp;PartsMaster!AD129&amp;")&lt;/P&gt;&lt;P&gt;Notes: "&amp;PartsMaster!AA129&amp;"&lt;/P&gt;"</f>
        <v>&lt;P&gt;Cap / Cover Cap / Cover / Trim&lt;/P&gt;&lt;P&gt;Jaguar part name Seatbelt Cap&lt;/P&gt;&lt;P&gt;Product numbers  HJA7150AAAEK  (superceded)&lt;/P&gt;&lt;P&gt;Fits starting from VIN/ModelYear 0 until VIN/ModelYear 19228&lt;/P&gt;&lt;P&gt;Condition: &lt;/P&gt;&lt;P&gt; (part source )&lt;/P&gt;&lt;P&gt;Notes: &lt;/P&gt;</v>
      </c>
      <c r="AA134" s="20" t="s">
        <v>1171</v>
      </c>
      <c r="AC134" s="20">
        <v>0</v>
      </c>
      <c r="AD134" s="20">
        <v>0</v>
      </c>
      <c r="AE134" s="20" t="s">
        <v>1172</v>
      </c>
      <c r="AF134" s="20">
        <v>7</v>
      </c>
      <c r="AG134" s="20">
        <v>0</v>
      </c>
      <c r="AH134" s="20">
        <v>0</v>
      </c>
      <c r="AI134" s="20">
        <v>0</v>
      </c>
      <c r="AJ134" s="20">
        <v>0</v>
      </c>
      <c r="AK134" s="20">
        <v>0</v>
      </c>
      <c r="AO134" s="20" t="s">
        <v>1173</v>
      </c>
      <c r="AR134" s="20">
        <v>0</v>
      </c>
      <c r="AS134" s="20">
        <v>10112</v>
      </c>
      <c r="AV134" s="20" t="s">
        <v>1174</v>
      </c>
      <c r="AX134" s="20">
        <v>62128510024</v>
      </c>
      <c r="AY134" s="20">
        <v>62035811024</v>
      </c>
      <c r="AZ134" s="20">
        <v>55187694024</v>
      </c>
      <c r="BA134" s="20" t="s">
        <v>1175</v>
      </c>
      <c r="BB134" s="20" t="s">
        <v>1176</v>
      </c>
      <c r="BC134" s="20" t="s">
        <v>1177</v>
      </c>
      <c r="BD134" s="20">
        <v>1</v>
      </c>
      <c r="BE134" s="20">
        <v>0</v>
      </c>
      <c r="BF134" s="20">
        <v>0</v>
      </c>
      <c r="BG134" s="20">
        <v>0</v>
      </c>
      <c r="BN134" s="20" t="s">
        <v>1178</v>
      </c>
      <c r="BV134" s="20">
        <v>0</v>
      </c>
      <c r="CL134" s="20">
        <v>0</v>
      </c>
      <c r="DD134" s="20" t="s">
        <v>1179</v>
      </c>
      <c r="DE134" s="20" t="s">
        <v>1179</v>
      </c>
      <c r="DI134" s="20">
        <v>0</v>
      </c>
      <c r="DP134" s="21" t="s">
        <v>1180</v>
      </c>
      <c r="DQ134" s="21" t="str">
        <f>PartsMaster!$A129</f>
        <v>HJA7150AAAEK  (superceded)</v>
      </c>
      <c r="DR134" s="21" t="s">
        <v>1181</v>
      </c>
      <c r="DS134" s="21" t="str">
        <f>PartsMaster!$K130&amp;" "&amp;PartsMaster!L130&amp;" "&amp;PartsMaster!$M130</f>
        <v>Front Left/Right Top</v>
      </c>
    </row>
    <row r="135" spans="1:123" ht="30" hidden="1" x14ac:dyDescent="0.25">
      <c r="A135" s="20" t="s">
        <v>1166</v>
      </c>
      <c r="B135" s="20" t="s">
        <v>1167</v>
      </c>
      <c r="C135" s="20" t="s">
        <v>1168</v>
      </c>
      <c r="D135" s="21" t="str">
        <f>PartsMaster!B130&amp;" "&amp;PartsMaster!$C130</f>
        <v>Jaguar XK8 XKR X100 Seatbelt Front - Topmount plastic cover trim</v>
      </c>
      <c r="E135" s="20">
        <v>3000</v>
      </c>
      <c r="F135" s="20" t="s">
        <v>1182</v>
      </c>
      <c r="H135" s="21">
        <f>PartsMaster!$Q130</f>
        <v>0</v>
      </c>
      <c r="I135" s="20">
        <v>9886</v>
      </c>
      <c r="K135" s="20">
        <v>0</v>
      </c>
      <c r="L135" s="20">
        <v>0</v>
      </c>
      <c r="M135" s="21">
        <f>PartsMaster!$D130</f>
        <v>0</v>
      </c>
      <c r="O135" s="20" t="s">
        <v>1169</v>
      </c>
      <c r="P135" s="23">
        <f>PartsMaster!$S130/1.45</f>
        <v>0</v>
      </c>
      <c r="S135" s="20">
        <v>30</v>
      </c>
      <c r="T135" s="20">
        <v>0</v>
      </c>
      <c r="U135" s="20" t="s">
        <v>1170</v>
      </c>
      <c r="Z135" s="26" t="str">
        <f>"&lt;P&gt;"&amp;PartsMaster!$I130&amp;" "&amp;PartsMaster!$H130&amp;"&lt;/P&gt;"&amp;"&lt;P&gt;Jaguar part name "&amp;PartsMaster!$E130&amp;"&lt;/P&gt;&lt;P&gt;Product numbers "&amp;PartsMaster!R130&amp;" "&amp;DQ135&amp;"&lt;/P&gt;&lt;P&gt;Fits starting from VIN/ModelYear "&amp;PartsMaster!$F130&amp;" until VIN/ModelYear "&amp;PartsMaster!$G130&amp;"&lt;/P&gt;&lt;P&gt;Condition: "&amp;PartsMaster!AB130&amp;"&lt;/P&gt;&lt;P&gt; (part source "&amp;PartsMaster!AD130&amp;")&lt;/P&gt;&lt;P&gt;Notes: "&amp;PartsMaster!AA130&amp;"&lt;/P&gt;"</f>
        <v>&lt;P&gt;Cap / Cover Cap / Cover / Trim&lt;/P&gt;&lt;P&gt;Jaguar part name Seatbelt Cap&lt;/P&gt;&lt;P&gt;Product numbers  HJA7150AAAGD (superceded)&lt;/P&gt;&lt;P&gt;Fits starting from VIN/ModelYear 0 until VIN/ModelYear 19228&lt;/P&gt;&lt;P&gt;Condition: &lt;/P&gt;&lt;P&gt; (part source )&lt;/P&gt;&lt;P&gt;Notes: &lt;/P&gt;</v>
      </c>
      <c r="AA135" s="20" t="s">
        <v>1171</v>
      </c>
      <c r="AC135" s="20">
        <v>0</v>
      </c>
      <c r="AD135" s="20">
        <v>0</v>
      </c>
      <c r="AE135" s="20" t="s">
        <v>1172</v>
      </c>
      <c r="AF135" s="20">
        <v>7</v>
      </c>
      <c r="AG135" s="20">
        <v>0</v>
      </c>
      <c r="AH135" s="20">
        <v>0</v>
      </c>
      <c r="AI135" s="20">
        <v>0</v>
      </c>
      <c r="AJ135" s="20">
        <v>0</v>
      </c>
      <c r="AK135" s="20">
        <v>0</v>
      </c>
      <c r="AO135" s="20" t="s">
        <v>1173</v>
      </c>
      <c r="AR135" s="20">
        <v>0</v>
      </c>
      <c r="AS135" s="20">
        <v>10112</v>
      </c>
      <c r="AV135" s="20" t="s">
        <v>1174</v>
      </c>
      <c r="AX135" s="20">
        <v>62128510024</v>
      </c>
      <c r="AY135" s="20">
        <v>62035811024</v>
      </c>
      <c r="AZ135" s="20">
        <v>55187694024</v>
      </c>
      <c r="BA135" s="20" t="s">
        <v>1175</v>
      </c>
      <c r="BB135" s="20" t="s">
        <v>1176</v>
      </c>
      <c r="BC135" s="20" t="s">
        <v>1177</v>
      </c>
      <c r="BD135" s="20">
        <v>1</v>
      </c>
      <c r="BE135" s="20">
        <v>0</v>
      </c>
      <c r="BF135" s="20">
        <v>0</v>
      </c>
      <c r="BG135" s="20">
        <v>0</v>
      </c>
      <c r="BN135" s="20" t="s">
        <v>1178</v>
      </c>
      <c r="BV135" s="20">
        <v>0</v>
      </c>
      <c r="CL135" s="20">
        <v>0</v>
      </c>
      <c r="DD135" s="20" t="s">
        <v>1179</v>
      </c>
      <c r="DE135" s="20" t="s">
        <v>1179</v>
      </c>
      <c r="DI135" s="20">
        <v>0</v>
      </c>
      <c r="DP135" s="21" t="s">
        <v>1180</v>
      </c>
      <c r="DQ135" s="21" t="str">
        <f>PartsMaster!$A130</f>
        <v>HJA7150AAAGD (superceded)</v>
      </c>
      <c r="DR135" s="21" t="s">
        <v>1181</v>
      </c>
      <c r="DS135" s="21" t="str">
        <f>PartsMaster!$K131&amp;" "&amp;PartsMaster!L131&amp;" "&amp;PartsMaster!$M131</f>
        <v>Front Left/Right Top</v>
      </c>
    </row>
    <row r="136" spans="1:123" ht="30" hidden="1" x14ac:dyDescent="0.25">
      <c r="A136" s="20" t="s">
        <v>1166</v>
      </c>
      <c r="B136" s="20" t="s">
        <v>1167</v>
      </c>
      <c r="C136" s="20" t="s">
        <v>1168</v>
      </c>
      <c r="D136" s="21" t="str">
        <f>PartsMaster!B131&amp;" "&amp;PartsMaster!$C131</f>
        <v>Jaguar XK8 XKR X100 Seatbelt Front - Topmount plastic cover trim</v>
      </c>
      <c r="E136" s="20">
        <v>3000</v>
      </c>
      <c r="F136" s="20" t="s">
        <v>1182</v>
      </c>
      <c r="H136" s="21">
        <f>PartsMaster!$Q131</f>
        <v>0</v>
      </c>
      <c r="I136" s="20">
        <v>9886</v>
      </c>
      <c r="K136" s="20">
        <v>0</v>
      </c>
      <c r="L136" s="20">
        <v>0</v>
      </c>
      <c r="M136" s="21">
        <f>PartsMaster!$D131</f>
        <v>0</v>
      </c>
      <c r="O136" s="20" t="s">
        <v>1169</v>
      </c>
      <c r="P136" s="23">
        <f>PartsMaster!$S131/1.45</f>
        <v>0</v>
      </c>
      <c r="S136" s="20">
        <v>30</v>
      </c>
      <c r="T136" s="20">
        <v>0</v>
      </c>
      <c r="U136" s="20" t="s">
        <v>1170</v>
      </c>
      <c r="Z136" s="26" t="str">
        <f>"&lt;P&gt;"&amp;PartsMaster!$I131&amp;" "&amp;PartsMaster!$H131&amp;"&lt;/P&gt;"&amp;"&lt;P&gt;Jaguar part name "&amp;PartsMaster!$E131&amp;"&lt;/P&gt;&lt;P&gt;Product numbers "&amp;PartsMaster!R131&amp;" "&amp;DQ136&amp;"&lt;/P&gt;&lt;P&gt;Fits starting from VIN/ModelYear "&amp;PartsMaster!$F131&amp;" until VIN/ModelYear "&amp;PartsMaster!$G131&amp;"&lt;/P&gt;&lt;P&gt;Condition: "&amp;PartsMaster!AB131&amp;"&lt;/P&gt;&lt;P&gt; (part source "&amp;PartsMaster!AD131&amp;")&lt;/P&gt;&lt;P&gt;Notes: "&amp;PartsMaster!AA131&amp;"&lt;/P&gt;"</f>
        <v>&lt;P&gt;Cap / Cover Cap / Cover / Trim&lt;/P&gt;&lt;P&gt;Jaguar part name Seatbelt Cap&lt;/P&gt;&lt;P&gt;Product numbers  HJA7150AAHDX  (superceded)&lt;/P&gt;&lt;P&gt;Fits starting from VIN/ModelYear 0 until VIN/ModelYear 19228&lt;/P&gt;&lt;P&gt;Condition: &lt;/P&gt;&lt;P&gt; (part source )&lt;/P&gt;&lt;P&gt;Notes: Speaker Element has NO Product number or identifier printer on it&lt;/P&gt;</v>
      </c>
      <c r="AA136" s="20" t="s">
        <v>1171</v>
      </c>
      <c r="AC136" s="20">
        <v>0</v>
      </c>
      <c r="AD136" s="20">
        <v>0</v>
      </c>
      <c r="AE136" s="20" t="s">
        <v>1172</v>
      </c>
      <c r="AF136" s="20">
        <v>7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O136" s="20" t="s">
        <v>1173</v>
      </c>
      <c r="AR136" s="20">
        <v>0</v>
      </c>
      <c r="AS136" s="20">
        <v>10112</v>
      </c>
      <c r="AV136" s="20" t="s">
        <v>1174</v>
      </c>
      <c r="AX136" s="20">
        <v>62128510024</v>
      </c>
      <c r="AY136" s="20">
        <v>62035811024</v>
      </c>
      <c r="AZ136" s="20">
        <v>55187694024</v>
      </c>
      <c r="BA136" s="20" t="s">
        <v>1175</v>
      </c>
      <c r="BB136" s="20" t="s">
        <v>1176</v>
      </c>
      <c r="BC136" s="20" t="s">
        <v>1177</v>
      </c>
      <c r="BD136" s="20">
        <v>1</v>
      </c>
      <c r="BE136" s="20">
        <v>0</v>
      </c>
      <c r="BF136" s="20">
        <v>0</v>
      </c>
      <c r="BG136" s="20">
        <v>0</v>
      </c>
      <c r="BN136" s="20" t="s">
        <v>1178</v>
      </c>
      <c r="BV136" s="20">
        <v>0</v>
      </c>
      <c r="CL136" s="20">
        <v>0</v>
      </c>
      <c r="DD136" s="20" t="s">
        <v>1179</v>
      </c>
      <c r="DE136" s="20" t="s">
        <v>1179</v>
      </c>
      <c r="DI136" s="20">
        <v>0</v>
      </c>
      <c r="DP136" s="21" t="s">
        <v>1180</v>
      </c>
      <c r="DQ136" s="21" t="str">
        <f>PartsMaster!$A131</f>
        <v>HJA7150AAHDX  (superceded)</v>
      </c>
      <c r="DR136" s="21" t="s">
        <v>1181</v>
      </c>
      <c r="DS136" s="21" t="str">
        <f>PartsMaster!$K132&amp;" "&amp;PartsMaster!L132&amp;" "&amp;PartsMaster!$M132</f>
        <v>Front Left/Right Top</v>
      </c>
    </row>
    <row r="137" spans="1:123" ht="30" hidden="1" x14ac:dyDescent="0.25">
      <c r="A137" s="20" t="s">
        <v>1166</v>
      </c>
      <c r="B137" s="20" t="s">
        <v>1167</v>
      </c>
      <c r="C137" s="20" t="s">
        <v>1168</v>
      </c>
      <c r="D137" s="21" t="str">
        <f>PartsMaster!B132&amp;" "&amp;PartsMaster!$C132</f>
        <v>Jaguar XK8 XKR X100 Seatbelt Front - Topmount plastic cover trim</v>
      </c>
      <c r="E137" s="20">
        <v>3000</v>
      </c>
      <c r="F137" s="20" t="s">
        <v>1182</v>
      </c>
      <c r="H137" s="21">
        <f>PartsMaster!$Q132</f>
        <v>0</v>
      </c>
      <c r="I137" s="20">
        <v>9886</v>
      </c>
      <c r="K137" s="20">
        <v>0</v>
      </c>
      <c r="L137" s="20">
        <v>0</v>
      </c>
      <c r="M137" s="21">
        <f>PartsMaster!$D132</f>
        <v>0</v>
      </c>
      <c r="O137" s="20" t="s">
        <v>1169</v>
      </c>
      <c r="P137" s="23">
        <f>PartsMaster!$S132/1.45</f>
        <v>0</v>
      </c>
      <c r="S137" s="20">
        <v>30</v>
      </c>
      <c r="T137" s="20">
        <v>0</v>
      </c>
      <c r="U137" s="20" t="s">
        <v>1170</v>
      </c>
      <c r="Z137" s="26" t="str">
        <f>"&lt;P&gt;"&amp;PartsMaster!$I132&amp;" "&amp;PartsMaster!$H132&amp;"&lt;/P&gt;"&amp;"&lt;P&gt;Jaguar part name "&amp;PartsMaster!$E132&amp;"&lt;/P&gt;&lt;P&gt;Product numbers "&amp;PartsMaster!R132&amp;" "&amp;DQ137&amp;"&lt;/P&gt;&lt;P&gt;Fits starting from VIN/ModelYear "&amp;PartsMaster!$F132&amp;" until VIN/ModelYear "&amp;PartsMaster!$G132&amp;"&lt;/P&gt;&lt;P&gt;Condition: "&amp;PartsMaster!AB132&amp;"&lt;/P&gt;&lt;P&gt; (part source "&amp;PartsMaster!AD132&amp;")&lt;/P&gt;&lt;P&gt;Notes: "&amp;PartsMaster!AA132&amp;"&lt;/P&gt;"</f>
        <v>&lt;P&gt;Cap / Cover Cap / Cover / Trim&lt;/P&gt;&lt;P&gt;Jaguar part name Seatbelt Cap&lt;/P&gt;&lt;P&gt;Product numbers  HJA7150AALEG  (superceded)&lt;/P&gt;&lt;P&gt;Fits starting from VIN/ModelYear 0 until VIN/ModelYear 19228&lt;/P&gt;&lt;P&gt;Condition: &lt;/P&gt;&lt;P&gt; (part source )&lt;/P&gt;&lt;P&gt;Notes: &lt;/P&gt;</v>
      </c>
      <c r="AA137" s="20" t="s">
        <v>1171</v>
      </c>
      <c r="AC137" s="20">
        <v>0</v>
      </c>
      <c r="AD137" s="20">
        <v>0</v>
      </c>
      <c r="AE137" s="20" t="s">
        <v>1172</v>
      </c>
      <c r="AF137" s="20">
        <v>7</v>
      </c>
      <c r="AG137" s="20">
        <v>0</v>
      </c>
      <c r="AH137" s="20">
        <v>0</v>
      </c>
      <c r="AI137" s="20">
        <v>0</v>
      </c>
      <c r="AJ137" s="20">
        <v>0</v>
      </c>
      <c r="AK137" s="20">
        <v>0</v>
      </c>
      <c r="AO137" s="20" t="s">
        <v>1173</v>
      </c>
      <c r="AR137" s="20">
        <v>0</v>
      </c>
      <c r="AS137" s="20">
        <v>10112</v>
      </c>
      <c r="AV137" s="20" t="s">
        <v>1174</v>
      </c>
      <c r="AX137" s="20">
        <v>62128510024</v>
      </c>
      <c r="AY137" s="20">
        <v>62035811024</v>
      </c>
      <c r="AZ137" s="20">
        <v>55187694024</v>
      </c>
      <c r="BA137" s="20" t="s">
        <v>1175</v>
      </c>
      <c r="BB137" s="20" t="s">
        <v>1176</v>
      </c>
      <c r="BC137" s="20" t="s">
        <v>1177</v>
      </c>
      <c r="BD137" s="20">
        <v>1</v>
      </c>
      <c r="BE137" s="20">
        <v>0</v>
      </c>
      <c r="BF137" s="20">
        <v>0</v>
      </c>
      <c r="BG137" s="20">
        <v>0</v>
      </c>
      <c r="BN137" s="20" t="s">
        <v>1178</v>
      </c>
      <c r="BV137" s="20">
        <v>0</v>
      </c>
      <c r="CL137" s="20">
        <v>0</v>
      </c>
      <c r="DD137" s="20" t="s">
        <v>1179</v>
      </c>
      <c r="DE137" s="20" t="s">
        <v>1179</v>
      </c>
      <c r="DI137" s="20">
        <v>0</v>
      </c>
      <c r="DP137" s="21" t="s">
        <v>1180</v>
      </c>
      <c r="DQ137" s="21" t="str">
        <f>PartsMaster!$A132</f>
        <v>HJA7150AALEG  (superceded)</v>
      </c>
      <c r="DR137" s="21" t="s">
        <v>1181</v>
      </c>
      <c r="DS137" s="21" t="str">
        <f>PartsMaster!$K133&amp;" "&amp;PartsMaster!L133&amp;" "&amp;PartsMaster!$M133</f>
        <v>Center Center Top</v>
      </c>
    </row>
    <row r="138" spans="1:123" ht="30" hidden="1" x14ac:dyDescent="0.25">
      <c r="A138" s="20" t="s">
        <v>1166</v>
      </c>
      <c r="B138" s="20" t="s">
        <v>1167</v>
      </c>
      <c r="C138" s="20" t="s">
        <v>1168</v>
      </c>
      <c r="D138" s="21" t="str">
        <f>PartsMaster!B133&amp;" "&amp;PartsMaster!$C133</f>
        <v>Jaguar XK8 XKR X100 Hood top vinyl</v>
      </c>
      <c r="E138" s="20">
        <v>3000</v>
      </c>
      <c r="F138" s="20" t="s">
        <v>1182</v>
      </c>
      <c r="H138" s="21" t="str">
        <f>PartsMaster!$Q133</f>
        <v>Hood cover</v>
      </c>
      <c r="I138" s="20">
        <v>9886</v>
      </c>
      <c r="K138" s="20">
        <v>0</v>
      </c>
      <c r="L138" s="20">
        <v>0</v>
      </c>
      <c r="M138" s="21">
        <f>PartsMaster!$D133</f>
        <v>1</v>
      </c>
      <c r="O138" s="20" t="s">
        <v>1169</v>
      </c>
      <c r="P138" s="23">
        <f>PartsMaster!$S133/1.45</f>
        <v>203.44827586206898</v>
      </c>
      <c r="S138" s="20">
        <v>30</v>
      </c>
      <c r="T138" s="20">
        <v>0</v>
      </c>
      <c r="U138" s="20" t="s">
        <v>1170</v>
      </c>
      <c r="Z138" s="26" t="str">
        <f>"&lt;P&gt;"&amp;PartsMaster!$I133&amp;" "&amp;PartsMaster!$H133&amp;"&lt;/P&gt;"&amp;"&lt;P&gt;Jaguar part name "&amp;PartsMaster!$E133&amp;"&lt;/P&gt;&lt;P&gt;Product numbers "&amp;PartsMaster!R133&amp;" "&amp;DQ138&amp;"&lt;/P&gt;&lt;P&gt;Fits starting from VIN/ModelYear "&amp;PartsMaster!$F133&amp;" until VIN/ModelYear "&amp;PartsMaster!$G133&amp;"&lt;/P&gt;&lt;P&gt;Condition: "&amp;PartsMaster!AB133&amp;"&lt;/P&gt;&lt;P&gt; (part source "&amp;PartsMaster!AD133&amp;")&lt;/P&gt;&lt;P&gt;Notes: "&amp;PartsMaster!AA133&amp;"&lt;/P&gt;"</f>
        <v>&lt;P&gt;Convertible top Hood / Convertible Top&lt;/P&gt;&lt;P&gt;Jaguar part name BODY CLOSURES AND SEALING/CONVERTABLE HOOD AND SEALS - Hood cover&lt;/P&gt;&lt;P&gt;Product numbers HJA7732BBPDM HJA7732BBPDM&lt;/P&gt;&lt;P&gt;Fits starting from VIN/ModelYear  until VIN/ModelYear 018107&lt;/P&gt;&lt;P&gt;Condition: Dismantled from bottom &amp; engine damaged MY1997 XK8 Convertible VIN 0136xx&lt;/P&gt;&lt;P&gt; (part source KK)&lt;/P&gt;&lt;P&gt;Notes: Convertable&lt;/P&gt;</v>
      </c>
      <c r="AA138" s="20" t="s">
        <v>1171</v>
      </c>
      <c r="AC138" s="20">
        <v>0</v>
      </c>
      <c r="AD138" s="20">
        <v>0</v>
      </c>
      <c r="AE138" s="20" t="s">
        <v>1172</v>
      </c>
      <c r="AF138" s="20">
        <v>7</v>
      </c>
      <c r="AG138" s="20">
        <v>0</v>
      </c>
      <c r="AH138" s="20">
        <v>0</v>
      </c>
      <c r="AI138" s="20">
        <v>0</v>
      </c>
      <c r="AJ138" s="20">
        <v>0</v>
      </c>
      <c r="AK138" s="20">
        <v>0</v>
      </c>
      <c r="AO138" s="20" t="s">
        <v>1173</v>
      </c>
      <c r="AR138" s="20">
        <v>0</v>
      </c>
      <c r="AS138" s="20">
        <v>10112</v>
      </c>
      <c r="AV138" s="20" t="s">
        <v>1174</v>
      </c>
      <c r="AX138" s="20">
        <v>62128510024</v>
      </c>
      <c r="AY138" s="20">
        <v>62035811024</v>
      </c>
      <c r="AZ138" s="20">
        <v>55187694024</v>
      </c>
      <c r="BA138" s="20" t="s">
        <v>1175</v>
      </c>
      <c r="BB138" s="20" t="s">
        <v>1176</v>
      </c>
      <c r="BC138" s="20" t="s">
        <v>1177</v>
      </c>
      <c r="BD138" s="20">
        <v>1</v>
      </c>
      <c r="BE138" s="20">
        <v>0</v>
      </c>
      <c r="BF138" s="20">
        <v>0</v>
      </c>
      <c r="BG138" s="20">
        <v>0</v>
      </c>
      <c r="BN138" s="20" t="s">
        <v>1178</v>
      </c>
      <c r="BV138" s="20">
        <v>0</v>
      </c>
      <c r="CL138" s="20">
        <v>0</v>
      </c>
      <c r="DD138" s="20" t="s">
        <v>1179</v>
      </c>
      <c r="DE138" s="20" t="s">
        <v>1179</v>
      </c>
      <c r="DI138" s="20">
        <v>0</v>
      </c>
      <c r="DP138" s="21" t="s">
        <v>1180</v>
      </c>
      <c r="DQ138" s="21" t="str">
        <f>PartsMaster!$A133</f>
        <v>HJA7732BBPDM</v>
      </c>
      <c r="DR138" s="21" t="s">
        <v>1181</v>
      </c>
      <c r="DS138" s="21" t="str">
        <f>PartsMaster!$K134&amp;" "&amp;PartsMaster!L134&amp;" "&amp;PartsMaster!$M134</f>
        <v>Center Right Top</v>
      </c>
    </row>
    <row r="139" spans="1:123" ht="30" hidden="1" x14ac:dyDescent="0.25">
      <c r="A139" s="20" t="s">
        <v>1166</v>
      </c>
      <c r="B139" s="20" t="s">
        <v>1167</v>
      </c>
      <c r="C139" s="20" t="s">
        <v>1168</v>
      </c>
      <c r="D139" s="21" t="str">
        <f>PartsMaster!B134&amp;" "&amp;PartsMaster!$C134</f>
        <v>Jaguar XK8 XKR X100 Seal retainer</v>
      </c>
      <c r="E139" s="20">
        <v>3000</v>
      </c>
      <c r="F139" s="20" t="s">
        <v>1182</v>
      </c>
      <c r="H139" s="21" t="str">
        <f>PartsMaster!$Q134</f>
        <v>Seal retainer</v>
      </c>
      <c r="I139" s="20">
        <v>9886</v>
      </c>
      <c r="K139" s="20">
        <v>0</v>
      </c>
      <c r="L139" s="20">
        <v>0</v>
      </c>
      <c r="M139" s="21">
        <f>PartsMaster!$D134</f>
        <v>1</v>
      </c>
      <c r="O139" s="20" t="s">
        <v>1169</v>
      </c>
      <c r="P139" s="23">
        <f>PartsMaster!$S134/1.45</f>
        <v>17.241379310344829</v>
      </c>
      <c r="S139" s="20">
        <v>30</v>
      </c>
      <c r="T139" s="20">
        <v>0</v>
      </c>
      <c r="U139" s="20" t="s">
        <v>1170</v>
      </c>
      <c r="Z139" s="26" t="str">
        <f>"&lt;P&gt;"&amp;PartsMaster!$I134&amp;" "&amp;PartsMaster!$H134&amp;"&lt;/P&gt;"&amp;"&lt;P&gt;Jaguar part name "&amp;PartsMaster!$E134&amp;"&lt;/P&gt;&lt;P&gt;Product numbers "&amp;PartsMaster!R134&amp;" "&amp;DQ139&amp;"&lt;/P&gt;&lt;P&gt;Fits starting from VIN/ModelYear "&amp;PartsMaster!$F134&amp;" until VIN/ModelYear "&amp;PartsMaster!$G134&amp;"&lt;/P&gt;&lt;P&gt;Condition: "&amp;PartsMaster!AB134&amp;"&lt;/P&gt;&lt;P&gt; (part source "&amp;PartsMaster!AD134&amp;")&lt;/P&gt;&lt;P&gt;Notes: "&amp;PartsMaster!AA134&amp;"&lt;/P&gt;"</f>
        <v>&lt;P&gt;Convertible top Hood / Convertible Top&lt;/P&gt;&lt;P&gt;Jaguar part name BODY CLOSURES AND SEALING/CONVERTABLE HOOD AND SEALS&lt;/P&gt;&lt;P&gt;Product numbers HJA7736AA HJA7736AA&lt;/P&gt;&lt;P&gt;Fits starting from VIN/ModelYear  until VIN/ModelYear &lt;/P&gt;&lt;P&gt;Condition: Dismantled from bottom &amp; engine damaged MY1997 XK8 Convertible VIN 0136xx&lt;/P&gt;&lt;P&gt; (part source KK)&lt;/P&gt;&lt;P&gt;Notes: Convertable&lt;/P&gt;</v>
      </c>
      <c r="AA139" s="20" t="s">
        <v>1171</v>
      </c>
      <c r="AC139" s="20">
        <v>0</v>
      </c>
      <c r="AD139" s="20">
        <v>0</v>
      </c>
      <c r="AE139" s="20" t="s">
        <v>1172</v>
      </c>
      <c r="AF139" s="20">
        <v>7</v>
      </c>
      <c r="AG139" s="20">
        <v>0</v>
      </c>
      <c r="AH139" s="20">
        <v>0</v>
      </c>
      <c r="AI139" s="20">
        <v>0</v>
      </c>
      <c r="AJ139" s="20">
        <v>0</v>
      </c>
      <c r="AK139" s="20">
        <v>0</v>
      </c>
      <c r="AO139" s="20" t="s">
        <v>1173</v>
      </c>
      <c r="AR139" s="20">
        <v>0</v>
      </c>
      <c r="AS139" s="20">
        <v>10112</v>
      </c>
      <c r="AV139" s="20" t="s">
        <v>1174</v>
      </c>
      <c r="AX139" s="20">
        <v>62128510024</v>
      </c>
      <c r="AY139" s="20">
        <v>62035811024</v>
      </c>
      <c r="AZ139" s="20">
        <v>55187694024</v>
      </c>
      <c r="BA139" s="20" t="s">
        <v>1175</v>
      </c>
      <c r="BB139" s="20" t="s">
        <v>1176</v>
      </c>
      <c r="BC139" s="20" t="s">
        <v>1177</v>
      </c>
      <c r="BD139" s="20">
        <v>1</v>
      </c>
      <c r="BE139" s="20">
        <v>0</v>
      </c>
      <c r="BF139" s="20">
        <v>0</v>
      </c>
      <c r="BG139" s="20">
        <v>0</v>
      </c>
      <c r="BN139" s="20" t="s">
        <v>1178</v>
      </c>
      <c r="BV139" s="20">
        <v>0</v>
      </c>
      <c r="CL139" s="20">
        <v>0</v>
      </c>
      <c r="DD139" s="20" t="s">
        <v>1179</v>
      </c>
      <c r="DE139" s="20" t="s">
        <v>1179</v>
      </c>
      <c r="DI139" s="20">
        <v>0</v>
      </c>
      <c r="DP139" s="21" t="s">
        <v>1180</v>
      </c>
      <c r="DQ139" s="21" t="str">
        <f>PartsMaster!$A134</f>
        <v>HJA7736AA</v>
      </c>
      <c r="DR139" s="21" t="s">
        <v>1181</v>
      </c>
      <c r="DS139" s="21" t="str">
        <f>PartsMaster!$K135&amp;" "&amp;PartsMaster!L135&amp;" "&amp;PartsMaster!$M135</f>
        <v>Center Right Top</v>
      </c>
    </row>
    <row r="140" spans="1:123" ht="30" hidden="1" x14ac:dyDescent="0.25">
      <c r="A140" s="20" t="s">
        <v>1166</v>
      </c>
      <c r="B140" s="20" t="s">
        <v>1167</v>
      </c>
      <c r="C140" s="20" t="s">
        <v>1168</v>
      </c>
      <c r="D140" s="21" t="str">
        <f>PartsMaster!B135&amp;" "&amp;PartsMaster!$C135</f>
        <v>Jaguar XK8 XKR X100 Seal retainer</v>
      </c>
      <c r="E140" s="20">
        <v>3000</v>
      </c>
      <c r="F140" s="20" t="s">
        <v>1182</v>
      </c>
      <c r="H140" s="21" t="str">
        <f>PartsMaster!$Q135</f>
        <v>Seal retainer</v>
      </c>
      <c r="I140" s="20">
        <v>9886</v>
      </c>
      <c r="K140" s="20">
        <v>0</v>
      </c>
      <c r="L140" s="20">
        <v>0</v>
      </c>
      <c r="M140" s="21">
        <f>PartsMaster!$D135</f>
        <v>1</v>
      </c>
      <c r="O140" s="20" t="s">
        <v>1169</v>
      </c>
      <c r="P140" s="23">
        <f>PartsMaster!$S135/1.45</f>
        <v>17.241379310344829</v>
      </c>
      <c r="S140" s="20">
        <v>30</v>
      </c>
      <c r="T140" s="20">
        <v>0</v>
      </c>
      <c r="U140" s="20" t="s">
        <v>1170</v>
      </c>
      <c r="Z140" s="26" t="str">
        <f>"&lt;P&gt;"&amp;PartsMaster!$I135&amp;" "&amp;PartsMaster!$H135&amp;"&lt;/P&gt;"&amp;"&lt;P&gt;Jaguar part name "&amp;PartsMaster!$E135&amp;"&lt;/P&gt;&lt;P&gt;Product numbers "&amp;PartsMaster!R135&amp;" "&amp;DQ140&amp;"&lt;/P&gt;&lt;P&gt;Fits starting from VIN/ModelYear "&amp;PartsMaster!$F135&amp;" until VIN/ModelYear "&amp;PartsMaster!$G135&amp;"&lt;/P&gt;&lt;P&gt;Condition: "&amp;PartsMaster!AB135&amp;"&lt;/P&gt;&lt;P&gt; (part source "&amp;PartsMaster!AD135&amp;")&lt;/P&gt;&lt;P&gt;Notes: "&amp;PartsMaster!AA135&amp;"&lt;/P&gt;"</f>
        <v>&lt;P&gt;Convertible top Hood / Convertible Top&lt;/P&gt;&lt;P&gt;Jaguar part name BODY CLOSURES AND SEALING/CONVERTABLE HOOD AND SEALS&lt;/P&gt;&lt;P&gt;Product numbers HJA7738AA HJA7738AA&lt;/P&gt;&lt;P&gt;Fits starting from VIN/ModelYear  until VIN/ModelYear &lt;/P&gt;&lt;P&gt;Condition: Dismantled from bottom &amp; engine damaged MY1997 XK8 Convertible VIN 0136xx&lt;/P&gt;&lt;P&gt; (part source KK)&lt;/P&gt;&lt;P&gt;Notes: Convertable&lt;/P&gt;</v>
      </c>
      <c r="AA140" s="20" t="s">
        <v>1171</v>
      </c>
      <c r="AC140" s="20">
        <v>0</v>
      </c>
      <c r="AD140" s="20">
        <v>0</v>
      </c>
      <c r="AE140" s="20" t="s">
        <v>1172</v>
      </c>
      <c r="AF140" s="20">
        <v>7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O140" s="20" t="s">
        <v>1173</v>
      </c>
      <c r="AR140" s="20">
        <v>0</v>
      </c>
      <c r="AS140" s="20">
        <v>10112</v>
      </c>
      <c r="AV140" s="20" t="s">
        <v>1174</v>
      </c>
      <c r="AX140" s="20">
        <v>62128510024</v>
      </c>
      <c r="AY140" s="20">
        <v>62035811024</v>
      </c>
      <c r="AZ140" s="20">
        <v>55187694024</v>
      </c>
      <c r="BA140" s="20" t="s">
        <v>1175</v>
      </c>
      <c r="BB140" s="20" t="s">
        <v>1176</v>
      </c>
      <c r="BC140" s="20" t="s">
        <v>1177</v>
      </c>
      <c r="BD140" s="20">
        <v>1</v>
      </c>
      <c r="BE140" s="20">
        <v>0</v>
      </c>
      <c r="BF140" s="20">
        <v>0</v>
      </c>
      <c r="BG140" s="20">
        <v>0</v>
      </c>
      <c r="BN140" s="20" t="s">
        <v>1178</v>
      </c>
      <c r="BV140" s="20">
        <v>0</v>
      </c>
      <c r="CL140" s="20">
        <v>0</v>
      </c>
      <c r="DD140" s="20" t="s">
        <v>1179</v>
      </c>
      <c r="DE140" s="20" t="s">
        <v>1179</v>
      </c>
      <c r="DI140" s="20">
        <v>0</v>
      </c>
      <c r="DP140" s="21" t="s">
        <v>1180</v>
      </c>
      <c r="DQ140" s="21" t="str">
        <f>PartsMaster!$A135</f>
        <v>HJA7738AA</v>
      </c>
      <c r="DR140" s="21" t="s">
        <v>1181</v>
      </c>
      <c r="DS140" s="21" t="str">
        <f>PartsMaster!$K136&amp;" "&amp;PartsMaster!L136&amp;" "&amp;PartsMaster!$M136</f>
        <v>Center Left Top</v>
      </c>
    </row>
    <row r="141" spans="1:123" ht="30" x14ac:dyDescent="0.25">
      <c r="A141" s="20" t="s">
        <v>1166</v>
      </c>
      <c r="B141" s="20" t="s">
        <v>1167</v>
      </c>
      <c r="C141" s="20" t="s">
        <v>1168</v>
      </c>
      <c r="D141" s="21" t="str">
        <f>PartsMaster!B92&amp;" "&amp;PartsMaster!$C92</f>
        <v>Jaguar XK8 XKR X100 WIPER BLADE-LHD</v>
      </c>
      <c r="E141" s="20">
        <v>3000</v>
      </c>
      <c r="F141" s="20" t="s">
        <v>1182</v>
      </c>
      <c r="H141" s="21" t="str">
        <f>PartsMaster!$Q92</f>
        <v>WIPER BLADE-LHD</v>
      </c>
      <c r="I141" s="20">
        <v>9886</v>
      </c>
      <c r="K141" s="20">
        <v>0</v>
      </c>
      <c r="L141" s="20">
        <v>0</v>
      </c>
      <c r="M141" s="21">
        <f>PartsMaster!$D92</f>
        <v>0</v>
      </c>
      <c r="O141" s="20" t="s">
        <v>1169</v>
      </c>
      <c r="P141" s="23">
        <f>PartsMaster!$S92/1.45</f>
        <v>0</v>
      </c>
      <c r="S141" s="20">
        <v>30</v>
      </c>
      <c r="T141" s="20">
        <v>0</v>
      </c>
      <c r="U141" s="20" t="s">
        <v>1170</v>
      </c>
      <c r="Z141" s="26" t="str">
        <f>"&lt;P&gt;"&amp;PartsMaster!$I92&amp;" "&amp;PartsMaster!$H92&amp;"&lt;/P&gt;"&amp;"&lt;P&gt;Jaguar part name "&amp;PartsMaster!$E92&amp;"&lt;/P&gt;&lt;P&gt;Product numbers "&amp;PartsMaster!R92&amp;" "&amp;DQ141&amp;"&lt;/P&gt;&lt;P&gt;Fits starting from VIN/ModelYear "&amp;PartsMaster!$F92&amp;" until VIN/ModelYear "&amp;PartsMaster!$G92&amp;"&lt;/P&gt;&lt;P&gt;Condition: "&amp;PartsMaster!AB92&amp;"&lt;/P&gt;&lt;P&gt; (part source "&amp;PartsMaster!AD92&amp;")&lt;/P&gt;&lt;P&gt;Notes: "&amp;PartsMaster!AA92&amp;"&lt;/P&gt;"</f>
        <v>&lt;P&gt;Windshield &lt;/P&gt;&lt;P&gt;Jaguar part name &lt;/P&gt;&lt;P&gt;Product numbers GJA8962CB GJA8962CB&lt;/P&gt;&lt;P&gt;Fits starting from VIN/ModelYear  until VIN/ModelYear &lt;/P&gt;&lt;P&gt;Condition: British Parts&lt;/P&gt;&lt;P&gt; (part source )&lt;/P&gt;&lt;P&gt;Notes: Fits to GJA3892AA&lt;/P&gt;</v>
      </c>
      <c r="AA141" s="20" t="s">
        <v>1171</v>
      </c>
      <c r="AC141" s="20">
        <v>0</v>
      </c>
      <c r="AD141" s="20">
        <v>0</v>
      </c>
      <c r="AE141" s="20" t="s">
        <v>1172</v>
      </c>
      <c r="AF141" s="20">
        <v>7</v>
      </c>
      <c r="AG141" s="20">
        <v>0</v>
      </c>
      <c r="AH141" s="20">
        <v>0</v>
      </c>
      <c r="AI141" s="20">
        <v>0</v>
      </c>
      <c r="AJ141" s="20">
        <v>0</v>
      </c>
      <c r="AK141" s="20">
        <v>0</v>
      </c>
      <c r="AO141" s="20" t="s">
        <v>1173</v>
      </c>
      <c r="AR141" s="20">
        <v>0</v>
      </c>
      <c r="AS141" s="20">
        <v>10112</v>
      </c>
      <c r="AV141" s="20" t="s">
        <v>1174</v>
      </c>
      <c r="AX141" s="20">
        <v>62128510024</v>
      </c>
      <c r="AY141" s="20">
        <v>62035811024</v>
      </c>
      <c r="AZ141" s="20">
        <v>55187694024</v>
      </c>
      <c r="BA141" s="20" t="s">
        <v>1175</v>
      </c>
      <c r="BB141" s="20" t="s">
        <v>1176</v>
      </c>
      <c r="BC141" s="20" t="s">
        <v>1177</v>
      </c>
      <c r="BD141" s="20">
        <v>1</v>
      </c>
      <c r="BE141" s="20">
        <v>0</v>
      </c>
      <c r="BF141" s="20">
        <v>0</v>
      </c>
      <c r="BG141" s="20">
        <v>0</v>
      </c>
      <c r="BN141" s="20" t="s">
        <v>1178</v>
      </c>
      <c r="BV141" s="20">
        <v>0</v>
      </c>
      <c r="CL141" s="20">
        <v>0</v>
      </c>
      <c r="DD141" s="20" t="s">
        <v>1179</v>
      </c>
      <c r="DE141" s="20" t="s">
        <v>1179</v>
      </c>
      <c r="DI141" s="20">
        <v>0</v>
      </c>
      <c r="DP141" s="21" t="s">
        <v>1180</v>
      </c>
      <c r="DQ141" s="21" t="str">
        <f>PartsMaster!$A92</f>
        <v>GJA8962CB</v>
      </c>
      <c r="DR141" s="21" t="s">
        <v>1181</v>
      </c>
      <c r="DS141" s="21" t="str">
        <f>PartsMaster!$K93&amp;" "&amp;PartsMaster!L93&amp;" "&amp;PartsMaster!$M93</f>
        <v xml:space="preserve">Front Left/Right </v>
      </c>
    </row>
    <row r="142" spans="1:123" x14ac:dyDescent="0.25">
      <c r="A142" s="20" t="s">
        <v>1166</v>
      </c>
      <c r="B142" s="20" t="s">
        <v>1167</v>
      </c>
      <c r="C142" s="20" t="s">
        <v>1168</v>
      </c>
      <c r="D142" s="21" t="str">
        <f>PartsMaster!B51&amp;" "&amp;PartsMaster!$C51</f>
        <v>Jaguar XK8 XKR X100 Rearview Mirror - Manual dimm</v>
      </c>
      <c r="E142" s="20">
        <v>3000</v>
      </c>
      <c r="F142" s="20" t="s">
        <v>1182</v>
      </c>
      <c r="H142" s="21">
        <f>PartsMaster!$Q51</f>
        <v>0</v>
      </c>
      <c r="I142" s="20">
        <v>9886</v>
      </c>
      <c r="K142" s="20">
        <v>0</v>
      </c>
      <c r="L142" s="20">
        <v>0</v>
      </c>
      <c r="M142" s="21">
        <f>PartsMaster!$D51</f>
        <v>0</v>
      </c>
      <c r="O142" s="20" t="s">
        <v>1169</v>
      </c>
      <c r="P142" s="23">
        <f>PartsMaster!$S51/1.45</f>
        <v>0</v>
      </c>
      <c r="S142" s="20">
        <v>30</v>
      </c>
      <c r="T142" s="20">
        <v>0</v>
      </c>
      <c r="U142" s="20" t="s">
        <v>1170</v>
      </c>
      <c r="Z142" s="26" t="str">
        <f>"&lt;P&gt;"&amp;PartsMaster!$I51&amp;" "&amp;PartsMaster!$H51&amp;"&lt;/P&gt;"&amp;"&lt;P&gt;Jaguar part name "&amp;PartsMaster!$E51&amp;"&lt;/P&gt;&lt;P&gt;Product numbers "&amp;PartsMaster!R51&amp;" "&amp;DQ142&amp;"&lt;/P&gt;&lt;P&gt;Fits starting from VIN/ModelYear "&amp;PartsMaster!$F51&amp;" until VIN/ModelYear "&amp;PartsMaster!$G51&amp;"&lt;/P&gt;&lt;P&gt;Condition: "&amp;PartsMaster!AB51&amp;"&lt;/P&gt;&lt;P&gt; (part source "&amp;PartsMaster!AD51&amp;")&lt;/P&gt;&lt;P&gt;Notes: "&amp;PartsMaster!AA51&amp;"&lt;/P&gt;"</f>
        <v>&lt;P&gt;Mirrors &lt;/P&gt;&lt;P&gt;Jaguar part name &lt;/P&gt;&lt;P&gt;Product numbers  EU/US HJA3120AA &lt;/P&gt;&lt;P&gt;Fits starting from VIN/ModelYear  until VIN/ModelYear 18107&lt;/P&gt;&lt;P&gt;Condition: &lt;/P&gt;&lt;P&gt; (part source )&lt;/P&gt;&lt;P&gt;Notes: &lt;/P&gt;</v>
      </c>
      <c r="AA142" s="20" t="s">
        <v>1171</v>
      </c>
      <c r="AC142" s="20">
        <v>0</v>
      </c>
      <c r="AD142" s="20">
        <v>0</v>
      </c>
      <c r="AE142" s="20" t="s">
        <v>1172</v>
      </c>
      <c r="AF142" s="20">
        <v>7</v>
      </c>
      <c r="AG142" s="20">
        <v>0</v>
      </c>
      <c r="AH142" s="20">
        <v>0</v>
      </c>
      <c r="AI142" s="20">
        <v>0</v>
      </c>
      <c r="AJ142" s="20">
        <v>0</v>
      </c>
      <c r="AK142" s="20">
        <v>0</v>
      </c>
      <c r="AO142" s="20" t="s">
        <v>1173</v>
      </c>
      <c r="AR142" s="20">
        <v>0</v>
      </c>
      <c r="AS142" s="20">
        <v>10112</v>
      </c>
      <c r="AV142" s="20" t="s">
        <v>1174</v>
      </c>
      <c r="AX142" s="20">
        <v>62128510024</v>
      </c>
      <c r="AY142" s="20">
        <v>62035811024</v>
      </c>
      <c r="AZ142" s="20">
        <v>55187694024</v>
      </c>
      <c r="BA142" s="20" t="s">
        <v>1175</v>
      </c>
      <c r="BB142" s="20" t="s">
        <v>1176</v>
      </c>
      <c r="BC142" s="20" t="s">
        <v>1177</v>
      </c>
      <c r="BD142" s="20">
        <v>1</v>
      </c>
      <c r="BE142" s="20">
        <v>0</v>
      </c>
      <c r="BF142" s="20">
        <v>0</v>
      </c>
      <c r="BG142" s="20">
        <v>0</v>
      </c>
      <c r="BN142" s="20" t="s">
        <v>1178</v>
      </c>
      <c r="BV142" s="20">
        <v>0</v>
      </c>
      <c r="CL142" s="20">
        <v>0</v>
      </c>
      <c r="DD142" s="20" t="s">
        <v>1179</v>
      </c>
      <c r="DE142" s="20" t="s">
        <v>1179</v>
      </c>
      <c r="DI142" s="20">
        <v>0</v>
      </c>
      <c r="DP142" s="21" t="s">
        <v>1180</v>
      </c>
      <c r="DQ142" s="21" t="str">
        <f>PartsMaster!$A51</f>
        <v xml:space="preserve">EU/US HJA3120AA </v>
      </c>
      <c r="DR142" s="21" t="s">
        <v>1181</v>
      </c>
      <c r="DS142" s="21" t="str">
        <f>PartsMaster!$K52&amp;" "&amp;PartsMaster!L52&amp;" "&amp;PartsMaster!$M52</f>
        <v xml:space="preserve"> Center </v>
      </c>
    </row>
    <row r="143" spans="1:123" x14ac:dyDescent="0.25">
      <c r="A143" s="20" t="s">
        <v>1166</v>
      </c>
      <c r="B143" s="20" t="s">
        <v>1167</v>
      </c>
      <c r="C143" s="20" t="s">
        <v>1168</v>
      </c>
      <c r="D143" s="21" t="str">
        <f>PartsMaster!B52&amp;" "&amp;PartsMaster!$C52</f>
        <v xml:space="preserve">Jaguar XK8 XKR X100 Rearview Mirror - yellow plug 3 wires electrochromatic </v>
      </c>
      <c r="E143" s="20">
        <v>3000</v>
      </c>
      <c r="F143" s="20" t="s">
        <v>1182</v>
      </c>
      <c r="H143" s="21">
        <f>PartsMaster!$Q52</f>
        <v>0</v>
      </c>
      <c r="I143" s="20">
        <v>9886</v>
      </c>
      <c r="K143" s="20">
        <v>0</v>
      </c>
      <c r="L143" s="20">
        <v>0</v>
      </c>
      <c r="M143" s="21">
        <f>PartsMaster!$D52</f>
        <v>0</v>
      </c>
      <c r="O143" s="20" t="s">
        <v>1169</v>
      </c>
      <c r="P143" s="23">
        <f>PartsMaster!$S52/1.45</f>
        <v>0</v>
      </c>
      <c r="S143" s="20">
        <v>30</v>
      </c>
      <c r="T143" s="20">
        <v>0</v>
      </c>
      <c r="U143" s="20" t="s">
        <v>1170</v>
      </c>
      <c r="Z143" s="26" t="str">
        <f>"&lt;P&gt;"&amp;PartsMaster!$I52&amp;" "&amp;PartsMaster!$H52&amp;"&lt;/P&gt;"&amp;"&lt;P&gt;Jaguar part name "&amp;PartsMaster!$E52&amp;"&lt;/P&gt;&lt;P&gt;Product numbers "&amp;PartsMaster!R52&amp;" "&amp;DQ143&amp;"&lt;/P&gt;&lt;P&gt;Fits starting from VIN/ModelYear "&amp;PartsMaster!$F52&amp;" until VIN/ModelYear "&amp;PartsMaster!$G52&amp;"&lt;/P&gt;&lt;P&gt;Condition: "&amp;PartsMaster!AB52&amp;"&lt;/P&gt;&lt;P&gt; (part source "&amp;PartsMaster!AD52&amp;")&lt;/P&gt;&lt;P&gt;Notes: "&amp;PartsMaster!AA52&amp;"&lt;/P&gt;"</f>
        <v>&lt;P&gt;Mirrors &lt;/P&gt;&lt;P&gt;Jaguar part name &lt;/P&gt;&lt;P&gt;Product numbers  EU/US HJA3121AA  &lt;/P&gt;&lt;P&gt;Fits starting from VIN/ModelYear  until VIN/ModelYear 18107&lt;/P&gt;&lt;P&gt;Condition: &lt;/P&gt;&lt;P&gt; (part source )&lt;/P&gt;&lt;P&gt;Notes: &lt;/P&gt;</v>
      </c>
      <c r="AA143" s="20" t="s">
        <v>1171</v>
      </c>
      <c r="AC143" s="20">
        <v>0</v>
      </c>
      <c r="AD143" s="20">
        <v>0</v>
      </c>
      <c r="AE143" s="20" t="s">
        <v>1172</v>
      </c>
      <c r="AF143" s="20">
        <v>7</v>
      </c>
      <c r="AG143" s="20">
        <v>0</v>
      </c>
      <c r="AH143" s="20">
        <v>0</v>
      </c>
      <c r="AI143" s="20">
        <v>0</v>
      </c>
      <c r="AJ143" s="20">
        <v>0</v>
      </c>
      <c r="AK143" s="20">
        <v>0</v>
      </c>
      <c r="AO143" s="20" t="s">
        <v>1173</v>
      </c>
      <c r="AR143" s="20">
        <v>0</v>
      </c>
      <c r="AS143" s="20">
        <v>10112</v>
      </c>
      <c r="AV143" s="20" t="s">
        <v>1174</v>
      </c>
      <c r="AX143" s="20">
        <v>62128510024</v>
      </c>
      <c r="AY143" s="20">
        <v>62035811024</v>
      </c>
      <c r="AZ143" s="20">
        <v>55187694024</v>
      </c>
      <c r="BA143" s="20" t="s">
        <v>1175</v>
      </c>
      <c r="BB143" s="20" t="s">
        <v>1176</v>
      </c>
      <c r="BC143" s="20" t="s">
        <v>1177</v>
      </c>
      <c r="BD143" s="20">
        <v>1</v>
      </c>
      <c r="BE143" s="20">
        <v>0</v>
      </c>
      <c r="BF143" s="20">
        <v>0</v>
      </c>
      <c r="BG143" s="20">
        <v>0</v>
      </c>
      <c r="BN143" s="20" t="s">
        <v>1178</v>
      </c>
      <c r="BV143" s="20">
        <v>0</v>
      </c>
      <c r="CL143" s="20">
        <v>0</v>
      </c>
      <c r="DD143" s="20" t="s">
        <v>1179</v>
      </c>
      <c r="DE143" s="20" t="s">
        <v>1179</v>
      </c>
      <c r="DI143" s="20">
        <v>0</v>
      </c>
      <c r="DP143" s="21" t="s">
        <v>1180</v>
      </c>
      <c r="DQ143" s="21" t="str">
        <f>PartsMaster!$A52</f>
        <v xml:space="preserve">EU/US HJA3121AA  </v>
      </c>
      <c r="DR143" s="21" t="s">
        <v>1181</v>
      </c>
      <c r="DS143" s="21" t="str">
        <f>PartsMaster!$K53&amp;" "&amp;PartsMaster!L53&amp;" "&amp;PartsMaster!$M53</f>
        <v xml:space="preserve"> Center </v>
      </c>
    </row>
    <row r="144" spans="1:123" x14ac:dyDescent="0.25">
      <c r="A144" s="20" t="s">
        <v>1166</v>
      </c>
      <c r="B144" s="20" t="s">
        <v>1167</v>
      </c>
      <c r="C144" s="20" t="s">
        <v>1168</v>
      </c>
      <c r="D144" s="21" t="str">
        <f>PartsMaster!B53&amp;" "&amp;PartsMaster!$C53</f>
        <v xml:space="preserve">Jaguar XK8 XKR X100 Rearview Mirror - yellow plug 4 wires electrochromatic </v>
      </c>
      <c r="E144" s="20">
        <v>3000</v>
      </c>
      <c r="F144" s="20" t="s">
        <v>1182</v>
      </c>
      <c r="H144" s="21">
        <f>PartsMaster!$Q53</f>
        <v>0</v>
      </c>
      <c r="I144" s="20">
        <v>9886</v>
      </c>
      <c r="K144" s="20">
        <v>0</v>
      </c>
      <c r="L144" s="20">
        <v>0</v>
      </c>
      <c r="M144" s="21">
        <f>PartsMaster!$D53</f>
        <v>0</v>
      </c>
      <c r="O144" s="20" t="s">
        <v>1169</v>
      </c>
      <c r="P144" s="23">
        <f>PartsMaster!$S53/1.45</f>
        <v>0</v>
      </c>
      <c r="S144" s="20">
        <v>30</v>
      </c>
      <c r="T144" s="20">
        <v>0</v>
      </c>
      <c r="U144" s="20" t="s">
        <v>1170</v>
      </c>
      <c r="Z144" s="26" t="str">
        <f>"&lt;P&gt;"&amp;PartsMaster!$I53&amp;" "&amp;PartsMaster!$H53&amp;"&lt;/P&gt;"&amp;"&lt;P&gt;Jaguar part name "&amp;PartsMaster!$E53&amp;"&lt;/P&gt;&lt;P&gt;Product numbers "&amp;PartsMaster!R53&amp;" "&amp;DQ144&amp;"&lt;/P&gt;&lt;P&gt;Fits starting from VIN/ModelYear "&amp;PartsMaster!$F53&amp;" until VIN/ModelYear "&amp;PartsMaster!$G53&amp;"&lt;/P&gt;&lt;P&gt;Condition: "&amp;PartsMaster!AB53&amp;"&lt;/P&gt;&lt;P&gt; (part source "&amp;PartsMaster!AD53&amp;")&lt;/P&gt;&lt;P&gt;Notes: "&amp;PartsMaster!AA53&amp;"&lt;/P&gt;"</f>
        <v>&lt;P&gt;Mirrors &lt;/P&gt;&lt;P&gt;Jaguar part name &lt;/P&gt;&lt;P&gt;Product numbers  EU/US HJA3121BA&lt;/P&gt;&lt;P&gt;Fits starting from VIN/ModelYear 18108 until VIN/ModelYear &lt;/P&gt;&lt;P&gt;Condition: &lt;/P&gt;&lt;P&gt; (part source )&lt;/P&gt;&lt;P&gt;Notes: &lt;/P&gt;</v>
      </c>
      <c r="AA144" s="20" t="s">
        <v>1171</v>
      </c>
      <c r="AC144" s="20">
        <v>0</v>
      </c>
      <c r="AD144" s="20">
        <v>0</v>
      </c>
      <c r="AE144" s="20" t="s">
        <v>1172</v>
      </c>
      <c r="AF144" s="20">
        <v>7</v>
      </c>
      <c r="AG144" s="20">
        <v>0</v>
      </c>
      <c r="AH144" s="20">
        <v>0</v>
      </c>
      <c r="AI144" s="20">
        <v>0</v>
      </c>
      <c r="AJ144" s="20">
        <v>0</v>
      </c>
      <c r="AK144" s="20">
        <v>0</v>
      </c>
      <c r="AO144" s="20" t="s">
        <v>1173</v>
      </c>
      <c r="AR144" s="20">
        <v>0</v>
      </c>
      <c r="AS144" s="20">
        <v>10112</v>
      </c>
      <c r="AV144" s="20" t="s">
        <v>1174</v>
      </c>
      <c r="AX144" s="20">
        <v>62128510024</v>
      </c>
      <c r="AY144" s="20">
        <v>62035811024</v>
      </c>
      <c r="AZ144" s="20">
        <v>55187694024</v>
      </c>
      <c r="BA144" s="20" t="s">
        <v>1175</v>
      </c>
      <c r="BB144" s="20" t="s">
        <v>1176</v>
      </c>
      <c r="BC144" s="20" t="s">
        <v>1177</v>
      </c>
      <c r="BD144" s="20">
        <v>1</v>
      </c>
      <c r="BE144" s="20">
        <v>0</v>
      </c>
      <c r="BF144" s="20">
        <v>0</v>
      </c>
      <c r="BG144" s="20">
        <v>0</v>
      </c>
      <c r="BN144" s="20" t="s">
        <v>1178</v>
      </c>
      <c r="BV144" s="20">
        <v>0</v>
      </c>
      <c r="CL144" s="20">
        <v>0</v>
      </c>
      <c r="DD144" s="20" t="s">
        <v>1179</v>
      </c>
      <c r="DE144" s="20" t="s">
        <v>1179</v>
      </c>
      <c r="DI144" s="20">
        <v>0</v>
      </c>
      <c r="DP144" s="21" t="s">
        <v>1180</v>
      </c>
      <c r="DQ144" s="21" t="str">
        <f>PartsMaster!$A53</f>
        <v>EU/US HJA3121BA</v>
      </c>
      <c r="DR144" s="21" t="s">
        <v>1181</v>
      </c>
      <c r="DS144" s="21" t="str">
        <f>PartsMaster!$K54&amp;" "&amp;PartsMaster!L54&amp;" "&amp;PartsMaster!$M54</f>
        <v xml:space="preserve"> Center </v>
      </c>
    </row>
    <row r="145" spans="1:123" x14ac:dyDescent="0.25">
      <c r="A145" s="20" t="s">
        <v>1166</v>
      </c>
      <c r="B145" s="20" t="s">
        <v>1167</v>
      </c>
      <c r="C145" s="20" t="s">
        <v>1168</v>
      </c>
      <c r="D145" s="21" t="str">
        <f>PartsMaster!B54&amp;" "&amp;PartsMaster!$C54</f>
        <v>Jaguar XK8 XKR X100 Rearview Mirror - yellow plug 6 wires electrochromatic twilight sentinel autoheadlamp</v>
      </c>
      <c r="E145" s="20">
        <v>3000</v>
      </c>
      <c r="F145" s="20" t="s">
        <v>1182</v>
      </c>
      <c r="H145" s="21">
        <f>PartsMaster!$Q54</f>
        <v>0</v>
      </c>
      <c r="I145" s="20">
        <v>9886</v>
      </c>
      <c r="K145" s="20">
        <v>0</v>
      </c>
      <c r="L145" s="20">
        <v>0</v>
      </c>
      <c r="M145" s="21">
        <f>PartsMaster!$D54</f>
        <v>0</v>
      </c>
      <c r="O145" s="20" t="s">
        <v>1169</v>
      </c>
      <c r="P145" s="23">
        <f>PartsMaster!$S54/1.45</f>
        <v>0</v>
      </c>
      <c r="S145" s="20">
        <v>30</v>
      </c>
      <c r="T145" s="20">
        <v>0</v>
      </c>
      <c r="U145" s="20" t="s">
        <v>1170</v>
      </c>
      <c r="Z145" s="26" t="str">
        <f>"&lt;P&gt;"&amp;PartsMaster!$I54&amp;" "&amp;PartsMaster!$H54&amp;"&lt;/P&gt;"&amp;"&lt;P&gt;Jaguar part name "&amp;PartsMaster!$E54&amp;"&lt;/P&gt;&lt;P&gt;Product numbers "&amp;PartsMaster!R54&amp;" "&amp;DQ145&amp;"&lt;/P&gt;&lt;P&gt;Fits starting from VIN/ModelYear "&amp;PartsMaster!$F54&amp;" until VIN/ModelYear "&amp;PartsMaster!$G54&amp;"&lt;/P&gt;&lt;P&gt;Condition: "&amp;PartsMaster!AB54&amp;"&lt;/P&gt;&lt;P&gt; (part source "&amp;PartsMaster!AD54&amp;")&lt;/P&gt;&lt;P&gt;Notes: "&amp;PartsMaster!AA54&amp;"&lt;/P&gt;"</f>
        <v>&lt;P&gt;Mirrors &lt;/P&gt;&lt;P&gt;Jaguar part name &lt;/P&gt;&lt;P&gt;Product numbers  EU/US HNC3133AB &lt;/P&gt;&lt;P&gt;Fits starting from VIN/ModelYear 18108 until VIN/ModelYear &lt;/P&gt;&lt;P&gt;Condition: &lt;/P&gt;&lt;P&gt; (part source )&lt;/P&gt;&lt;P&gt;Notes: &lt;/P&gt;</v>
      </c>
      <c r="AA145" s="20" t="s">
        <v>1171</v>
      </c>
      <c r="AC145" s="20">
        <v>0</v>
      </c>
      <c r="AD145" s="20">
        <v>0</v>
      </c>
      <c r="AE145" s="20" t="s">
        <v>1172</v>
      </c>
      <c r="AF145" s="20">
        <v>7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O145" s="20" t="s">
        <v>1173</v>
      </c>
      <c r="AR145" s="20">
        <v>0</v>
      </c>
      <c r="AS145" s="20">
        <v>10112</v>
      </c>
      <c r="AV145" s="20" t="s">
        <v>1174</v>
      </c>
      <c r="AX145" s="20">
        <v>62128510024</v>
      </c>
      <c r="AY145" s="20">
        <v>62035811024</v>
      </c>
      <c r="AZ145" s="20">
        <v>55187694024</v>
      </c>
      <c r="BA145" s="20" t="s">
        <v>1175</v>
      </c>
      <c r="BB145" s="20" t="s">
        <v>1176</v>
      </c>
      <c r="BC145" s="20" t="s">
        <v>1177</v>
      </c>
      <c r="BD145" s="20">
        <v>1</v>
      </c>
      <c r="BE145" s="20">
        <v>0</v>
      </c>
      <c r="BF145" s="20">
        <v>0</v>
      </c>
      <c r="BG145" s="20">
        <v>0</v>
      </c>
      <c r="BN145" s="20" t="s">
        <v>1178</v>
      </c>
      <c r="BV145" s="20">
        <v>0</v>
      </c>
      <c r="CL145" s="20">
        <v>0</v>
      </c>
      <c r="DD145" s="20" t="s">
        <v>1179</v>
      </c>
      <c r="DE145" s="20" t="s">
        <v>1179</v>
      </c>
      <c r="DI145" s="20">
        <v>0</v>
      </c>
      <c r="DP145" s="21" t="s">
        <v>1180</v>
      </c>
      <c r="DQ145" s="21" t="str">
        <f>PartsMaster!$A54</f>
        <v xml:space="preserve">EU/US HNC3133AB </v>
      </c>
      <c r="DR145" s="21" t="s">
        <v>1181</v>
      </c>
      <c r="DS145" s="21" t="str">
        <f>PartsMaster!$K55&amp;" "&amp;PartsMaster!L55&amp;" "&amp;PartsMaster!$M55</f>
        <v xml:space="preserve"> Center </v>
      </c>
    </row>
    <row r="146" spans="1:123" x14ac:dyDescent="0.25">
      <c r="A146" s="20" t="s">
        <v>1166</v>
      </c>
      <c r="B146" s="20" t="s">
        <v>1167</v>
      </c>
      <c r="C146" s="20" t="s">
        <v>1168</v>
      </c>
      <c r="D146" s="21" t="str">
        <f>PartsMaster!B64&amp;" "&amp;PartsMaster!$C64</f>
        <v>Jaguar XK8 XKR X100 Seat belt webbing retainer</v>
      </c>
      <c r="E146" s="20">
        <v>3000</v>
      </c>
      <c r="F146" s="20" t="s">
        <v>1182</v>
      </c>
      <c r="H146" s="21" t="str">
        <f>PartsMaster!$Q64</f>
        <v>RETAINER-SEA</v>
      </c>
      <c r="I146" s="20">
        <v>9886</v>
      </c>
      <c r="K146" s="20">
        <v>0</v>
      </c>
      <c r="L146" s="20">
        <v>0</v>
      </c>
      <c r="M146" s="21">
        <f>PartsMaster!$D64</f>
        <v>0</v>
      </c>
      <c r="O146" s="20" t="s">
        <v>1169</v>
      </c>
      <c r="P146" s="23">
        <f>PartsMaster!$S64/1.45</f>
        <v>0</v>
      </c>
      <c r="S146" s="20">
        <v>30</v>
      </c>
      <c r="T146" s="20">
        <v>0</v>
      </c>
      <c r="U146" s="20" t="s">
        <v>1170</v>
      </c>
      <c r="Z146" s="26" t="str">
        <f>"&lt;P&gt;"&amp;PartsMaster!$I64&amp;" "&amp;PartsMaster!$H64&amp;"&lt;/P&gt;"&amp;"&lt;P&gt;Jaguar part name "&amp;PartsMaster!$E64&amp;"&lt;/P&gt;&lt;P&gt;Product numbers "&amp;PartsMaster!R64&amp;" "&amp;DQ146&amp;"&lt;/P&gt;&lt;P&gt;Fits starting from VIN/ModelYear "&amp;PartsMaster!$F64&amp;" until VIN/ModelYear "&amp;PartsMaster!$G64&amp;"&lt;/P&gt;&lt;P&gt;Condition: "&amp;PartsMaster!AB64&amp;"&lt;/P&gt;&lt;P&gt; (part source "&amp;PartsMaster!AD64&amp;")&lt;/P&gt;&lt;P&gt;Notes: "&amp;PartsMaster!AA64&amp;"&lt;/P&gt;"</f>
        <v>&lt;P&gt; &lt;/P&gt;&lt;P&gt;Jaguar part name &lt;/P&gt;&lt;P&gt;Product numbers GJA 2447AAAGD GJA 2447AAAGD&lt;/P&gt;&lt;P&gt;Fits starting from VIN/ModelYear  until VIN/ModelYear &lt;/P&gt;&lt;P&gt;Condition: SNG Barrat&lt;/P&gt;&lt;P&gt; (part source )&lt;/P&gt;&lt;P&gt;Notes: &lt;/P&gt;</v>
      </c>
      <c r="AA146" s="20" t="s">
        <v>1171</v>
      </c>
      <c r="AC146" s="20">
        <v>0</v>
      </c>
      <c r="AD146" s="20">
        <v>0</v>
      </c>
      <c r="AE146" s="20" t="s">
        <v>1172</v>
      </c>
      <c r="AF146" s="20">
        <v>7</v>
      </c>
      <c r="AG146" s="20">
        <v>0</v>
      </c>
      <c r="AH146" s="20">
        <v>0</v>
      </c>
      <c r="AI146" s="20">
        <v>0</v>
      </c>
      <c r="AJ146" s="20">
        <v>0</v>
      </c>
      <c r="AK146" s="20">
        <v>0</v>
      </c>
      <c r="AO146" s="20" t="s">
        <v>1173</v>
      </c>
      <c r="AR146" s="20">
        <v>0</v>
      </c>
      <c r="AS146" s="20">
        <v>10112</v>
      </c>
      <c r="AV146" s="20" t="s">
        <v>1174</v>
      </c>
      <c r="AX146" s="20">
        <v>62128510024</v>
      </c>
      <c r="AY146" s="20">
        <v>62035811024</v>
      </c>
      <c r="AZ146" s="20">
        <v>55187694024</v>
      </c>
      <c r="BA146" s="20" t="s">
        <v>1175</v>
      </c>
      <c r="BB146" s="20" t="s">
        <v>1176</v>
      </c>
      <c r="BC146" s="20" t="s">
        <v>1177</v>
      </c>
      <c r="BD146" s="20">
        <v>1</v>
      </c>
      <c r="BE146" s="20">
        <v>0</v>
      </c>
      <c r="BF146" s="20">
        <v>0</v>
      </c>
      <c r="BG146" s="20">
        <v>0</v>
      </c>
      <c r="BN146" s="20" t="s">
        <v>1178</v>
      </c>
      <c r="BV146" s="20">
        <v>0</v>
      </c>
      <c r="CL146" s="20">
        <v>0</v>
      </c>
      <c r="DD146" s="20" t="s">
        <v>1179</v>
      </c>
      <c r="DE146" s="20" t="s">
        <v>1179</v>
      </c>
      <c r="DI146" s="20">
        <v>0</v>
      </c>
      <c r="DP146" s="21" t="s">
        <v>1180</v>
      </c>
      <c r="DQ146" s="21" t="str">
        <f>PartsMaster!$A64</f>
        <v>GJA 2447AAAGD</v>
      </c>
      <c r="DR146" s="21" t="s">
        <v>1181</v>
      </c>
      <c r="DS146" s="21" t="str">
        <f>PartsMaster!$K65&amp;" "&amp;PartsMaster!L65&amp;" "&amp;PartsMaster!$M65</f>
        <v>Front Left/Right Middle</v>
      </c>
    </row>
    <row r="147" spans="1:123" ht="30" hidden="1" x14ac:dyDescent="0.25">
      <c r="A147" s="20" t="s">
        <v>1166</v>
      </c>
      <c r="B147" s="20" t="s">
        <v>1167</v>
      </c>
      <c r="C147" s="20" t="s">
        <v>1168</v>
      </c>
      <c r="D147" s="21" t="str">
        <f>PartsMaster!B142&amp;" "&amp;PartsMaster!$C142</f>
        <v>Jaguar XK8 XKR X100 Hood frame seal Convertible LH Rear</v>
      </c>
      <c r="E147" s="20">
        <v>3000</v>
      </c>
      <c r="F147" s="20" t="s">
        <v>1182</v>
      </c>
      <c r="H147" s="21" t="str">
        <f>PartsMaster!$Q142</f>
        <v>Hood frame seal</v>
      </c>
      <c r="I147" s="20">
        <v>9886</v>
      </c>
      <c r="K147" s="20">
        <v>0</v>
      </c>
      <c r="L147" s="20">
        <v>0</v>
      </c>
      <c r="M147" s="21">
        <f>PartsMaster!$D142</f>
        <v>1</v>
      </c>
      <c r="O147" s="20" t="s">
        <v>1169</v>
      </c>
      <c r="P147" s="23">
        <f>PartsMaster!$S142/1.45</f>
        <v>51.724137931034484</v>
      </c>
      <c r="S147" s="20">
        <v>30</v>
      </c>
      <c r="T147" s="20">
        <v>0</v>
      </c>
      <c r="U147" s="20" t="s">
        <v>1170</v>
      </c>
      <c r="Z147" s="26" t="str">
        <f>"&lt;P&gt;"&amp;PartsMaster!$I142&amp;" "&amp;PartsMaster!$H142&amp;"&lt;/P&gt;"&amp;"&lt;P&gt;Jaguar part name "&amp;PartsMaster!$E142&amp;"&lt;/P&gt;&lt;P&gt;Product numbers "&amp;PartsMaster!R142&amp;" "&amp;DQ147&amp;"&lt;/P&gt;&lt;P&gt;Fits starting from VIN/ModelYear "&amp;PartsMaster!$F142&amp;" until VIN/ModelYear "&amp;PartsMaster!$G142&amp;"&lt;/P&gt;&lt;P&gt;Condition: "&amp;PartsMaster!AB142&amp;"&lt;/P&gt;&lt;P&gt; (part source "&amp;PartsMaster!AD142&amp;")&lt;/P&gt;&lt;P&gt;Notes: "&amp;PartsMaster!AA142&amp;"&lt;/P&gt;"</f>
        <v>&lt;P&gt;Seal Seal / Insulation&lt;/P&gt;&lt;P&gt;Jaguar part name BODY CLOSURES AND SEALING/CONVERTABLE HOOD AND SEALS - RH&lt;/P&gt;&lt;P&gt;Product numbers HJA7783BC HJA7783BC&lt;/P&gt;&lt;P&gt;Fits starting from VIN/ModelYear  until VIN/ModelYear &lt;/P&gt;&lt;P&gt;Condition: Dismantled from bottom &amp; engine damaged MY1997 XK8 Convertible VIN 0136xx&lt;/P&gt;&lt;P&gt; (part source KK)&lt;/P&gt;&lt;P&gt;Notes: Convertable&lt;/P&gt;</v>
      </c>
      <c r="AA147" s="20" t="s">
        <v>1171</v>
      </c>
      <c r="AC147" s="20">
        <v>0</v>
      </c>
      <c r="AD147" s="20">
        <v>0</v>
      </c>
      <c r="AE147" s="20" t="s">
        <v>1172</v>
      </c>
      <c r="AF147" s="20">
        <v>7</v>
      </c>
      <c r="AG147" s="20">
        <v>0</v>
      </c>
      <c r="AH147" s="20">
        <v>0</v>
      </c>
      <c r="AI147" s="20">
        <v>0</v>
      </c>
      <c r="AJ147" s="20">
        <v>0</v>
      </c>
      <c r="AK147" s="20">
        <v>0</v>
      </c>
      <c r="AO147" s="20" t="s">
        <v>1173</v>
      </c>
      <c r="AR147" s="20">
        <v>0</v>
      </c>
      <c r="AS147" s="20">
        <v>10112</v>
      </c>
      <c r="AV147" s="20" t="s">
        <v>1174</v>
      </c>
      <c r="AX147" s="20">
        <v>62128510024</v>
      </c>
      <c r="AY147" s="20">
        <v>62035811024</v>
      </c>
      <c r="AZ147" s="20">
        <v>55187694024</v>
      </c>
      <c r="BA147" s="20" t="s">
        <v>1175</v>
      </c>
      <c r="BB147" s="20" t="s">
        <v>1176</v>
      </c>
      <c r="BC147" s="20" t="s">
        <v>1177</v>
      </c>
      <c r="BD147" s="20">
        <v>1</v>
      </c>
      <c r="BE147" s="20">
        <v>0</v>
      </c>
      <c r="BF147" s="20">
        <v>0</v>
      </c>
      <c r="BG147" s="20">
        <v>0</v>
      </c>
      <c r="BN147" s="20" t="s">
        <v>1178</v>
      </c>
      <c r="BV147" s="20">
        <v>0</v>
      </c>
      <c r="CL147" s="20">
        <v>0</v>
      </c>
      <c r="DD147" s="20" t="s">
        <v>1179</v>
      </c>
      <c r="DE147" s="20" t="s">
        <v>1179</v>
      </c>
      <c r="DI147" s="20">
        <v>0</v>
      </c>
      <c r="DP147" s="21" t="s">
        <v>1180</v>
      </c>
      <c r="DQ147" s="21" t="str">
        <f>PartsMaster!$A142</f>
        <v>HJA7783BC</v>
      </c>
      <c r="DR147" s="21" t="s">
        <v>1181</v>
      </c>
      <c r="DS147" s="21" t="str">
        <f>PartsMaster!$K143&amp;" "&amp;PartsMaster!L143&amp;" "&amp;PartsMaster!$M143</f>
        <v>Center Center Top</v>
      </c>
    </row>
    <row r="148" spans="1:123" ht="30" x14ac:dyDescent="0.25">
      <c r="A148" s="20" t="s">
        <v>1166</v>
      </c>
      <c r="B148" s="20" t="s">
        <v>1167</v>
      </c>
      <c r="C148" s="20" t="s">
        <v>1168</v>
      </c>
      <c r="D148" s="21" t="str">
        <f>PartsMaster!B20&amp;" "&amp;PartsMaster!$C20</f>
        <v>Jaguar XK8 XKR X100 XJ8 XJR X308 Ball joint boot</v>
      </c>
      <c r="E148" s="20">
        <v>3000</v>
      </c>
      <c r="F148" s="20" t="s">
        <v>1182</v>
      </c>
      <c r="H148" s="21">
        <f>PartsMaster!$Q20</f>
        <v>0</v>
      </c>
      <c r="I148" s="20">
        <v>9886</v>
      </c>
      <c r="K148" s="20">
        <v>0</v>
      </c>
      <c r="L148" s="20">
        <v>0</v>
      </c>
      <c r="M148" s="21">
        <f>PartsMaster!$D20</f>
        <v>4</v>
      </c>
      <c r="O148" s="20" t="s">
        <v>1169</v>
      </c>
      <c r="P148" s="23">
        <f>PartsMaster!$S20/1.45</f>
        <v>1.3793103448275863</v>
      </c>
      <c r="S148" s="20">
        <v>30</v>
      </c>
      <c r="T148" s="20">
        <v>0</v>
      </c>
      <c r="U148" s="20" t="s">
        <v>1170</v>
      </c>
      <c r="Z148" s="26" t="str">
        <f>"&lt;P&gt;"&amp;PartsMaster!$I20&amp;" "&amp;PartsMaster!$H20&amp;"&lt;/P&gt;"&amp;"&lt;P&gt;Jaguar part name "&amp;PartsMaster!$E20&amp;"&lt;/P&gt;&lt;P&gt;Product numbers "&amp;PartsMaster!R20&amp;" "&amp;DQ148&amp;"&lt;/P&gt;&lt;P&gt;Fits starting from VIN/ModelYear "&amp;PartsMaster!$F20&amp;" until VIN/ModelYear "&amp;PartsMaster!$G20&amp;"&lt;/P&gt;&lt;P&gt;Condition: "&amp;PartsMaster!AB20&amp;"&lt;/P&gt;&lt;P&gt; (part source "&amp;PartsMaster!AD20&amp;")&lt;/P&gt;&lt;P&gt;Notes: "&amp;PartsMaster!AA20&amp;"&lt;/P&gt;"</f>
        <v>&lt;P&gt;Suspension Boot&lt;/P&gt;&lt;P&gt;Jaguar part name N/A&lt;/P&gt;&lt;P&gt;Product numbers  Balljoint-Boot&lt;/P&gt;&lt;P&gt;Fits starting from VIN/ModelYear X100 MY1996 - X308 MY1998 until VIN/ModelYear X100 MY2006 - X308 All&lt;/P&gt;&lt;P&gt;Condition: &lt;/P&gt;&lt;P&gt; (part source )&lt;/P&gt;&lt;P&gt;Notes: Not known if these are for upper or lower ball joints.&lt;/P&gt;</v>
      </c>
      <c r="AA148" s="20" t="s">
        <v>1171</v>
      </c>
      <c r="AC148" s="20">
        <v>0</v>
      </c>
      <c r="AD148" s="20">
        <v>0</v>
      </c>
      <c r="AE148" s="20" t="s">
        <v>1172</v>
      </c>
      <c r="AF148" s="20">
        <v>7</v>
      </c>
      <c r="AG148" s="20">
        <v>0</v>
      </c>
      <c r="AH148" s="20">
        <v>0</v>
      </c>
      <c r="AI148" s="20">
        <v>0</v>
      </c>
      <c r="AJ148" s="20">
        <v>0</v>
      </c>
      <c r="AK148" s="20">
        <v>0</v>
      </c>
      <c r="AO148" s="20" t="s">
        <v>1173</v>
      </c>
      <c r="AR148" s="20">
        <v>0</v>
      </c>
      <c r="AS148" s="20">
        <v>10112</v>
      </c>
      <c r="AV148" s="20" t="s">
        <v>1174</v>
      </c>
      <c r="AX148" s="20">
        <v>62128510024</v>
      </c>
      <c r="AY148" s="20">
        <v>62035811024</v>
      </c>
      <c r="AZ148" s="20">
        <v>55187694024</v>
      </c>
      <c r="BA148" s="20" t="s">
        <v>1175</v>
      </c>
      <c r="BB148" s="20" t="s">
        <v>1176</v>
      </c>
      <c r="BC148" s="20" t="s">
        <v>1177</v>
      </c>
      <c r="BD148" s="20">
        <v>1</v>
      </c>
      <c r="BE148" s="20">
        <v>0</v>
      </c>
      <c r="BF148" s="20">
        <v>0</v>
      </c>
      <c r="BG148" s="20">
        <v>0</v>
      </c>
      <c r="BN148" s="20" t="s">
        <v>1178</v>
      </c>
      <c r="BV148" s="20">
        <v>0</v>
      </c>
      <c r="CL148" s="20">
        <v>0</v>
      </c>
      <c r="DD148" s="20" t="s">
        <v>1179</v>
      </c>
      <c r="DE148" s="20" t="s">
        <v>1179</v>
      </c>
      <c r="DI148" s="20">
        <v>0</v>
      </c>
      <c r="DP148" s="21" t="s">
        <v>1180</v>
      </c>
      <c r="DQ148" s="21" t="str">
        <f>PartsMaster!$A20</f>
        <v>Balljoint-Boot</v>
      </c>
      <c r="DR148" s="21" t="s">
        <v>1181</v>
      </c>
      <c r="DS148" s="21" t="str">
        <f>PartsMaster!$K21&amp;" "&amp;PartsMaster!L21&amp;" "&amp;PartsMaster!$M21</f>
        <v>Front Left/Right Low</v>
      </c>
    </row>
    <row r="149" spans="1:123" ht="30" x14ac:dyDescent="0.25">
      <c r="A149" s="20" t="s">
        <v>1166</v>
      </c>
      <c r="B149" s="20" t="s">
        <v>1167</v>
      </c>
      <c r="C149" s="20" t="s">
        <v>1168</v>
      </c>
      <c r="D149" s="21" t="str">
        <f>PartsMaster!B159&amp;" "&amp;PartsMaster!$C159</f>
        <v>Jaguar XK8 XKR X100 Seatbelt Front - Topmount plastic cover trim</v>
      </c>
      <c r="E149" s="20">
        <v>3000</v>
      </c>
      <c r="F149" s="20" t="s">
        <v>1182</v>
      </c>
      <c r="H149" s="21" t="str">
        <f>PartsMaster!$Q159</f>
        <v>CAP-SEATBELT</v>
      </c>
      <c r="I149" s="20">
        <v>9886</v>
      </c>
      <c r="K149" s="20">
        <v>0</v>
      </c>
      <c r="L149" s="20">
        <v>0</v>
      </c>
      <c r="M149" s="21">
        <f>PartsMaster!$D159</f>
        <v>0</v>
      </c>
      <c r="O149" s="20" t="s">
        <v>1169</v>
      </c>
      <c r="P149" s="23">
        <f>PartsMaster!$S159/1.45</f>
        <v>0</v>
      </c>
      <c r="S149" s="20">
        <v>30</v>
      </c>
      <c r="T149" s="20">
        <v>0</v>
      </c>
      <c r="U149" s="20" t="s">
        <v>1170</v>
      </c>
      <c r="Z149" s="26" t="str">
        <f>"&lt;P&gt;"&amp;PartsMaster!$I159&amp;" "&amp;PartsMaster!$H159&amp;"&lt;/P&gt;"&amp;"&lt;P&gt;Jaguar part name "&amp;PartsMaster!$E159&amp;"&lt;/P&gt;&lt;P&gt;Product numbers "&amp;PartsMaster!R159&amp;" "&amp;DQ149&amp;"&lt;/P&gt;&lt;P&gt;Fits starting from VIN/ModelYear "&amp;PartsMaster!$F159&amp;" until VIN/ModelYear "&amp;PartsMaster!$G159&amp;"&lt;/P&gt;&lt;P&gt;Condition: "&amp;PartsMaster!AB159&amp;"&lt;/P&gt;&lt;P&gt; (part source "&amp;PartsMaster!AD159&amp;")&lt;/P&gt;&lt;P&gt;Notes: "&amp;PartsMaster!AA159&amp;"&lt;/P&gt;"</f>
        <v>&lt;P&gt;Cap / Cover Cap / Cover / Trim&lt;/P&gt;&lt;P&gt;Jaguar part name Seatbelt Cap&lt;/P&gt;&lt;P&gt;Product numbers HND7150AAAEK  HND7150AAAEK &lt;/P&gt;&lt;P&gt;Fits starting from VIN/ModelYear 19229 until VIN/ModelYear &lt;/P&gt;&lt;P&gt;Condition: SNG Barrat&lt;/P&gt;&lt;P&gt; (part source )&lt;/P&gt;&lt;P&gt;Notes: &lt;/P&gt;</v>
      </c>
      <c r="AA149" s="20" t="s">
        <v>1171</v>
      </c>
      <c r="AC149" s="20">
        <v>0</v>
      </c>
      <c r="AD149" s="20">
        <v>0</v>
      </c>
      <c r="AE149" s="20" t="s">
        <v>1172</v>
      </c>
      <c r="AF149" s="20">
        <v>7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O149" s="20" t="s">
        <v>1173</v>
      </c>
      <c r="AR149" s="20">
        <v>0</v>
      </c>
      <c r="AS149" s="20">
        <v>10112</v>
      </c>
      <c r="AV149" s="20" t="s">
        <v>1174</v>
      </c>
      <c r="AX149" s="20">
        <v>62128510024</v>
      </c>
      <c r="AY149" s="20">
        <v>62035811024</v>
      </c>
      <c r="AZ149" s="20">
        <v>55187694024</v>
      </c>
      <c r="BA149" s="20" t="s">
        <v>1175</v>
      </c>
      <c r="BB149" s="20" t="s">
        <v>1176</v>
      </c>
      <c r="BC149" s="20" t="s">
        <v>1177</v>
      </c>
      <c r="BD149" s="20">
        <v>1</v>
      </c>
      <c r="BE149" s="20">
        <v>0</v>
      </c>
      <c r="BF149" s="20">
        <v>0</v>
      </c>
      <c r="BG149" s="20">
        <v>0</v>
      </c>
      <c r="BN149" s="20" t="s">
        <v>1178</v>
      </c>
      <c r="BV149" s="20">
        <v>0</v>
      </c>
      <c r="CL149" s="20">
        <v>0</v>
      </c>
      <c r="DD149" s="20" t="s">
        <v>1179</v>
      </c>
      <c r="DE149" s="20" t="s">
        <v>1179</v>
      </c>
      <c r="DI149" s="20">
        <v>0</v>
      </c>
      <c r="DP149" s="21" t="s">
        <v>1180</v>
      </c>
      <c r="DQ149" s="21" t="str">
        <f>PartsMaster!$A159</f>
        <v xml:space="preserve">HND7150AAAEK </v>
      </c>
      <c r="DR149" s="21" t="s">
        <v>1181</v>
      </c>
      <c r="DS149" s="21" t="str">
        <f>PartsMaster!$K160&amp;" "&amp;PartsMaster!L160&amp;" "&amp;PartsMaster!$M160</f>
        <v>Front Left/Right Top</v>
      </c>
    </row>
    <row r="150" spans="1:123" ht="30" x14ac:dyDescent="0.25">
      <c r="A150" s="20" t="s">
        <v>1166</v>
      </c>
      <c r="B150" s="20" t="s">
        <v>1167</v>
      </c>
      <c r="C150" s="20" t="s">
        <v>1168</v>
      </c>
      <c r="D150" s="21" t="str">
        <f>PartsMaster!B160&amp;" "&amp;PartsMaster!$C160</f>
        <v>Jaguar XK8 XKR X100 Seatbelt Front - Topmount plastic cover trim</v>
      </c>
      <c r="E150" s="20">
        <v>3000</v>
      </c>
      <c r="F150" s="20" t="s">
        <v>1182</v>
      </c>
      <c r="H150" s="21" t="str">
        <f>PartsMaster!$Q160</f>
        <v xml:space="preserve">Seat Belt Cover </v>
      </c>
      <c r="I150" s="20">
        <v>9886</v>
      </c>
      <c r="K150" s="20">
        <v>0</v>
      </c>
      <c r="L150" s="20">
        <v>0</v>
      </c>
      <c r="M150" s="21">
        <f>PartsMaster!$D160</f>
        <v>0</v>
      </c>
      <c r="O150" s="20" t="s">
        <v>1169</v>
      </c>
      <c r="P150" s="23">
        <f>PartsMaster!$S160/1.45</f>
        <v>0</v>
      </c>
      <c r="S150" s="20">
        <v>30</v>
      </c>
      <c r="T150" s="20">
        <v>0</v>
      </c>
      <c r="U150" s="20" t="s">
        <v>1170</v>
      </c>
      <c r="Z150" s="26" t="str">
        <f>"&lt;P&gt;"&amp;PartsMaster!$I160&amp;" "&amp;PartsMaster!$H160&amp;"&lt;/P&gt;"&amp;"&lt;P&gt;Jaguar part name "&amp;PartsMaster!$E160&amp;"&lt;/P&gt;&lt;P&gt;Product numbers "&amp;PartsMaster!R160&amp;" "&amp;DQ150&amp;"&lt;/P&gt;&lt;P&gt;Fits starting from VIN/ModelYear "&amp;PartsMaster!$F160&amp;" until VIN/ModelYear "&amp;PartsMaster!$G160&amp;"&lt;/P&gt;&lt;P&gt;Condition: "&amp;PartsMaster!AB160&amp;"&lt;/P&gt;&lt;P&gt; (part source "&amp;PartsMaster!AD160&amp;")&lt;/P&gt;&lt;P&gt;Notes: "&amp;PartsMaster!AA160&amp;"&lt;/P&gt;"</f>
        <v>&lt;P&gt;Cap / Cover Cap / Cover / Trim&lt;/P&gt;&lt;P&gt;Jaguar part name Seatbelt Cap&lt;/P&gt;&lt;P&gt;Product numbers HND7150AAAGD HND7150AAAGD &lt;/P&gt;&lt;P&gt;Fits starting from VIN/ModelYear 19229 until VIN/ModelYear &lt;/P&gt;&lt;P&gt;Condition: BP&lt;/P&gt;&lt;P&gt; (part source )&lt;/P&gt;&lt;P&gt;Notes: &lt;/P&gt;</v>
      </c>
      <c r="AA150" s="20" t="s">
        <v>1171</v>
      </c>
      <c r="AC150" s="20">
        <v>0</v>
      </c>
      <c r="AD150" s="20">
        <v>0</v>
      </c>
      <c r="AE150" s="20" t="s">
        <v>1172</v>
      </c>
      <c r="AF150" s="20">
        <v>7</v>
      </c>
      <c r="AG150" s="20">
        <v>0</v>
      </c>
      <c r="AH150" s="20">
        <v>0</v>
      </c>
      <c r="AI150" s="20">
        <v>0</v>
      </c>
      <c r="AJ150" s="20">
        <v>0</v>
      </c>
      <c r="AK150" s="20">
        <v>0</v>
      </c>
      <c r="AO150" s="20" t="s">
        <v>1173</v>
      </c>
      <c r="AR150" s="20">
        <v>0</v>
      </c>
      <c r="AS150" s="20">
        <v>10112</v>
      </c>
      <c r="AV150" s="20" t="s">
        <v>1174</v>
      </c>
      <c r="AX150" s="20">
        <v>62128510024</v>
      </c>
      <c r="AY150" s="20">
        <v>62035811024</v>
      </c>
      <c r="AZ150" s="20">
        <v>55187694024</v>
      </c>
      <c r="BA150" s="20" t="s">
        <v>1175</v>
      </c>
      <c r="BB150" s="20" t="s">
        <v>1176</v>
      </c>
      <c r="BC150" s="20" t="s">
        <v>1177</v>
      </c>
      <c r="BD150" s="20">
        <v>1</v>
      </c>
      <c r="BE150" s="20">
        <v>0</v>
      </c>
      <c r="BF150" s="20">
        <v>0</v>
      </c>
      <c r="BG150" s="20">
        <v>0</v>
      </c>
      <c r="BN150" s="20" t="s">
        <v>1178</v>
      </c>
      <c r="BV150" s="20">
        <v>0</v>
      </c>
      <c r="CL150" s="20">
        <v>0</v>
      </c>
      <c r="DD150" s="20" t="s">
        <v>1179</v>
      </c>
      <c r="DE150" s="20" t="s">
        <v>1179</v>
      </c>
      <c r="DI150" s="20">
        <v>0</v>
      </c>
      <c r="DP150" s="21" t="s">
        <v>1180</v>
      </c>
      <c r="DQ150" s="21" t="str">
        <f>PartsMaster!$A160</f>
        <v xml:space="preserve">HND7150AAAGD </v>
      </c>
      <c r="DR150" s="21" t="s">
        <v>1181</v>
      </c>
      <c r="DS150" s="21" t="str">
        <f>PartsMaster!$K161&amp;" "&amp;PartsMaster!L161&amp;" "&amp;PartsMaster!$M161</f>
        <v>Front Left/Right Top</v>
      </c>
    </row>
    <row r="151" spans="1:123" hidden="1" x14ac:dyDescent="0.25">
      <c r="A151" s="20" t="s">
        <v>1166</v>
      </c>
      <c r="B151" s="20" t="s">
        <v>1167</v>
      </c>
      <c r="C151" s="20" t="s">
        <v>1168</v>
      </c>
      <c r="D151" s="21" t="str">
        <f>PartsMaster!B378&amp;" "&amp;PartsMaster!$C378</f>
        <v>Jaguar XK8 XKR X100 Seat  - Mechanism cover - Cream</v>
      </c>
      <c r="E151" s="20">
        <v>3000</v>
      </c>
      <c r="F151" s="20" t="s">
        <v>1182</v>
      </c>
      <c r="H151" s="21">
        <f>PartsMaster!$Q378</f>
        <v>0</v>
      </c>
      <c r="I151" s="20">
        <v>9886</v>
      </c>
      <c r="K151" s="20">
        <v>0</v>
      </c>
      <c r="L151" s="20">
        <v>0</v>
      </c>
      <c r="M151" s="21">
        <f>PartsMaster!$D378</f>
        <v>0</v>
      </c>
      <c r="O151" s="20" t="s">
        <v>1169</v>
      </c>
      <c r="P151" s="23">
        <f>PartsMaster!$S378/1.45</f>
        <v>0</v>
      </c>
      <c r="S151" s="20">
        <v>30</v>
      </c>
      <c r="T151" s="20">
        <v>0</v>
      </c>
      <c r="U151" s="20" t="s">
        <v>1170</v>
      </c>
      <c r="Z151" s="26" t="str">
        <f>"&lt;P&gt;"&amp;PartsMaster!$I378&amp;" "&amp;PartsMaster!$H378&amp;"&lt;/P&gt;"&amp;"&lt;P&gt;Jaguar part name "&amp;PartsMaster!$E378&amp;"&lt;/P&gt;&lt;P&gt;Product numbers "&amp;PartsMaster!R378&amp;" "&amp;DQ151&amp;"&lt;/P&gt;&lt;P&gt;Fits starting from VIN/ModelYear "&amp;PartsMaster!$F378&amp;" until VIN/ModelYear "&amp;PartsMaster!$G378&amp;"&lt;/P&gt;&lt;P&gt;Condition: "&amp;PartsMaster!AB378&amp;"&lt;/P&gt;&lt;P&gt; (part source "&amp;PartsMaster!AD378&amp;")&lt;/P&gt;&lt;P&gt;Notes: "&amp;PartsMaster!AA378&amp;"&lt;/P&gt;"</f>
        <v>&lt;P&gt;Cap / Cover Cap / Cover / Trim&lt;/P&gt;&lt;P&gt;Jaguar part name &lt;/P&gt;&lt;P&gt;Product numbers  0&lt;/P&gt;&lt;P&gt;Fits starting from VIN/ModelYear 18108 until VIN/ModelYear -&lt;/P&gt;&lt;P&gt;Condition: &lt;/P&gt;&lt;P&gt; (part source )&lt;/P&gt;&lt;P&gt;Notes: &lt;/P&gt;</v>
      </c>
      <c r="AA151" s="20" t="s">
        <v>1171</v>
      </c>
      <c r="AC151" s="20">
        <v>0</v>
      </c>
      <c r="AD151" s="20">
        <v>0</v>
      </c>
      <c r="AE151" s="20" t="s">
        <v>1172</v>
      </c>
      <c r="AF151" s="20">
        <v>7</v>
      </c>
      <c r="AG151" s="20">
        <v>0</v>
      </c>
      <c r="AH151" s="20">
        <v>0</v>
      </c>
      <c r="AI151" s="20">
        <v>0</v>
      </c>
      <c r="AJ151" s="20">
        <v>0</v>
      </c>
      <c r="AK151" s="20">
        <v>0</v>
      </c>
      <c r="AO151" s="20" t="s">
        <v>1173</v>
      </c>
      <c r="AR151" s="20">
        <v>0</v>
      </c>
      <c r="AS151" s="20">
        <v>10112</v>
      </c>
      <c r="AV151" s="20" t="s">
        <v>1174</v>
      </c>
      <c r="AX151" s="20">
        <v>62128510024</v>
      </c>
      <c r="AY151" s="20">
        <v>62035811024</v>
      </c>
      <c r="AZ151" s="20">
        <v>55187694024</v>
      </c>
      <c r="BA151" s="20" t="s">
        <v>1175</v>
      </c>
      <c r="BB151" s="20" t="s">
        <v>1176</v>
      </c>
      <c r="BC151" s="20" t="s">
        <v>1177</v>
      </c>
      <c r="BD151" s="20">
        <v>1</v>
      </c>
      <c r="BE151" s="20">
        <v>0</v>
      </c>
      <c r="BF151" s="20">
        <v>0</v>
      </c>
      <c r="BG151" s="20">
        <v>0</v>
      </c>
      <c r="BN151" s="20" t="s">
        <v>1178</v>
      </c>
      <c r="BV151" s="20">
        <v>0</v>
      </c>
      <c r="CL151" s="20">
        <v>0</v>
      </c>
      <c r="DD151" s="20" t="s">
        <v>1179</v>
      </c>
      <c r="DE151" s="20" t="s">
        <v>1179</v>
      </c>
      <c r="DI151" s="20">
        <v>0</v>
      </c>
      <c r="DP151" s="21" t="s">
        <v>1180</v>
      </c>
      <c r="DQ151" s="21">
        <f>PartsMaster!$A378</f>
        <v>0</v>
      </c>
      <c r="DR151" s="21" t="s">
        <v>1181</v>
      </c>
      <c r="DS151" s="21" t="str">
        <f>PartsMaster!$K379&amp;" "&amp;PartsMaster!L379&amp;" "&amp;PartsMaster!$M379</f>
        <v>Front Left Low</v>
      </c>
    </row>
    <row r="152" spans="1:123" ht="30" hidden="1" x14ac:dyDescent="0.25">
      <c r="A152" s="20" t="s">
        <v>1166</v>
      </c>
      <c r="B152" s="20" t="s">
        <v>1167</v>
      </c>
      <c r="C152" s="20" t="s">
        <v>1168</v>
      </c>
      <c r="D152" s="21" t="str">
        <f>PartsMaster!B147&amp;" "&amp;PartsMaster!$C147</f>
        <v>Jaguar XK8 XKR X100 Hood frame</v>
      </c>
      <c r="E152" s="20">
        <v>3000</v>
      </c>
      <c r="F152" s="20" t="s">
        <v>1182</v>
      </c>
      <c r="H152" s="21" t="str">
        <f>PartsMaster!$Q147</f>
        <v>Hood frame</v>
      </c>
      <c r="I152" s="20">
        <v>9886</v>
      </c>
      <c r="K152" s="20">
        <v>0</v>
      </c>
      <c r="L152" s="20">
        <v>0</v>
      </c>
      <c r="M152" s="21">
        <f>PartsMaster!$D147</f>
        <v>1</v>
      </c>
      <c r="O152" s="20" t="s">
        <v>1169</v>
      </c>
      <c r="P152" s="23">
        <f>PartsMaster!$S147/1.45</f>
        <v>65.517241379310349</v>
      </c>
      <c r="S152" s="20">
        <v>30</v>
      </c>
      <c r="T152" s="20">
        <v>0</v>
      </c>
      <c r="U152" s="20" t="s">
        <v>1170</v>
      </c>
      <c r="Z152" s="26" t="str">
        <f>"&lt;P&gt;"&amp;PartsMaster!$I147&amp;" "&amp;PartsMaster!$H147&amp;"&lt;/P&gt;"&amp;"&lt;P&gt;Jaguar part name "&amp;PartsMaster!$E147&amp;"&lt;/P&gt;&lt;P&gt;Product numbers "&amp;PartsMaster!R147&amp;" "&amp;DQ152&amp;"&lt;/P&gt;&lt;P&gt;Fits starting from VIN/ModelYear "&amp;PartsMaster!$F147&amp;" until VIN/ModelYear "&amp;PartsMaster!$G147&amp;"&lt;/P&gt;&lt;P&gt;Condition: "&amp;PartsMaster!AB147&amp;"&lt;/P&gt;&lt;P&gt; (part source "&amp;PartsMaster!AD147&amp;")&lt;/P&gt;&lt;P&gt;Notes: "&amp;PartsMaster!AA147&amp;"&lt;/P&gt;"</f>
        <v>&lt;P&gt;Convertible top Hood / Convertible Top&lt;/P&gt;&lt;P&gt;Jaguar part name BODY CLOSURES AND SEALING/CONVERTABLE HOOD AND SEALS&lt;/P&gt;&lt;P&gt;Product numbers HJA8418AB HJA8418AB&lt;/P&gt;&lt;P&gt;Fits starting from VIN/ModelYear  until VIN/ModelYear &lt;/P&gt;&lt;P&gt;Condition: Dismantled from bottom &amp; engine damaged MY1997 XK8 Convertible VIN 0136xx&lt;/P&gt;&lt;P&gt; (part source KK)&lt;/P&gt;&lt;P&gt;Notes: Convertable&lt;/P&gt;</v>
      </c>
      <c r="AA152" s="20" t="s">
        <v>1171</v>
      </c>
      <c r="AC152" s="20">
        <v>0</v>
      </c>
      <c r="AD152" s="20">
        <v>0</v>
      </c>
      <c r="AE152" s="20" t="s">
        <v>1172</v>
      </c>
      <c r="AF152" s="20">
        <v>7</v>
      </c>
      <c r="AG152" s="20">
        <v>0</v>
      </c>
      <c r="AH152" s="20">
        <v>0</v>
      </c>
      <c r="AI152" s="20">
        <v>0</v>
      </c>
      <c r="AJ152" s="20">
        <v>0</v>
      </c>
      <c r="AK152" s="20">
        <v>0</v>
      </c>
      <c r="AO152" s="20" t="s">
        <v>1173</v>
      </c>
      <c r="AR152" s="20">
        <v>0</v>
      </c>
      <c r="AS152" s="20">
        <v>10112</v>
      </c>
      <c r="AV152" s="20" t="s">
        <v>1174</v>
      </c>
      <c r="AX152" s="20">
        <v>62128510024</v>
      </c>
      <c r="AY152" s="20">
        <v>62035811024</v>
      </c>
      <c r="AZ152" s="20">
        <v>55187694024</v>
      </c>
      <c r="BA152" s="20" t="s">
        <v>1175</v>
      </c>
      <c r="BB152" s="20" t="s">
        <v>1176</v>
      </c>
      <c r="BC152" s="20" t="s">
        <v>1177</v>
      </c>
      <c r="BD152" s="20">
        <v>1</v>
      </c>
      <c r="BE152" s="20">
        <v>0</v>
      </c>
      <c r="BF152" s="20">
        <v>0</v>
      </c>
      <c r="BG152" s="20">
        <v>0</v>
      </c>
      <c r="BN152" s="20" t="s">
        <v>1178</v>
      </c>
      <c r="BV152" s="20">
        <v>0</v>
      </c>
      <c r="CL152" s="20">
        <v>0</v>
      </c>
      <c r="DD152" s="20" t="s">
        <v>1179</v>
      </c>
      <c r="DE152" s="20" t="s">
        <v>1179</v>
      </c>
      <c r="DI152" s="20">
        <v>0</v>
      </c>
      <c r="DP152" s="21" t="s">
        <v>1180</v>
      </c>
      <c r="DQ152" s="21" t="str">
        <f>PartsMaster!$A147</f>
        <v>HJA8418AB</v>
      </c>
      <c r="DR152" s="21" t="s">
        <v>1181</v>
      </c>
      <c r="DS152" s="21" t="str">
        <f>PartsMaster!$K148&amp;" "&amp;PartsMaster!L148&amp;" "&amp;PartsMaster!$M148</f>
        <v>Center Left Top</v>
      </c>
    </row>
    <row r="153" spans="1:123" x14ac:dyDescent="0.25">
      <c r="A153" s="20" t="s">
        <v>1166</v>
      </c>
      <c r="B153" s="20" t="s">
        <v>1167</v>
      </c>
      <c r="C153" s="20" t="s">
        <v>1168</v>
      </c>
      <c r="D153" s="21" t="str">
        <f>PartsMaster!B372&amp;" "&amp;PartsMaster!$C372</f>
        <v>Jaguar XK8 XKR X100 Seat  - Mechanism cover - Coffee</v>
      </c>
      <c r="E153" s="20">
        <v>3000</v>
      </c>
      <c r="F153" s="20" t="s">
        <v>1182</v>
      </c>
      <c r="H153" s="21">
        <f>PartsMaster!$Q372</f>
        <v>0</v>
      </c>
      <c r="I153" s="20">
        <v>9886</v>
      </c>
      <c r="K153" s="20">
        <v>0</v>
      </c>
      <c r="L153" s="20">
        <v>0</v>
      </c>
      <c r="M153" s="21">
        <f>PartsMaster!$D372</f>
        <v>0</v>
      </c>
      <c r="O153" s="20" t="s">
        <v>1169</v>
      </c>
      <c r="P153" s="23">
        <f>PartsMaster!$S372/1.45</f>
        <v>0</v>
      </c>
      <c r="S153" s="20">
        <v>30</v>
      </c>
      <c r="T153" s="20">
        <v>0</v>
      </c>
      <c r="U153" s="20" t="s">
        <v>1170</v>
      </c>
      <c r="Z153" s="26" t="str">
        <f>"&lt;P&gt;"&amp;PartsMaster!$I372&amp;" "&amp;PartsMaster!$H372&amp;"&lt;/P&gt;"&amp;"&lt;P&gt;Jaguar part name "&amp;PartsMaster!$E372&amp;"&lt;/P&gt;&lt;P&gt;Product numbers "&amp;PartsMaster!R372&amp;" "&amp;DQ153&amp;"&lt;/P&gt;&lt;P&gt;Fits starting from VIN/ModelYear "&amp;PartsMaster!$F372&amp;" until VIN/ModelYear "&amp;PartsMaster!$G372&amp;"&lt;/P&gt;&lt;P&gt;Condition: "&amp;PartsMaster!AB372&amp;"&lt;/P&gt;&lt;P&gt; (part source "&amp;PartsMaster!AD372&amp;")&lt;/P&gt;&lt;P&gt;Notes: "&amp;PartsMaster!AA372&amp;"&lt;/P&gt;"</f>
        <v>&lt;P&gt;Cap / Cover Cap / Cover / Trim&lt;/P&gt;&lt;P&gt;Jaguar part name &lt;/P&gt;&lt;P&gt;Product numbers  0&lt;/P&gt;&lt;P&gt;Fits starting from VIN/ModelYear 18108 until VIN/ModelYear -&lt;/P&gt;&lt;P&gt;Condition: &lt;/P&gt;&lt;P&gt; (part source )&lt;/P&gt;&lt;P&gt;Notes: &lt;/P&gt;</v>
      </c>
      <c r="AA153" s="20" t="s">
        <v>1171</v>
      </c>
      <c r="AC153" s="20">
        <v>0</v>
      </c>
      <c r="AD153" s="20">
        <v>0</v>
      </c>
      <c r="AE153" s="20" t="s">
        <v>1172</v>
      </c>
      <c r="AF153" s="20">
        <v>7</v>
      </c>
      <c r="AG153" s="20">
        <v>0</v>
      </c>
      <c r="AH153" s="20">
        <v>0</v>
      </c>
      <c r="AI153" s="20">
        <v>0</v>
      </c>
      <c r="AJ153" s="20">
        <v>0</v>
      </c>
      <c r="AK153" s="20">
        <v>0</v>
      </c>
      <c r="AO153" s="20" t="s">
        <v>1173</v>
      </c>
      <c r="AR153" s="20">
        <v>0</v>
      </c>
      <c r="AS153" s="20">
        <v>10112</v>
      </c>
      <c r="AV153" s="20" t="s">
        <v>1174</v>
      </c>
      <c r="AX153" s="20">
        <v>62128510024</v>
      </c>
      <c r="AY153" s="20">
        <v>62035811024</v>
      </c>
      <c r="AZ153" s="20">
        <v>55187694024</v>
      </c>
      <c r="BA153" s="20" t="s">
        <v>1175</v>
      </c>
      <c r="BB153" s="20" t="s">
        <v>1176</v>
      </c>
      <c r="BC153" s="20" t="s">
        <v>1177</v>
      </c>
      <c r="BD153" s="20">
        <v>1</v>
      </c>
      <c r="BE153" s="20">
        <v>0</v>
      </c>
      <c r="BF153" s="20">
        <v>0</v>
      </c>
      <c r="BG153" s="20">
        <v>0</v>
      </c>
      <c r="BN153" s="20" t="s">
        <v>1178</v>
      </c>
      <c r="BV153" s="20">
        <v>0</v>
      </c>
      <c r="CL153" s="20">
        <v>0</v>
      </c>
      <c r="DD153" s="20" t="s">
        <v>1179</v>
      </c>
      <c r="DE153" s="20" t="s">
        <v>1179</v>
      </c>
      <c r="DI153" s="20">
        <v>0</v>
      </c>
      <c r="DP153" s="21" t="s">
        <v>1180</v>
      </c>
      <c r="DQ153" s="21">
        <f>PartsMaster!$A372</f>
        <v>0</v>
      </c>
      <c r="DR153" s="21" t="s">
        <v>1181</v>
      </c>
      <c r="DS153" s="21" t="str">
        <f>PartsMaster!$K373&amp;" "&amp;PartsMaster!L373&amp;" "&amp;PartsMaster!$M373</f>
        <v>Front Right Low</v>
      </c>
    </row>
    <row r="154" spans="1:123" ht="45" x14ac:dyDescent="0.25">
      <c r="A154" s="20" t="s">
        <v>1166</v>
      </c>
      <c r="B154" s="20" t="s">
        <v>1167</v>
      </c>
      <c r="C154" s="20" t="s">
        <v>1168</v>
      </c>
      <c r="D154" s="21" t="str">
        <f>PartsMaster!B298&amp;" "&amp;PartsMaster!$C298</f>
        <v>Jaguar XK8 XKR X100 XJ8 XJR X308 Camshaft Mount and Bolts</v>
      </c>
      <c r="E154" s="20">
        <v>3000</v>
      </c>
      <c r="F154" s="20" t="s">
        <v>1182</v>
      </c>
      <c r="H154" s="21">
        <f>PartsMaster!$Q298</f>
        <v>0</v>
      </c>
      <c r="I154" s="20">
        <v>9886</v>
      </c>
      <c r="K154" s="20">
        <v>0</v>
      </c>
      <c r="L154" s="20">
        <v>0</v>
      </c>
      <c r="M154" s="21">
        <f>PartsMaster!$D298</f>
        <v>10</v>
      </c>
      <c r="O154" s="20" t="s">
        <v>1169</v>
      </c>
      <c r="P154" s="23">
        <f>PartsMaster!$S298/1.45</f>
        <v>1.7241379310344829</v>
      </c>
      <c r="S154" s="20">
        <v>30</v>
      </c>
      <c r="T154" s="20">
        <v>0</v>
      </c>
      <c r="U154" s="20" t="s">
        <v>1170</v>
      </c>
      <c r="Z154" s="26" t="str">
        <f>"&lt;P&gt;"&amp;PartsMaster!$I298&amp;" "&amp;PartsMaster!$H298&amp;"&lt;/P&gt;"&amp;"&lt;P&gt;Jaguar part name "&amp;PartsMaster!$E298&amp;"&lt;/P&gt;&lt;P&gt;Product numbers "&amp;PartsMaster!R298&amp;" "&amp;DQ154&amp;"&lt;/P&gt;&lt;P&gt;Fits starting from VIN/ModelYear "&amp;PartsMaster!$F298&amp;" until VIN/ModelYear "&amp;PartsMaster!$G298&amp;"&lt;/P&gt;&lt;P&gt;Condition: "&amp;PartsMaster!AB298&amp;"&lt;/P&gt;&lt;P&gt; (part source "&amp;PartsMaster!AD298&amp;")&lt;/P&gt;&lt;P&gt;Notes: "&amp;PartsMaster!AA298&amp;"&lt;/P&gt;"</f>
        <v>&lt;P&gt;Engine Engine parts&lt;/P&gt;&lt;P&gt;Jaguar part name ENGINE/CYLINDER HEAD - Cylinder head - with valves - Hexagonal head flanged bolt M6 x 35mm (and Camshaft Mount)&lt;/P&gt;&lt;P&gt;Product numbers  NCA2603AF-NCA2602AF-Camshaft Mount&lt;/P&gt;&lt;P&gt;Fits starting from VIN/ModelYear X100 MY1996 - X308 812317 until VIN/ModelYear X100 031302 - X308 853935&lt;/P&gt;&lt;P&gt;Condition: Dismantled from bottom &amp; engine damaged MY1997 XK8 Convertible VIN 0136xx&lt;/P&gt;&lt;P&gt; (part source )&lt;/P&gt;&lt;P&gt;Notes: &lt;/P&gt;</v>
      </c>
      <c r="AA154" s="20" t="s">
        <v>1171</v>
      </c>
      <c r="AC154" s="20">
        <v>0</v>
      </c>
      <c r="AD154" s="20">
        <v>0</v>
      </c>
      <c r="AE154" s="20" t="s">
        <v>1172</v>
      </c>
      <c r="AF154" s="20">
        <v>7</v>
      </c>
      <c r="AG154" s="20">
        <v>0</v>
      </c>
      <c r="AH154" s="20">
        <v>0</v>
      </c>
      <c r="AI154" s="20">
        <v>0</v>
      </c>
      <c r="AJ154" s="20">
        <v>0</v>
      </c>
      <c r="AK154" s="20">
        <v>0</v>
      </c>
      <c r="AO154" s="20" t="s">
        <v>1173</v>
      </c>
      <c r="AR154" s="20">
        <v>0</v>
      </c>
      <c r="AS154" s="20">
        <v>10112</v>
      </c>
      <c r="AV154" s="20" t="s">
        <v>1174</v>
      </c>
      <c r="AX154" s="20">
        <v>62128510024</v>
      </c>
      <c r="AY154" s="20">
        <v>62035811024</v>
      </c>
      <c r="AZ154" s="20">
        <v>55187694024</v>
      </c>
      <c r="BA154" s="20" t="s">
        <v>1175</v>
      </c>
      <c r="BB154" s="20" t="s">
        <v>1176</v>
      </c>
      <c r="BC154" s="20" t="s">
        <v>1177</v>
      </c>
      <c r="BD154" s="20">
        <v>1</v>
      </c>
      <c r="BE154" s="20">
        <v>0</v>
      </c>
      <c r="BF154" s="20">
        <v>0</v>
      </c>
      <c r="BG154" s="20">
        <v>0</v>
      </c>
      <c r="BN154" s="20" t="s">
        <v>1178</v>
      </c>
      <c r="BV154" s="20">
        <v>0</v>
      </c>
      <c r="CL154" s="20">
        <v>0</v>
      </c>
      <c r="DD154" s="20" t="s">
        <v>1179</v>
      </c>
      <c r="DE154" s="20" t="s">
        <v>1179</v>
      </c>
      <c r="DI154" s="20">
        <v>0</v>
      </c>
      <c r="DP154" s="21" t="s">
        <v>1180</v>
      </c>
      <c r="DQ154" s="21" t="str">
        <f>PartsMaster!$A298</f>
        <v>NCA2603AF-NCA2602AF-Camshaft Mount</v>
      </c>
      <c r="DR154" s="21" t="s">
        <v>1181</v>
      </c>
      <c r="DS154" s="21" t="str">
        <f>PartsMaster!$K299&amp;" "&amp;PartsMaster!L299&amp;" "&amp;PartsMaster!$M299</f>
        <v>Front Left N/A</v>
      </c>
    </row>
    <row r="155" spans="1:123" x14ac:dyDescent="0.25">
      <c r="A155" s="20" t="s">
        <v>1166</v>
      </c>
      <c r="B155" s="20" t="s">
        <v>1167</v>
      </c>
      <c r="C155" s="20" t="s">
        <v>1168</v>
      </c>
      <c r="D155" s="21" t="str">
        <f>PartsMaster!B201&amp;" "&amp;PartsMaster!$C201</f>
        <v>Jaguar XK8 XKR X100 Plenum cover rivet screw</v>
      </c>
      <c r="E155" s="20">
        <v>3000</v>
      </c>
      <c r="F155" s="20" t="s">
        <v>1182</v>
      </c>
      <c r="H155" s="21" t="str">
        <f>PartsMaster!$Q201</f>
        <v>Screw</v>
      </c>
      <c r="I155" s="20">
        <v>9886</v>
      </c>
      <c r="K155" s="20">
        <v>0</v>
      </c>
      <c r="L155" s="20">
        <v>0</v>
      </c>
      <c r="M155" s="21">
        <f>PartsMaster!$D201</f>
        <v>0</v>
      </c>
      <c r="O155" s="20" t="s">
        <v>1169</v>
      </c>
      <c r="P155" s="23">
        <f>PartsMaster!$S201/1.45</f>
        <v>0</v>
      </c>
      <c r="S155" s="20">
        <v>30</v>
      </c>
      <c r="T155" s="20">
        <v>0</v>
      </c>
      <c r="U155" s="20" t="s">
        <v>1170</v>
      </c>
      <c r="Z155" s="26" t="str">
        <f>"&lt;P&gt;"&amp;PartsMaster!$I201&amp;" "&amp;PartsMaster!$H201&amp;"&lt;/P&gt;"&amp;"&lt;P&gt;Jaguar part name "&amp;PartsMaster!$E201&amp;"&lt;/P&gt;&lt;P&gt;Product numbers "&amp;PartsMaster!R201&amp;" "&amp;DQ155&amp;"&lt;/P&gt;&lt;P&gt;Fits starting from VIN/ModelYear "&amp;PartsMaster!$F201&amp;" until VIN/ModelYear "&amp;PartsMaster!$G201&amp;"&lt;/P&gt;&lt;P&gt;Condition: "&amp;PartsMaster!AB201&amp;"&lt;/P&gt;&lt;P&gt; (part source "&amp;PartsMaster!AD201&amp;")&lt;/P&gt;&lt;P&gt;Notes: "&amp;PartsMaster!AA201&amp;"&lt;/P&gt;"</f>
        <v>&lt;P&gt; Bolt / Screw&lt;/P&gt;&lt;P&gt;Jaguar part name &lt;/P&gt;&lt;P&gt;Product numbers KRS116140 KRS116140&lt;/P&gt;&lt;P&gt;Fits starting from VIN/ModelYear  until VIN/ModelYear &lt;/P&gt;&lt;P&gt;Condition: SNG Barrat&lt;/P&gt;&lt;P&gt; (part source )&lt;/P&gt;&lt;P&gt;Notes: &lt;/P&gt;</v>
      </c>
      <c r="AA155" s="20" t="s">
        <v>1171</v>
      </c>
      <c r="AC155" s="20">
        <v>0</v>
      </c>
      <c r="AD155" s="20">
        <v>0</v>
      </c>
      <c r="AE155" s="20" t="s">
        <v>1172</v>
      </c>
      <c r="AF155" s="20">
        <v>7</v>
      </c>
      <c r="AG155" s="20">
        <v>0</v>
      </c>
      <c r="AH155" s="20">
        <v>0</v>
      </c>
      <c r="AI155" s="20">
        <v>0</v>
      </c>
      <c r="AJ155" s="20">
        <v>0</v>
      </c>
      <c r="AK155" s="20">
        <v>0</v>
      </c>
      <c r="AO155" s="20" t="s">
        <v>1173</v>
      </c>
      <c r="AR155" s="20">
        <v>0</v>
      </c>
      <c r="AS155" s="20">
        <v>10112</v>
      </c>
      <c r="AV155" s="20" t="s">
        <v>1174</v>
      </c>
      <c r="AX155" s="20">
        <v>62128510024</v>
      </c>
      <c r="AY155" s="20">
        <v>62035811024</v>
      </c>
      <c r="AZ155" s="20">
        <v>55187694024</v>
      </c>
      <c r="BA155" s="20" t="s">
        <v>1175</v>
      </c>
      <c r="BB155" s="20" t="s">
        <v>1176</v>
      </c>
      <c r="BC155" s="20" t="s">
        <v>1177</v>
      </c>
      <c r="BD155" s="20">
        <v>1</v>
      </c>
      <c r="BE155" s="20">
        <v>0</v>
      </c>
      <c r="BF155" s="20">
        <v>0</v>
      </c>
      <c r="BG155" s="20">
        <v>0</v>
      </c>
      <c r="BN155" s="20" t="s">
        <v>1178</v>
      </c>
      <c r="BV155" s="20">
        <v>0</v>
      </c>
      <c r="CL155" s="20">
        <v>0</v>
      </c>
      <c r="DD155" s="20" t="s">
        <v>1179</v>
      </c>
      <c r="DE155" s="20" t="s">
        <v>1179</v>
      </c>
      <c r="DI155" s="20">
        <v>0</v>
      </c>
      <c r="DP155" s="21" t="s">
        <v>1180</v>
      </c>
      <c r="DQ155" s="21" t="str">
        <f>PartsMaster!$A201</f>
        <v>KRS116140</v>
      </c>
      <c r="DR155" s="21" t="s">
        <v>1181</v>
      </c>
      <c r="DS155" s="21" t="str">
        <f>PartsMaster!$K202&amp;" "&amp;PartsMaster!L202&amp;" "&amp;PartsMaster!$M202</f>
        <v xml:space="preserve">  </v>
      </c>
    </row>
    <row r="156" spans="1:123" ht="30" hidden="1" x14ac:dyDescent="0.25">
      <c r="A156" s="20" t="s">
        <v>1166</v>
      </c>
      <c r="B156" s="20" t="s">
        <v>1167</v>
      </c>
      <c r="C156" s="20" t="s">
        <v>1168</v>
      </c>
      <c r="D156" s="21" t="str">
        <f>PartsMaster!B144&amp;" "&amp;PartsMaster!$C144</f>
        <v>Jaguar XK8 XKR X100 Hood headlining</v>
      </c>
      <c r="E156" s="20">
        <v>3000</v>
      </c>
      <c r="F156" s="20" t="s">
        <v>1182</v>
      </c>
      <c r="H156" s="21" t="str">
        <f>PartsMaster!$Q144</f>
        <v>Hood headliner</v>
      </c>
      <c r="I156" s="20">
        <v>9886</v>
      </c>
      <c r="K156" s="20">
        <v>0</v>
      </c>
      <c r="L156" s="20">
        <v>0</v>
      </c>
      <c r="M156" s="21">
        <f>PartsMaster!$D144</f>
        <v>1</v>
      </c>
      <c r="O156" s="20" t="s">
        <v>1169</v>
      </c>
      <c r="P156" s="23">
        <f>PartsMaster!$S144/1.45</f>
        <v>203.44827586206898</v>
      </c>
      <c r="S156" s="20">
        <v>30</v>
      </c>
      <c r="T156" s="20">
        <v>0</v>
      </c>
      <c r="U156" s="20" t="s">
        <v>1170</v>
      </c>
      <c r="Z156" s="26" t="str">
        <f>"&lt;P&gt;"&amp;PartsMaster!$I144&amp;" "&amp;PartsMaster!$H144&amp;"&lt;/P&gt;"&amp;"&lt;P&gt;Jaguar part name "&amp;PartsMaster!$E144&amp;"&lt;/P&gt;&lt;P&gt;Product numbers "&amp;PartsMaster!R144&amp;" "&amp;DQ156&amp;"&lt;/P&gt;&lt;P&gt;Fits starting from VIN/ModelYear "&amp;PartsMaster!$F144&amp;" until VIN/ModelYear "&amp;PartsMaster!$G144&amp;"&lt;/P&gt;&lt;P&gt;Condition: "&amp;PartsMaster!AB144&amp;"&lt;/P&gt;&lt;P&gt; (part source "&amp;PartsMaster!AD144&amp;")&lt;/P&gt;&lt;P&gt;Notes: "&amp;PartsMaster!AA144&amp;"&lt;/P&gt;"</f>
        <v>&lt;P&gt;Convertible top Hood / Convertible Top&lt;/P&gt;&lt;P&gt;Jaguar part name BODY CLOSURES AND SEALING/CONVERTABLE HOOD AND SEALS - Hood headlining&lt;/P&gt;&lt;P&gt;Product numbers HJA7809AALFJ HJA7809AALFJ&lt;/P&gt;&lt;P&gt;Fits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156" s="20" t="s">
        <v>1171</v>
      </c>
      <c r="AC156" s="20">
        <v>0</v>
      </c>
      <c r="AD156" s="20">
        <v>0</v>
      </c>
      <c r="AE156" s="20" t="s">
        <v>1172</v>
      </c>
      <c r="AF156" s="20">
        <v>7</v>
      </c>
      <c r="AG156" s="20">
        <v>0</v>
      </c>
      <c r="AH156" s="20">
        <v>0</v>
      </c>
      <c r="AI156" s="20">
        <v>0</v>
      </c>
      <c r="AJ156" s="20">
        <v>0</v>
      </c>
      <c r="AK156" s="20">
        <v>0</v>
      </c>
      <c r="AO156" s="20" t="s">
        <v>1173</v>
      </c>
      <c r="AR156" s="20">
        <v>0</v>
      </c>
      <c r="AS156" s="20">
        <v>10112</v>
      </c>
      <c r="AV156" s="20" t="s">
        <v>1174</v>
      </c>
      <c r="AX156" s="20">
        <v>62128510024</v>
      </c>
      <c r="AY156" s="20">
        <v>62035811024</v>
      </c>
      <c r="AZ156" s="20">
        <v>55187694024</v>
      </c>
      <c r="BA156" s="20" t="s">
        <v>1175</v>
      </c>
      <c r="BB156" s="20" t="s">
        <v>1176</v>
      </c>
      <c r="BC156" s="20" t="s">
        <v>1177</v>
      </c>
      <c r="BD156" s="20">
        <v>1</v>
      </c>
      <c r="BE156" s="20">
        <v>0</v>
      </c>
      <c r="BF156" s="20">
        <v>0</v>
      </c>
      <c r="BG156" s="20">
        <v>0</v>
      </c>
      <c r="BN156" s="20" t="s">
        <v>1178</v>
      </c>
      <c r="BV156" s="20">
        <v>0</v>
      </c>
      <c r="CL156" s="20">
        <v>0</v>
      </c>
      <c r="DD156" s="20" t="s">
        <v>1179</v>
      </c>
      <c r="DE156" s="20" t="s">
        <v>1179</v>
      </c>
      <c r="DI156" s="20">
        <v>0</v>
      </c>
      <c r="DP156" s="21" t="s">
        <v>1180</v>
      </c>
      <c r="DQ156" s="21" t="str">
        <f>PartsMaster!$A144</f>
        <v>HJA7809AALFJ</v>
      </c>
      <c r="DR156" s="21" t="s">
        <v>1181</v>
      </c>
      <c r="DS156" s="21" t="str">
        <f>PartsMaster!$K145&amp;" "&amp;PartsMaster!L145&amp;" "&amp;PartsMaster!$M145</f>
        <v>Front Center Top</v>
      </c>
    </row>
    <row r="157" spans="1:123" ht="30" x14ac:dyDescent="0.25">
      <c r="A157" s="20" t="s">
        <v>1166</v>
      </c>
      <c r="B157" s="20" t="s">
        <v>1167</v>
      </c>
      <c r="C157" s="20" t="s">
        <v>1168</v>
      </c>
      <c r="D157" s="21" t="str">
        <f>PartsMaster!B151&amp;" "&amp;PartsMaster!$C151</f>
        <v>Jaguar XK8 XKR X100 Badge - XK8</v>
      </c>
      <c r="E157" s="20">
        <v>3000</v>
      </c>
      <c r="F157" s="20" t="s">
        <v>1182</v>
      </c>
      <c r="H157" s="21">
        <f>PartsMaster!$Q151</f>
        <v>0</v>
      </c>
      <c r="I157" s="20">
        <v>9886</v>
      </c>
      <c r="K157" s="20">
        <v>0</v>
      </c>
      <c r="L157" s="20">
        <v>0</v>
      </c>
      <c r="M157" s="21">
        <f>PartsMaster!$D151</f>
        <v>0</v>
      </c>
      <c r="O157" s="20" t="s">
        <v>1169</v>
      </c>
      <c r="P157" s="23">
        <f>PartsMaster!$S151/1.45</f>
        <v>0</v>
      </c>
      <c r="S157" s="20">
        <v>30</v>
      </c>
      <c r="T157" s="20">
        <v>0</v>
      </c>
      <c r="U157" s="20" t="s">
        <v>1170</v>
      </c>
      <c r="Z157" s="26" t="str">
        <f>"&lt;P&gt;"&amp;PartsMaster!$I151&amp;" "&amp;PartsMaster!$H151&amp;"&lt;/P&gt;"&amp;"&lt;P&gt;Jaguar part name "&amp;PartsMaster!$E151&amp;"&lt;/P&gt;&lt;P&gt;Product numbers "&amp;PartsMaster!R151&amp;" "&amp;DQ157&amp;"&lt;/P&gt;&lt;P&gt;Fits starting from VIN/ModelYear "&amp;PartsMaster!$F151&amp;" until VIN/ModelYear "&amp;PartsMaster!$G151&amp;"&lt;/P&gt;&lt;P&gt;Condition: "&amp;PartsMaster!AB151&amp;"&lt;/P&gt;&lt;P&gt; (part source "&amp;PartsMaster!AD151&amp;")&lt;/P&gt;&lt;P&gt;Notes: "&amp;PartsMaster!AA151&amp;"&lt;/P&gt;"</f>
        <v>&lt;P&gt; Badge&lt;/P&gt;&lt;P&gt;Jaguar part name Nameplate (Adhesive) - XK8&lt;/P&gt;&lt;P&gt;Product numbers  HJB5980BB&lt;/P&gt;&lt;P&gt;Fits starting from VIN/ModelYear 24687 until VIN/ModelYear MY2002&lt;/P&gt;&lt;P&gt;Condition: &lt;/P&gt;&lt;P&gt; (part source )&lt;/P&gt;&lt;P&gt;Notes: &lt;/P&gt;</v>
      </c>
      <c r="AA157" s="20" t="s">
        <v>1171</v>
      </c>
      <c r="AC157" s="20">
        <v>0</v>
      </c>
      <c r="AD157" s="20">
        <v>0</v>
      </c>
      <c r="AE157" s="20" t="s">
        <v>1172</v>
      </c>
      <c r="AF157" s="20">
        <v>7</v>
      </c>
      <c r="AG157" s="20">
        <v>0</v>
      </c>
      <c r="AH157" s="20">
        <v>0</v>
      </c>
      <c r="AI157" s="20">
        <v>0</v>
      </c>
      <c r="AJ157" s="20">
        <v>0</v>
      </c>
      <c r="AK157" s="20">
        <v>0</v>
      </c>
      <c r="AO157" s="20" t="s">
        <v>1173</v>
      </c>
      <c r="AR157" s="20">
        <v>0</v>
      </c>
      <c r="AS157" s="20">
        <v>10112</v>
      </c>
      <c r="AV157" s="20" t="s">
        <v>1174</v>
      </c>
      <c r="AX157" s="20">
        <v>62128510024</v>
      </c>
      <c r="AY157" s="20">
        <v>62035811024</v>
      </c>
      <c r="AZ157" s="20">
        <v>55187694024</v>
      </c>
      <c r="BA157" s="20" t="s">
        <v>1175</v>
      </c>
      <c r="BB157" s="20" t="s">
        <v>1176</v>
      </c>
      <c r="BC157" s="20" t="s">
        <v>1177</v>
      </c>
      <c r="BD157" s="20">
        <v>1</v>
      </c>
      <c r="BE157" s="20">
        <v>0</v>
      </c>
      <c r="BF157" s="20">
        <v>0</v>
      </c>
      <c r="BG157" s="20">
        <v>0</v>
      </c>
      <c r="BN157" s="20" t="s">
        <v>1178</v>
      </c>
      <c r="BV157" s="20">
        <v>0</v>
      </c>
      <c r="CL157" s="20">
        <v>0</v>
      </c>
      <c r="DD157" s="20" t="s">
        <v>1179</v>
      </c>
      <c r="DE157" s="20" t="s">
        <v>1179</v>
      </c>
      <c r="DI157" s="20">
        <v>0</v>
      </c>
      <c r="DP157" s="21" t="s">
        <v>1180</v>
      </c>
      <c r="DQ157" s="21" t="str">
        <f>PartsMaster!$A151</f>
        <v>HJB5980BB</v>
      </c>
      <c r="DR157" s="21" t="s">
        <v>1181</v>
      </c>
      <c r="DS157" s="21" t="str">
        <f>PartsMaster!$K152&amp;" "&amp;PartsMaster!L152&amp;" "&amp;PartsMaster!$M152</f>
        <v xml:space="preserve">Rear Left </v>
      </c>
    </row>
    <row r="158" spans="1:123" ht="30" x14ac:dyDescent="0.25">
      <c r="A158" s="20" t="s">
        <v>1166</v>
      </c>
      <c r="B158" s="20" t="s">
        <v>1167</v>
      </c>
      <c r="C158" s="20" t="s">
        <v>1168</v>
      </c>
      <c r="D158" s="21" t="str">
        <f>PartsMaster!B152&amp;" "&amp;PartsMaster!$C152</f>
        <v>Jaguar XK8 XKR X100 Badge - Jaguar</v>
      </c>
      <c r="E158" s="20">
        <v>3000</v>
      </c>
      <c r="F158" s="20" t="s">
        <v>1182</v>
      </c>
      <c r="H158" s="21">
        <f>PartsMaster!$Q152</f>
        <v>0</v>
      </c>
      <c r="I158" s="20">
        <v>9886</v>
      </c>
      <c r="K158" s="20">
        <v>0</v>
      </c>
      <c r="L158" s="20">
        <v>0</v>
      </c>
      <c r="M158" s="21">
        <f>PartsMaster!$D152</f>
        <v>0</v>
      </c>
      <c r="O158" s="20" t="s">
        <v>1169</v>
      </c>
      <c r="P158" s="23">
        <f>PartsMaster!$S152/1.45</f>
        <v>0</v>
      </c>
      <c r="S158" s="20">
        <v>30</v>
      </c>
      <c r="T158" s="20">
        <v>0</v>
      </c>
      <c r="U158" s="20" t="s">
        <v>1170</v>
      </c>
      <c r="Z158" s="26" t="str">
        <f>"&lt;P&gt;"&amp;PartsMaster!$I152&amp;" "&amp;PartsMaster!$H152&amp;"&lt;/P&gt;"&amp;"&lt;P&gt;Jaguar part name "&amp;PartsMaster!$E152&amp;"&lt;/P&gt;&lt;P&gt;Product numbers "&amp;PartsMaster!R152&amp;" "&amp;DQ158&amp;"&lt;/P&gt;&lt;P&gt;Fits starting from VIN/ModelYear "&amp;PartsMaster!$F152&amp;" until VIN/ModelYear "&amp;PartsMaster!$G152&amp;"&lt;/P&gt;&lt;P&gt;Condition: "&amp;PartsMaster!AB152&amp;"&lt;/P&gt;&lt;P&gt; (part source "&amp;PartsMaster!AD152&amp;")&lt;/P&gt;&lt;P&gt;Notes: "&amp;PartsMaster!AA152&amp;"&lt;/P&gt;"</f>
        <v>&lt;P&gt; Badge&lt;/P&gt;&lt;P&gt;Jaguar part name Nameplate (Adhesive) - Jaguar&lt;/P&gt;&lt;P&gt;Product numbers  HJB5981AB&lt;/P&gt;&lt;P&gt;Fits starting from VIN/ModelYear 24687 until VIN/ModelYear MY2005&lt;/P&gt;&lt;P&gt;Condition: &lt;/P&gt;&lt;P&gt; (part source )&lt;/P&gt;&lt;P&gt;Notes: &lt;/P&gt;</v>
      </c>
      <c r="AA158" s="20" t="s">
        <v>1171</v>
      </c>
      <c r="AC158" s="20">
        <v>0</v>
      </c>
      <c r="AD158" s="20">
        <v>0</v>
      </c>
      <c r="AE158" s="20" t="s">
        <v>1172</v>
      </c>
      <c r="AF158" s="20">
        <v>7</v>
      </c>
      <c r="AG158" s="20">
        <v>0</v>
      </c>
      <c r="AH158" s="20">
        <v>0</v>
      </c>
      <c r="AI158" s="20">
        <v>0</v>
      </c>
      <c r="AJ158" s="20">
        <v>0</v>
      </c>
      <c r="AK158" s="20">
        <v>0</v>
      </c>
      <c r="AO158" s="20" t="s">
        <v>1173</v>
      </c>
      <c r="AR158" s="20">
        <v>0</v>
      </c>
      <c r="AS158" s="20">
        <v>10112</v>
      </c>
      <c r="AV158" s="20" t="s">
        <v>1174</v>
      </c>
      <c r="AX158" s="20">
        <v>62128510024</v>
      </c>
      <c r="AY158" s="20">
        <v>62035811024</v>
      </c>
      <c r="AZ158" s="20">
        <v>55187694024</v>
      </c>
      <c r="BA158" s="20" t="s">
        <v>1175</v>
      </c>
      <c r="BB158" s="20" t="s">
        <v>1176</v>
      </c>
      <c r="BC158" s="20" t="s">
        <v>1177</v>
      </c>
      <c r="BD158" s="20">
        <v>1</v>
      </c>
      <c r="BE158" s="20">
        <v>0</v>
      </c>
      <c r="BF158" s="20">
        <v>0</v>
      </c>
      <c r="BG158" s="20">
        <v>0</v>
      </c>
      <c r="BN158" s="20" t="s">
        <v>1178</v>
      </c>
      <c r="BV158" s="20">
        <v>0</v>
      </c>
      <c r="CL158" s="20">
        <v>0</v>
      </c>
      <c r="DD158" s="20" t="s">
        <v>1179</v>
      </c>
      <c r="DE158" s="20" t="s">
        <v>1179</v>
      </c>
      <c r="DI158" s="20">
        <v>0</v>
      </c>
      <c r="DP158" s="21" t="s">
        <v>1180</v>
      </c>
      <c r="DQ158" s="21" t="str">
        <f>PartsMaster!$A152</f>
        <v>HJB5981AB</v>
      </c>
      <c r="DR158" s="21" t="s">
        <v>1181</v>
      </c>
      <c r="DS158" s="21" t="str">
        <f>PartsMaster!$K153&amp;" "&amp;PartsMaster!L153&amp;" "&amp;PartsMaster!$M153</f>
        <v xml:space="preserve">Front Center </v>
      </c>
    </row>
    <row r="159" spans="1:123" ht="30" x14ac:dyDescent="0.25">
      <c r="A159" s="20" t="s">
        <v>1166</v>
      </c>
      <c r="B159" s="20" t="s">
        <v>1167</v>
      </c>
      <c r="C159" s="20" t="s">
        <v>1168</v>
      </c>
      <c r="D159" s="21" t="str">
        <f>PartsMaster!B154&amp;" "&amp;PartsMaster!$C154</f>
        <v>Jaguar XK8 XKR X100 Badge Hood Bonnet 4L</v>
      </c>
      <c r="E159" s="20">
        <v>3000</v>
      </c>
      <c r="F159" s="20" t="s">
        <v>1182</v>
      </c>
      <c r="H159" s="21" t="str">
        <f>PartsMaster!$Q154</f>
        <v>BADGE-BONNET</v>
      </c>
      <c r="I159" s="20">
        <v>9886</v>
      </c>
      <c r="K159" s="20">
        <v>0</v>
      </c>
      <c r="L159" s="20">
        <v>0</v>
      </c>
      <c r="M159" s="21">
        <f>PartsMaster!$D154</f>
        <v>0</v>
      </c>
      <c r="O159" s="20" t="s">
        <v>1169</v>
      </c>
      <c r="P159" s="23">
        <f>PartsMaster!$S154/1.45</f>
        <v>0</v>
      </c>
      <c r="S159" s="20">
        <v>30</v>
      </c>
      <c r="T159" s="20">
        <v>0</v>
      </c>
      <c r="U159" s="20" t="s">
        <v>1170</v>
      </c>
      <c r="Z159" s="26" t="str">
        <f>"&lt;P&gt;"&amp;PartsMaster!$I154&amp;" "&amp;PartsMaster!$H154&amp;"&lt;/P&gt;"&amp;"&lt;P&gt;Jaguar part name "&amp;PartsMaster!$E154&amp;"&lt;/P&gt;&lt;P&gt;Product numbers "&amp;PartsMaster!R154&amp;" "&amp;DQ159&amp;"&lt;/P&gt;&lt;P&gt;Fits starting from VIN/ModelYear "&amp;PartsMaster!$F154&amp;" until VIN/ModelYear "&amp;PartsMaster!$G154&amp;"&lt;/P&gt;&lt;P&gt;Condition: "&amp;PartsMaster!AB154&amp;"&lt;/P&gt;&lt;P&gt; (part source "&amp;PartsMaster!AD154&amp;")&lt;/P&gt;&lt;P&gt;Notes: "&amp;PartsMaster!AA154&amp;"&lt;/P&gt;"</f>
        <v>&lt;P&gt; Badge&lt;/P&gt;&lt;P&gt;Jaguar part name Jaguar Hood Bonnet Badge&lt;/P&gt;&lt;P&gt;Product numbers HJE5900AA/Pre-98-04 HJE5900AA&lt;/P&gt;&lt;P&gt;Fits starting from VIN/ModelYear  until VIN/ModelYear &lt;/P&gt;&lt;P&gt;Condition: &lt;/P&gt;&lt;P&gt; (part source )&lt;/P&gt;&lt;P&gt;Notes: &lt;/P&gt;</v>
      </c>
      <c r="AA159" s="20" t="s">
        <v>1171</v>
      </c>
      <c r="AC159" s="20">
        <v>0</v>
      </c>
      <c r="AD159" s="20">
        <v>0</v>
      </c>
      <c r="AE159" s="20" t="s">
        <v>1172</v>
      </c>
      <c r="AF159" s="20">
        <v>7</v>
      </c>
      <c r="AG159" s="20">
        <v>0</v>
      </c>
      <c r="AH159" s="20">
        <v>0</v>
      </c>
      <c r="AI159" s="20">
        <v>0</v>
      </c>
      <c r="AJ159" s="20">
        <v>0</v>
      </c>
      <c r="AK159" s="20">
        <v>0</v>
      </c>
      <c r="AO159" s="20" t="s">
        <v>1173</v>
      </c>
      <c r="AR159" s="20">
        <v>0</v>
      </c>
      <c r="AS159" s="20">
        <v>10112</v>
      </c>
      <c r="AV159" s="20" t="s">
        <v>1174</v>
      </c>
      <c r="AX159" s="20">
        <v>62128510024</v>
      </c>
      <c r="AY159" s="20">
        <v>62035811024</v>
      </c>
      <c r="AZ159" s="20">
        <v>55187694024</v>
      </c>
      <c r="BA159" s="20" t="s">
        <v>1175</v>
      </c>
      <c r="BB159" s="20" t="s">
        <v>1176</v>
      </c>
      <c r="BC159" s="20" t="s">
        <v>1177</v>
      </c>
      <c r="BD159" s="20">
        <v>1</v>
      </c>
      <c r="BE159" s="20">
        <v>0</v>
      </c>
      <c r="BF159" s="20">
        <v>0</v>
      </c>
      <c r="BG159" s="20">
        <v>0</v>
      </c>
      <c r="BN159" s="20" t="s">
        <v>1178</v>
      </c>
      <c r="BV159" s="20">
        <v>0</v>
      </c>
      <c r="CL159" s="20">
        <v>0</v>
      </c>
      <c r="DD159" s="20" t="s">
        <v>1179</v>
      </c>
      <c r="DE159" s="20" t="s">
        <v>1179</v>
      </c>
      <c r="DI159" s="20">
        <v>0</v>
      </c>
      <c r="DP159" s="21" t="s">
        <v>1180</v>
      </c>
      <c r="DQ159" s="21" t="str">
        <f>PartsMaster!$A154</f>
        <v>HJE5900AA</v>
      </c>
      <c r="DR159" s="21" t="s">
        <v>1181</v>
      </c>
      <c r="DS159" s="21" t="str">
        <f>PartsMaster!$K155&amp;" "&amp;PartsMaster!L155&amp;" "&amp;PartsMaster!$M155</f>
        <v>Front Right Bottom</v>
      </c>
    </row>
    <row r="160" spans="1:123" ht="30" hidden="1" x14ac:dyDescent="0.25">
      <c r="A160" s="20" t="s">
        <v>1166</v>
      </c>
      <c r="B160" s="20" t="s">
        <v>1167</v>
      </c>
      <c r="C160" s="20" t="s">
        <v>1168</v>
      </c>
      <c r="D160" s="21" t="str">
        <f>PartsMaster!B153&amp;" "&amp;PartsMaster!$C153</f>
        <v>Jaguar XK8 XKR X100 Badge Hood Bonnet 4.0L</v>
      </c>
      <c r="E160" s="20">
        <v>3000</v>
      </c>
      <c r="F160" s="20" t="s">
        <v>1182</v>
      </c>
      <c r="H160" s="21" t="str">
        <f>PartsMaster!$Q153</f>
        <v>BADGE-BONNET</v>
      </c>
      <c r="I160" s="20">
        <v>9886</v>
      </c>
      <c r="K160" s="20">
        <v>0</v>
      </c>
      <c r="L160" s="20">
        <v>0</v>
      </c>
      <c r="M160" s="21">
        <f>PartsMaster!$D153</f>
        <v>0</v>
      </c>
      <c r="O160" s="20" t="s">
        <v>1169</v>
      </c>
      <c r="P160" s="23">
        <f>PartsMaster!$S153/1.45</f>
        <v>0</v>
      </c>
      <c r="S160" s="20">
        <v>30</v>
      </c>
      <c r="T160" s="20">
        <v>0</v>
      </c>
      <c r="U160" s="20" t="s">
        <v>1170</v>
      </c>
      <c r="Z160" s="26" t="str">
        <f>"&lt;P&gt;"&amp;PartsMaster!$I153&amp;" "&amp;PartsMaster!$H153&amp;"&lt;/P&gt;"&amp;"&lt;P&gt;Jaguar part name "&amp;PartsMaster!$E153&amp;"&lt;/P&gt;&lt;P&gt;Product numbers "&amp;PartsMaster!R153&amp;" "&amp;DQ160&amp;"&lt;/P&gt;&lt;P&gt;Fits starting from VIN/ModelYear "&amp;PartsMaster!$F153&amp;" until VIN/ModelYear "&amp;PartsMaster!$G153&amp;"&lt;/P&gt;&lt;P&gt;Condition: "&amp;PartsMaster!AB153&amp;"&lt;/P&gt;&lt;P&gt; (part source "&amp;PartsMaster!AD153&amp;")&lt;/P&gt;&lt;P&gt;Notes: "&amp;PartsMaster!AA153&amp;"&lt;/P&gt;"</f>
        <v>&lt;P&gt; Badge&lt;/P&gt;&lt;P&gt;Jaguar part name Jaguar Hood Bonnet Badge&lt;/P&gt;&lt;P&gt;Product numbers HJE5900AA HJE5900AA&lt;/P&gt;&lt;P&gt;Fits starting from VIN/ModelYear  until VIN/ModelYear &lt;/P&gt;&lt;P&gt;Condition: British Parts&lt;/P&gt;&lt;P&gt; (part source )&lt;/P&gt;&lt;P&gt;Notes: &lt;/P&gt;</v>
      </c>
      <c r="AA160" s="20" t="s">
        <v>1171</v>
      </c>
      <c r="AC160" s="20">
        <v>0</v>
      </c>
      <c r="AD160" s="20">
        <v>0</v>
      </c>
      <c r="AE160" s="20" t="s">
        <v>1172</v>
      </c>
      <c r="AF160" s="20">
        <v>7</v>
      </c>
      <c r="AG160" s="20">
        <v>0</v>
      </c>
      <c r="AH160" s="20">
        <v>0</v>
      </c>
      <c r="AI160" s="20">
        <v>0</v>
      </c>
      <c r="AJ160" s="20">
        <v>0</v>
      </c>
      <c r="AK160" s="20">
        <v>0</v>
      </c>
      <c r="AO160" s="20" t="s">
        <v>1173</v>
      </c>
      <c r="AR160" s="20">
        <v>0</v>
      </c>
      <c r="AS160" s="20">
        <v>10112</v>
      </c>
      <c r="AV160" s="20" t="s">
        <v>1174</v>
      </c>
      <c r="AX160" s="20">
        <v>62128510024</v>
      </c>
      <c r="AY160" s="20">
        <v>62035811024</v>
      </c>
      <c r="AZ160" s="20">
        <v>55187694024</v>
      </c>
      <c r="BA160" s="20" t="s">
        <v>1175</v>
      </c>
      <c r="BB160" s="20" t="s">
        <v>1176</v>
      </c>
      <c r="BC160" s="20" t="s">
        <v>1177</v>
      </c>
      <c r="BD160" s="20">
        <v>1</v>
      </c>
      <c r="BE160" s="20">
        <v>0</v>
      </c>
      <c r="BF160" s="20">
        <v>0</v>
      </c>
      <c r="BG160" s="20">
        <v>0</v>
      </c>
      <c r="BN160" s="20" t="s">
        <v>1178</v>
      </c>
      <c r="BV160" s="20">
        <v>0</v>
      </c>
      <c r="CL160" s="20">
        <v>0</v>
      </c>
      <c r="DD160" s="20" t="s">
        <v>1179</v>
      </c>
      <c r="DE160" s="20" t="s">
        <v>1179</v>
      </c>
      <c r="DI160" s="20">
        <v>0</v>
      </c>
      <c r="DP160" s="21" t="s">
        <v>1180</v>
      </c>
      <c r="DQ160" s="21" t="str">
        <f>PartsMaster!$A153</f>
        <v>HJE5900AA</v>
      </c>
      <c r="DR160" s="21" t="s">
        <v>1181</v>
      </c>
      <c r="DS160" s="21" t="str">
        <f>PartsMaster!$K154&amp;" "&amp;PartsMaster!L154&amp;" "&amp;PartsMaster!$M154</f>
        <v xml:space="preserve">Front Center </v>
      </c>
    </row>
    <row r="161" spans="1:123" ht="30" x14ac:dyDescent="0.25">
      <c r="A161" s="20" t="s">
        <v>1166</v>
      </c>
      <c r="B161" s="20" t="s">
        <v>1167</v>
      </c>
      <c r="C161" s="20" t="s">
        <v>1168</v>
      </c>
      <c r="D161" s="21" t="str">
        <f>PartsMaster!B141&amp;" "&amp;PartsMaster!$C141</f>
        <v>Jaguar XK8 XKR X100 Hood frame seal Convertible RH Rear</v>
      </c>
      <c r="E161" s="20">
        <v>3000</v>
      </c>
      <c r="F161" s="20" t="s">
        <v>1182</v>
      </c>
      <c r="H161" s="21" t="str">
        <f>PartsMaster!$Q141</f>
        <v>Hood frame seal</v>
      </c>
      <c r="I161" s="20">
        <v>9886</v>
      </c>
      <c r="K161" s="20">
        <v>0</v>
      </c>
      <c r="L161" s="20">
        <v>0</v>
      </c>
      <c r="M161" s="21">
        <f>PartsMaster!$D141</f>
        <v>1</v>
      </c>
      <c r="O161" s="20" t="s">
        <v>1169</v>
      </c>
      <c r="P161" s="23">
        <f>PartsMaster!$S141/1.45</f>
        <v>51.724137931034484</v>
      </c>
      <c r="S161" s="20">
        <v>30</v>
      </c>
      <c r="T161" s="20">
        <v>0</v>
      </c>
      <c r="U161" s="20" t="s">
        <v>1170</v>
      </c>
      <c r="Z161" s="26" t="str">
        <f>"&lt;P&gt;"&amp;PartsMaster!$I141&amp;" "&amp;PartsMaster!$H141&amp;"&lt;/P&gt;"&amp;"&lt;P&gt;Jaguar part name "&amp;PartsMaster!$E141&amp;"&lt;/P&gt;&lt;P&gt;Product numbers "&amp;PartsMaster!R141&amp;" "&amp;DQ161&amp;"&lt;/P&gt;&lt;P&gt;Fits starting from VIN/ModelYear "&amp;PartsMaster!$F141&amp;" until VIN/ModelYear "&amp;PartsMaster!$G141&amp;"&lt;/P&gt;&lt;P&gt;Condition: "&amp;PartsMaster!AB141&amp;"&lt;/P&gt;&lt;P&gt; (part source "&amp;PartsMaster!AD141&amp;")&lt;/P&gt;&lt;P&gt;Notes: "&amp;PartsMaster!AA141&amp;"&lt;/P&gt;"</f>
        <v>&lt;P&gt;Seal Seal / Insulation&lt;/P&gt;&lt;P&gt;Jaguar part name BODY CLOSURES AND SEALING/CONVERTABLE HOOD AND SEALS - RH&lt;/P&gt;&lt;P&gt;Product numbers HJA7782BC + 6J311852NRC-MF HJA7782BC&lt;/P&gt;&lt;P&gt;Fits starting from VIN/ModelYear  until VIN/ModelYear &lt;/P&gt;&lt;P&gt;Condition: Dismantled from bottom &amp; engine damaged MY1997 XK8 Convertible VIN 0136xx&lt;/P&gt;&lt;P&gt; (part source KK)&lt;/P&gt;&lt;P&gt;Notes: Convertable&lt;/P&gt;</v>
      </c>
      <c r="AA161" s="20" t="s">
        <v>1171</v>
      </c>
      <c r="AC161" s="20">
        <v>0</v>
      </c>
      <c r="AD161" s="20">
        <v>0</v>
      </c>
      <c r="AE161" s="20" t="s">
        <v>1172</v>
      </c>
      <c r="AF161" s="20">
        <v>7</v>
      </c>
      <c r="AG161" s="20">
        <v>0</v>
      </c>
      <c r="AH161" s="20">
        <v>0</v>
      </c>
      <c r="AI161" s="20">
        <v>0</v>
      </c>
      <c r="AJ161" s="20">
        <v>0</v>
      </c>
      <c r="AK161" s="20">
        <v>0</v>
      </c>
      <c r="AO161" s="20" t="s">
        <v>1173</v>
      </c>
      <c r="AR161" s="20">
        <v>0</v>
      </c>
      <c r="AS161" s="20">
        <v>10112</v>
      </c>
      <c r="AV161" s="20" t="s">
        <v>1174</v>
      </c>
      <c r="AX161" s="20">
        <v>62128510024</v>
      </c>
      <c r="AY161" s="20">
        <v>62035811024</v>
      </c>
      <c r="AZ161" s="20">
        <v>55187694024</v>
      </c>
      <c r="BA161" s="20" t="s">
        <v>1175</v>
      </c>
      <c r="BB161" s="20" t="s">
        <v>1176</v>
      </c>
      <c r="BC161" s="20" t="s">
        <v>1177</v>
      </c>
      <c r="BD161" s="20">
        <v>1</v>
      </c>
      <c r="BE161" s="20">
        <v>0</v>
      </c>
      <c r="BF161" s="20">
        <v>0</v>
      </c>
      <c r="BG161" s="20">
        <v>0</v>
      </c>
      <c r="BN161" s="20" t="s">
        <v>1178</v>
      </c>
      <c r="BV161" s="20">
        <v>0</v>
      </c>
      <c r="CL161" s="20">
        <v>0</v>
      </c>
      <c r="DD161" s="20" t="s">
        <v>1179</v>
      </c>
      <c r="DE161" s="20" t="s">
        <v>1179</v>
      </c>
      <c r="DI161" s="20">
        <v>0</v>
      </c>
      <c r="DP161" s="21" t="s">
        <v>1180</v>
      </c>
      <c r="DQ161" s="21" t="str">
        <f>PartsMaster!$A141</f>
        <v>HJA7782BC</v>
      </c>
      <c r="DR161" s="21" t="s">
        <v>1181</v>
      </c>
      <c r="DS161" s="21" t="str">
        <f>PartsMaster!$K142&amp;" "&amp;PartsMaster!L142&amp;" "&amp;PartsMaster!$M142</f>
        <v>Rear Left Top</v>
      </c>
    </row>
    <row r="162" spans="1:123" ht="30" x14ac:dyDescent="0.25">
      <c r="A162" s="20" t="s">
        <v>1166</v>
      </c>
      <c r="B162" s="20" t="s">
        <v>1167</v>
      </c>
      <c r="C162" s="20" t="s">
        <v>1168</v>
      </c>
      <c r="D162" s="21" t="str">
        <f>PartsMaster!B148&amp;" "&amp;PartsMaster!$C148</f>
        <v>Jaguar XK8 XKR X100 Hood frame</v>
      </c>
      <c r="E162" s="20">
        <v>3000</v>
      </c>
      <c r="F162" s="20" t="s">
        <v>1182</v>
      </c>
      <c r="H162" s="21" t="str">
        <f>PartsMaster!$Q148</f>
        <v>Hood frame</v>
      </c>
      <c r="I162" s="20">
        <v>9886</v>
      </c>
      <c r="K162" s="20">
        <v>0</v>
      </c>
      <c r="L162" s="20">
        <v>0</v>
      </c>
      <c r="M162" s="21">
        <f>PartsMaster!$D148</f>
        <v>1</v>
      </c>
      <c r="O162" s="20" t="s">
        <v>1169</v>
      </c>
      <c r="P162" s="23">
        <f>PartsMaster!$S148/1.45</f>
        <v>65.517241379310349</v>
      </c>
      <c r="S162" s="20">
        <v>30</v>
      </c>
      <c r="T162" s="20">
        <v>0</v>
      </c>
      <c r="U162" s="20" t="s">
        <v>1170</v>
      </c>
      <c r="Z162" s="26" t="str">
        <f>"&lt;P&gt;"&amp;PartsMaster!$I148&amp;" "&amp;PartsMaster!$H148&amp;"&lt;/P&gt;"&amp;"&lt;P&gt;Jaguar part name "&amp;PartsMaster!$E148&amp;"&lt;/P&gt;&lt;P&gt;Product numbers "&amp;PartsMaster!R148&amp;" "&amp;DQ162&amp;"&lt;/P&gt;&lt;P&gt;Fits starting from VIN/ModelYear "&amp;PartsMaster!$F148&amp;" until VIN/ModelYear "&amp;PartsMaster!$G148&amp;"&lt;/P&gt;&lt;P&gt;Condition: "&amp;PartsMaster!AB148&amp;"&lt;/P&gt;&lt;P&gt; (part source "&amp;PartsMaster!AD148&amp;")&lt;/P&gt;&lt;P&gt;Notes: "&amp;PartsMaster!AA148&amp;"&lt;/P&gt;"</f>
        <v>&lt;P&gt;Convertible top Hood / Convertible Top&lt;/P&gt;&lt;P&gt;Jaguar part name BODY CLOSURES AND SEALING/CONVERTABLE HOOD AND SEALS&lt;/P&gt;&lt;P&gt;Product numbers HJA8419AB HJA8419AB&lt;/P&gt;&lt;P&gt;Fits starting from VIN/ModelYear  until VIN/ModelYear &lt;/P&gt;&lt;P&gt;Condition: Dismantled from bottom &amp; engine damaged MY1997 XK8 Convertible VIN 0136xx&lt;/P&gt;&lt;P&gt; (part source KK)&lt;/P&gt;&lt;P&gt;Notes: Convertable&lt;/P&gt;</v>
      </c>
      <c r="AA162" s="20" t="s">
        <v>1171</v>
      </c>
      <c r="AC162" s="20">
        <v>0</v>
      </c>
      <c r="AD162" s="20">
        <v>0</v>
      </c>
      <c r="AE162" s="20" t="s">
        <v>1172</v>
      </c>
      <c r="AF162" s="20">
        <v>7</v>
      </c>
      <c r="AG162" s="20">
        <v>0</v>
      </c>
      <c r="AH162" s="20">
        <v>0</v>
      </c>
      <c r="AI162" s="20">
        <v>0</v>
      </c>
      <c r="AJ162" s="20">
        <v>0</v>
      </c>
      <c r="AK162" s="20">
        <v>0</v>
      </c>
      <c r="AO162" s="20" t="s">
        <v>1173</v>
      </c>
      <c r="AR162" s="20">
        <v>0</v>
      </c>
      <c r="AS162" s="20">
        <v>10112</v>
      </c>
      <c r="AV162" s="20" t="s">
        <v>1174</v>
      </c>
      <c r="AX162" s="20">
        <v>62128510024</v>
      </c>
      <c r="AY162" s="20">
        <v>62035811024</v>
      </c>
      <c r="AZ162" s="20">
        <v>55187694024</v>
      </c>
      <c r="BA162" s="20" t="s">
        <v>1175</v>
      </c>
      <c r="BB162" s="20" t="s">
        <v>1176</v>
      </c>
      <c r="BC162" s="20" t="s">
        <v>1177</v>
      </c>
      <c r="BD162" s="20">
        <v>1</v>
      </c>
      <c r="BE162" s="20">
        <v>0</v>
      </c>
      <c r="BF162" s="20">
        <v>0</v>
      </c>
      <c r="BG162" s="20">
        <v>0</v>
      </c>
      <c r="BN162" s="20" t="s">
        <v>1178</v>
      </c>
      <c r="BV162" s="20">
        <v>0</v>
      </c>
      <c r="CL162" s="20">
        <v>0</v>
      </c>
      <c r="DD162" s="20" t="s">
        <v>1179</v>
      </c>
      <c r="DE162" s="20" t="s">
        <v>1179</v>
      </c>
      <c r="DI162" s="20">
        <v>0</v>
      </c>
      <c r="DP162" s="21" t="s">
        <v>1180</v>
      </c>
      <c r="DQ162" s="21" t="str">
        <f>PartsMaster!$A148</f>
        <v>HJA8419AB</v>
      </c>
      <c r="DR162" s="21" t="s">
        <v>1181</v>
      </c>
      <c r="DS162" s="21" t="str">
        <f>PartsMaster!$K149&amp;" "&amp;PartsMaster!L149&amp;" "&amp;PartsMaster!$M149</f>
        <v xml:space="preserve">Front Left </v>
      </c>
    </row>
    <row r="163" spans="1:123" ht="30" x14ac:dyDescent="0.25">
      <c r="A163" s="20" t="s">
        <v>1166</v>
      </c>
      <c r="B163" s="20" t="s">
        <v>1167</v>
      </c>
      <c r="C163" s="20" t="s">
        <v>1168</v>
      </c>
      <c r="D163" s="21" t="str">
        <f>PartsMaster!B143&amp;" "&amp;PartsMaster!$C143</f>
        <v>Jaguar XK8 XKR X100 Hood headlining</v>
      </c>
      <c r="E163" s="20">
        <v>3000</v>
      </c>
      <c r="F163" s="20" t="s">
        <v>1182</v>
      </c>
      <c r="H163" s="21" t="str">
        <f>PartsMaster!$Q143</f>
        <v>Hood headliner</v>
      </c>
      <c r="I163" s="20">
        <v>9886</v>
      </c>
      <c r="K163" s="20">
        <v>0</v>
      </c>
      <c r="L163" s="20">
        <v>0</v>
      </c>
      <c r="M163" s="21">
        <f>PartsMaster!$D143</f>
        <v>1</v>
      </c>
      <c r="O163" s="20" t="s">
        <v>1169</v>
      </c>
      <c r="P163" s="23">
        <f>PartsMaster!$S143/1.45</f>
        <v>86.206896551724142</v>
      </c>
      <c r="S163" s="20">
        <v>30</v>
      </c>
      <c r="T163" s="20">
        <v>0</v>
      </c>
      <c r="U163" s="20" t="s">
        <v>1170</v>
      </c>
      <c r="Z163" s="26" t="str">
        <f>"&lt;P&gt;"&amp;PartsMaster!$I143&amp;" "&amp;PartsMaster!$H143&amp;"&lt;/P&gt;"&amp;"&lt;P&gt;Jaguar part name "&amp;PartsMaster!$E143&amp;"&lt;/P&gt;&lt;P&gt;Product numbers "&amp;PartsMaster!R143&amp;" "&amp;DQ163&amp;"&lt;/P&gt;&lt;P&gt;Fits starting from VIN/ModelYear "&amp;PartsMaster!$F143&amp;" until VIN/ModelYear "&amp;PartsMaster!$G143&amp;"&lt;/P&gt;&lt;P&gt;Condition: "&amp;PartsMaster!AB143&amp;"&lt;/P&gt;&lt;P&gt; (part source "&amp;PartsMaster!AD143&amp;")&lt;/P&gt;&lt;P&gt;Notes: "&amp;PartsMaster!AA143&amp;"&lt;/P&gt;"</f>
        <v>&lt;P&gt;Convertible top Hood / Convertible Top&lt;/P&gt;&lt;P&gt;Jaguar part name BODY CLOSURES AND SEALING/CONVERTABLE HOOD AND SEALS - Hood headlining&lt;/P&gt;&lt;P&gt;Product numbers HJA7808AALFJ HJA7808AALFJ&lt;/P&gt;&lt;P&gt;Fits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163" s="20" t="s">
        <v>1171</v>
      </c>
      <c r="AC163" s="20">
        <v>0</v>
      </c>
      <c r="AD163" s="20">
        <v>0</v>
      </c>
      <c r="AE163" s="20" t="s">
        <v>1172</v>
      </c>
      <c r="AF163" s="20">
        <v>7</v>
      </c>
      <c r="AG163" s="20">
        <v>0</v>
      </c>
      <c r="AH163" s="20">
        <v>0</v>
      </c>
      <c r="AI163" s="20">
        <v>0</v>
      </c>
      <c r="AJ163" s="20">
        <v>0</v>
      </c>
      <c r="AK163" s="20">
        <v>0</v>
      </c>
      <c r="AO163" s="20" t="s">
        <v>1173</v>
      </c>
      <c r="AR163" s="20">
        <v>0</v>
      </c>
      <c r="AS163" s="20">
        <v>10112</v>
      </c>
      <c r="AV163" s="20" t="s">
        <v>1174</v>
      </c>
      <c r="AX163" s="20">
        <v>62128510024</v>
      </c>
      <c r="AY163" s="20">
        <v>62035811024</v>
      </c>
      <c r="AZ163" s="20">
        <v>55187694024</v>
      </c>
      <c r="BA163" s="20" t="s">
        <v>1175</v>
      </c>
      <c r="BB163" s="20" t="s">
        <v>1176</v>
      </c>
      <c r="BC163" s="20" t="s">
        <v>1177</v>
      </c>
      <c r="BD163" s="20">
        <v>1</v>
      </c>
      <c r="BE163" s="20">
        <v>0</v>
      </c>
      <c r="BF163" s="20">
        <v>0</v>
      </c>
      <c r="BG163" s="20">
        <v>0</v>
      </c>
      <c r="BN163" s="20" t="s">
        <v>1178</v>
      </c>
      <c r="BV163" s="20">
        <v>0</v>
      </c>
      <c r="CL163" s="20">
        <v>0</v>
      </c>
      <c r="DD163" s="20" t="s">
        <v>1179</v>
      </c>
      <c r="DE163" s="20" t="s">
        <v>1179</v>
      </c>
      <c r="DI163" s="20">
        <v>0</v>
      </c>
      <c r="DP163" s="21" t="s">
        <v>1180</v>
      </c>
      <c r="DQ163" s="21" t="str">
        <f>PartsMaster!$A143</f>
        <v>HJA7808AALFJ</v>
      </c>
      <c r="DR163" s="21" t="s">
        <v>1181</v>
      </c>
      <c r="DS163" s="21" t="str">
        <f>PartsMaster!$K144&amp;" "&amp;PartsMaster!L144&amp;" "&amp;PartsMaster!$M144</f>
        <v>Center Center Top</v>
      </c>
    </row>
    <row r="164" spans="1:123" ht="30" x14ac:dyDescent="0.25">
      <c r="A164" s="20" t="s">
        <v>1166</v>
      </c>
      <c r="B164" s="20" t="s">
        <v>1167</v>
      </c>
      <c r="C164" s="20" t="s">
        <v>1168</v>
      </c>
      <c r="D164" s="21" t="str">
        <f>PartsMaster!B145&amp;" "&amp;PartsMaster!$C145</f>
        <v>Jaguar XK8 XKR X100 Hood Latch Plate</v>
      </c>
      <c r="E164" s="20">
        <v>3000</v>
      </c>
      <c r="F164" s="20" t="s">
        <v>1182</v>
      </c>
      <c r="H164" s="21" t="str">
        <f>PartsMaster!$Q145</f>
        <v>Hood Latch Plate</v>
      </c>
      <c r="I164" s="20">
        <v>9886</v>
      </c>
      <c r="K164" s="20">
        <v>0</v>
      </c>
      <c r="L164" s="20">
        <v>0</v>
      </c>
      <c r="M164" s="21">
        <f>PartsMaster!$D145</f>
        <v>1</v>
      </c>
      <c r="O164" s="20" t="s">
        <v>1169</v>
      </c>
      <c r="P164" s="23">
        <f>PartsMaster!$S145/1.45</f>
        <v>103.44827586206897</v>
      </c>
      <c r="S164" s="20">
        <v>30</v>
      </c>
      <c r="T164" s="20">
        <v>0</v>
      </c>
      <c r="U164" s="20" t="s">
        <v>1170</v>
      </c>
      <c r="Z164" s="26" t="str">
        <f>"&lt;P&gt;"&amp;PartsMaster!$I145&amp;" "&amp;PartsMaster!$H145&amp;"&lt;/P&gt;"&amp;"&lt;P&gt;Jaguar part name "&amp;PartsMaster!$E145&amp;"&lt;/P&gt;&lt;P&gt;Product numbers "&amp;PartsMaster!R145&amp;" "&amp;DQ164&amp;"&lt;/P&gt;&lt;P&gt;Fits starting from VIN/ModelYear "&amp;PartsMaster!$F145&amp;" until VIN/ModelYear "&amp;PartsMaster!$G145&amp;"&lt;/P&gt;&lt;P&gt;Condition: "&amp;PartsMaster!AB145&amp;"&lt;/P&gt;&lt;P&gt; (part source "&amp;PartsMaster!AD145&amp;")&lt;/P&gt;&lt;P&gt;Notes: "&amp;PartsMaster!AA145&amp;"&lt;/P&gt;"</f>
        <v>&lt;P&gt;Convertible top Hood / Convertible Top&lt;/P&gt;&lt;P&gt;Jaguar part name BODY CLOSURES AND SEALING/CONVERTIBLE HOOD AND SEALS - Hood Latch Plate Assembly To VIN (024686)&lt;/P&gt;&lt;P&gt;Product numbers HJA8226EC HJA8226EC&lt;/P&gt;&lt;P&gt;Fits starting from VIN/ModelYear 1996 until VIN/ModelYear 2006&lt;/P&gt;&lt;P&gt;Condition: Dismantled from bottom &amp; engine damaged MY1997 XK8 Convertible VIN 0136xx&lt;/P&gt;&lt;P&gt; (part source JP)&lt;/P&gt;&lt;P&gt;Notes: &lt;/P&gt;</v>
      </c>
      <c r="AA164" s="20" t="s">
        <v>1171</v>
      </c>
      <c r="AC164" s="20">
        <v>0</v>
      </c>
      <c r="AD164" s="20">
        <v>0</v>
      </c>
      <c r="AE164" s="20" t="s">
        <v>1172</v>
      </c>
      <c r="AF164" s="20">
        <v>7</v>
      </c>
      <c r="AG164" s="20">
        <v>0</v>
      </c>
      <c r="AH164" s="20">
        <v>0</v>
      </c>
      <c r="AI164" s="20">
        <v>0</v>
      </c>
      <c r="AJ164" s="20">
        <v>0</v>
      </c>
      <c r="AK164" s="20">
        <v>0</v>
      </c>
      <c r="AO164" s="20" t="s">
        <v>1173</v>
      </c>
      <c r="AR164" s="20">
        <v>0</v>
      </c>
      <c r="AS164" s="20">
        <v>10112</v>
      </c>
      <c r="AV164" s="20" t="s">
        <v>1174</v>
      </c>
      <c r="AX164" s="20">
        <v>62128510024</v>
      </c>
      <c r="AY164" s="20">
        <v>62035811024</v>
      </c>
      <c r="AZ164" s="20">
        <v>55187694024</v>
      </c>
      <c r="BA164" s="20" t="s">
        <v>1175</v>
      </c>
      <c r="BB164" s="20" t="s">
        <v>1176</v>
      </c>
      <c r="BC164" s="20" t="s">
        <v>1177</v>
      </c>
      <c r="BD164" s="20">
        <v>1</v>
      </c>
      <c r="BE164" s="20">
        <v>0</v>
      </c>
      <c r="BF164" s="20">
        <v>0</v>
      </c>
      <c r="BG164" s="20">
        <v>0</v>
      </c>
      <c r="BN164" s="20" t="s">
        <v>1178</v>
      </c>
      <c r="BV164" s="20">
        <v>0</v>
      </c>
      <c r="CL164" s="20">
        <v>0</v>
      </c>
      <c r="DD164" s="20" t="s">
        <v>1179</v>
      </c>
      <c r="DE164" s="20" t="s">
        <v>1179</v>
      </c>
      <c r="DI164" s="20">
        <v>0</v>
      </c>
      <c r="DP164" s="21" t="s">
        <v>1180</v>
      </c>
      <c r="DQ164" s="21" t="str">
        <f>PartsMaster!$A145</f>
        <v>HJA8226EC</v>
      </c>
      <c r="DR164" s="21" t="s">
        <v>1181</v>
      </c>
      <c r="DS164" s="21" t="str">
        <f>PartsMaster!$K146&amp;" "&amp;PartsMaster!L146&amp;" "&amp;PartsMaster!$M146</f>
        <v>Center Right Top</v>
      </c>
    </row>
    <row r="165" spans="1:123" ht="30" x14ac:dyDescent="0.25">
      <c r="A165" s="20" t="s">
        <v>1166</v>
      </c>
      <c r="B165" s="20" t="s">
        <v>1167</v>
      </c>
      <c r="C165" s="20" t="s">
        <v>1168</v>
      </c>
      <c r="D165" s="21" t="str">
        <f>PartsMaster!B149&amp;" "&amp;PartsMaster!$C149</f>
        <v>Jaguar XK8 XKR X100 Steering column</v>
      </c>
      <c r="E165" s="20">
        <v>3000</v>
      </c>
      <c r="F165" s="20" t="s">
        <v>1182</v>
      </c>
      <c r="H165" s="21" t="str">
        <f>PartsMaster!$Q149</f>
        <v>Steering column</v>
      </c>
      <c r="I165" s="20">
        <v>9886</v>
      </c>
      <c r="K165" s="20">
        <v>0</v>
      </c>
      <c r="L165" s="20">
        <v>0</v>
      </c>
      <c r="M165" s="21">
        <f>PartsMaster!$D149</f>
        <v>1</v>
      </c>
      <c r="O165" s="20" t="s">
        <v>1169</v>
      </c>
      <c r="P165" s="23">
        <f>PartsMaster!$S149/1.45</f>
        <v>0</v>
      </c>
      <c r="S165" s="20">
        <v>30</v>
      </c>
      <c r="T165" s="20">
        <v>0</v>
      </c>
      <c r="U165" s="20" t="s">
        <v>1170</v>
      </c>
      <c r="Z165" s="26" t="str">
        <f>"&lt;P&gt;"&amp;PartsMaster!$I149&amp;" "&amp;PartsMaster!$H149&amp;"&lt;/P&gt;"&amp;"&lt;P&gt;Jaguar part name "&amp;PartsMaster!$E149&amp;"&lt;/P&gt;&lt;P&gt;Product numbers "&amp;PartsMaster!R149&amp;" "&amp;DQ165&amp;"&lt;/P&gt;&lt;P&gt;Fits starting from VIN/ModelYear "&amp;PartsMaster!$F149&amp;" until VIN/ModelYear "&amp;PartsMaster!$G149&amp;"&lt;/P&gt;&lt;P&gt;Condition: "&amp;PartsMaster!AB149&amp;"&lt;/P&gt;&lt;P&gt; (part source "&amp;PartsMaster!AD149&amp;")&lt;/P&gt;&lt;P&gt;Notes: "&amp;PartsMaster!AA149&amp;"&lt;/P&gt;"</f>
        <v>&lt;P&gt;Steering Steering column&lt;/P&gt;&lt;P&gt;Jaguar part name STEERING AND SUSPENTION/STEERING COLOMN -- Steering column&lt;/P&gt;&lt;P&gt;Product numbers HJA9261AE HJA9261AE&lt;/P&gt;&lt;P&gt;Fits starting from VIN/ModelYear  until VIN/ModelYear 025426&lt;/P&gt;&lt;P&gt;Condition: Dismantled from bottom &amp; engine damaged MY1997 XK8 Convertible VIN 0136xx&lt;/P&gt;&lt;P&gt; (part source KK)&lt;/P&gt;&lt;P&gt;Notes: Powered&lt;/P&gt;</v>
      </c>
      <c r="AA165" s="20" t="s">
        <v>1171</v>
      </c>
      <c r="AC165" s="20">
        <v>0</v>
      </c>
      <c r="AD165" s="20">
        <v>0</v>
      </c>
      <c r="AE165" s="20" t="s">
        <v>1172</v>
      </c>
      <c r="AF165" s="20">
        <v>7</v>
      </c>
      <c r="AG165" s="20">
        <v>0</v>
      </c>
      <c r="AH165" s="20">
        <v>0</v>
      </c>
      <c r="AI165" s="20">
        <v>0</v>
      </c>
      <c r="AJ165" s="20">
        <v>0</v>
      </c>
      <c r="AK165" s="20">
        <v>0</v>
      </c>
      <c r="AO165" s="20" t="s">
        <v>1173</v>
      </c>
      <c r="AR165" s="20">
        <v>0</v>
      </c>
      <c r="AS165" s="20">
        <v>10112</v>
      </c>
      <c r="AV165" s="20" t="s">
        <v>1174</v>
      </c>
      <c r="AX165" s="20">
        <v>62128510024</v>
      </c>
      <c r="AY165" s="20">
        <v>62035811024</v>
      </c>
      <c r="AZ165" s="20">
        <v>55187694024</v>
      </c>
      <c r="BA165" s="20" t="s">
        <v>1175</v>
      </c>
      <c r="BB165" s="20" t="s">
        <v>1176</v>
      </c>
      <c r="BC165" s="20" t="s">
        <v>1177</v>
      </c>
      <c r="BD165" s="20">
        <v>1</v>
      </c>
      <c r="BE165" s="20">
        <v>0</v>
      </c>
      <c r="BF165" s="20">
        <v>0</v>
      </c>
      <c r="BG165" s="20">
        <v>0</v>
      </c>
      <c r="BN165" s="20" t="s">
        <v>1178</v>
      </c>
      <c r="BV165" s="20">
        <v>0</v>
      </c>
      <c r="CL165" s="20">
        <v>0</v>
      </c>
      <c r="DD165" s="20" t="s">
        <v>1179</v>
      </c>
      <c r="DE165" s="20" t="s">
        <v>1179</v>
      </c>
      <c r="DI165" s="20">
        <v>0</v>
      </c>
      <c r="DP165" s="21" t="s">
        <v>1180</v>
      </c>
      <c r="DQ165" s="21" t="str">
        <f>PartsMaster!$A149</f>
        <v>HJA9261AE</v>
      </c>
      <c r="DR165" s="21" t="s">
        <v>1181</v>
      </c>
      <c r="DS165" s="21" t="str">
        <f>PartsMaster!$K150&amp;" "&amp;PartsMaster!L150&amp;" "&amp;PartsMaster!$M150</f>
        <v xml:space="preserve">Front Left </v>
      </c>
    </row>
    <row r="166" spans="1:123" ht="30" x14ac:dyDescent="0.25">
      <c r="A166" s="20" t="s">
        <v>1166</v>
      </c>
      <c r="B166" s="20" t="s">
        <v>1167</v>
      </c>
      <c r="C166" s="20" t="s">
        <v>1168</v>
      </c>
      <c r="D166" s="21" t="str">
        <f>PartsMaster!B150&amp;" "&amp;PartsMaster!$C150</f>
        <v>Jaguar XK8 XKR X100 Steering column mounting bracket</v>
      </c>
      <c r="E166" s="20">
        <v>3000</v>
      </c>
      <c r="F166" s="20" t="s">
        <v>1182</v>
      </c>
      <c r="H166" s="21" t="str">
        <f>PartsMaster!$Q150</f>
        <v>Steering column mounting bracket</v>
      </c>
      <c r="I166" s="20">
        <v>9886</v>
      </c>
      <c r="K166" s="20">
        <v>0</v>
      </c>
      <c r="L166" s="20">
        <v>0</v>
      </c>
      <c r="M166" s="21">
        <f>PartsMaster!$D150</f>
        <v>1</v>
      </c>
      <c r="O166" s="20" t="s">
        <v>1169</v>
      </c>
      <c r="P166" s="23">
        <f>PartsMaster!$S150/1.45</f>
        <v>0</v>
      </c>
      <c r="S166" s="20">
        <v>30</v>
      </c>
      <c r="T166" s="20">
        <v>0</v>
      </c>
      <c r="U166" s="20" t="s">
        <v>1170</v>
      </c>
      <c r="Z166" s="26" t="str">
        <f>"&lt;P&gt;"&amp;PartsMaster!$I150&amp;" "&amp;PartsMaster!$H150&amp;"&lt;/P&gt;"&amp;"&lt;P&gt;Jaguar part name "&amp;PartsMaster!$E150&amp;"&lt;/P&gt;&lt;P&gt;Product numbers "&amp;PartsMaster!R150&amp;" "&amp;DQ166&amp;"&lt;/P&gt;&lt;P&gt;Fits starting from VIN/ModelYear "&amp;PartsMaster!$F150&amp;" until VIN/ModelYear "&amp;PartsMaster!$G150&amp;"&lt;/P&gt;&lt;P&gt;Condition: "&amp;PartsMaster!AB150&amp;"&lt;/P&gt;&lt;P&gt; (part source "&amp;PartsMaster!AD150&amp;")&lt;/P&gt;&lt;P&gt;Notes: "&amp;PartsMaster!AA150&amp;"&lt;/P&gt;"</f>
        <v>&lt;P&gt;Mount Steering / mount&lt;/P&gt;&lt;P&gt;Jaguar part name STEERING AND SUSPENTION/STEERING COLOMN -- Steering column mounting bracket&lt;/P&gt;&lt;P&gt;Product numbers HJA9422AA HJA9422AA&lt;/P&gt;&lt;P&gt;Fits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166" s="20" t="s">
        <v>1171</v>
      </c>
      <c r="AC166" s="20">
        <v>0</v>
      </c>
      <c r="AD166" s="20">
        <v>0</v>
      </c>
      <c r="AE166" s="20" t="s">
        <v>1172</v>
      </c>
      <c r="AF166" s="20">
        <v>7</v>
      </c>
      <c r="AG166" s="20">
        <v>0</v>
      </c>
      <c r="AH166" s="20">
        <v>0</v>
      </c>
      <c r="AI166" s="20">
        <v>0</v>
      </c>
      <c r="AJ166" s="20">
        <v>0</v>
      </c>
      <c r="AK166" s="20">
        <v>0</v>
      </c>
      <c r="AO166" s="20" t="s">
        <v>1173</v>
      </c>
      <c r="AR166" s="20">
        <v>0</v>
      </c>
      <c r="AS166" s="20">
        <v>10112</v>
      </c>
      <c r="AV166" s="20" t="s">
        <v>1174</v>
      </c>
      <c r="AX166" s="20">
        <v>62128510024</v>
      </c>
      <c r="AY166" s="20">
        <v>62035811024</v>
      </c>
      <c r="AZ166" s="20">
        <v>55187694024</v>
      </c>
      <c r="BA166" s="20" t="s">
        <v>1175</v>
      </c>
      <c r="BB166" s="20" t="s">
        <v>1176</v>
      </c>
      <c r="BC166" s="20" t="s">
        <v>1177</v>
      </c>
      <c r="BD166" s="20">
        <v>1</v>
      </c>
      <c r="BE166" s="20">
        <v>0</v>
      </c>
      <c r="BF166" s="20">
        <v>0</v>
      </c>
      <c r="BG166" s="20">
        <v>0</v>
      </c>
      <c r="BN166" s="20" t="s">
        <v>1178</v>
      </c>
      <c r="BV166" s="20">
        <v>0</v>
      </c>
      <c r="CL166" s="20">
        <v>0</v>
      </c>
      <c r="DD166" s="20" t="s">
        <v>1179</v>
      </c>
      <c r="DE166" s="20" t="s">
        <v>1179</v>
      </c>
      <c r="DI166" s="20">
        <v>0</v>
      </c>
      <c r="DP166" s="21" t="s">
        <v>1180</v>
      </c>
      <c r="DQ166" s="21" t="str">
        <f>PartsMaster!$A150</f>
        <v>HJA9422AA</v>
      </c>
      <c r="DR166" s="21" t="s">
        <v>1181</v>
      </c>
      <c r="DS166" s="21" t="str">
        <f>PartsMaster!$K151&amp;" "&amp;PartsMaster!L151&amp;" "&amp;PartsMaster!$M151</f>
        <v xml:space="preserve">Rear Right </v>
      </c>
    </row>
    <row r="167" spans="1:123" ht="30" x14ac:dyDescent="0.25">
      <c r="A167" s="20" t="s">
        <v>1166</v>
      </c>
      <c r="B167" s="20" t="s">
        <v>1167</v>
      </c>
      <c r="C167" s="20" t="s">
        <v>1168</v>
      </c>
      <c r="D167" s="21" t="str">
        <f>PartsMaster!B116&amp;" "&amp;PartsMaster!$C116</f>
        <v xml:space="preserve">Jaguar XK8 XKR X100 Trunk Interior Light Access Cover Trim </v>
      </c>
      <c r="E167" s="20">
        <v>3000</v>
      </c>
      <c r="F167" s="20" t="s">
        <v>1182</v>
      </c>
      <c r="H167" s="21">
        <f>PartsMaster!$Q116</f>
        <v>0</v>
      </c>
      <c r="I167" s="20">
        <v>9886</v>
      </c>
      <c r="K167" s="20">
        <v>0</v>
      </c>
      <c r="L167" s="20">
        <v>0</v>
      </c>
      <c r="M167" s="21">
        <f>PartsMaster!$D116</f>
        <v>0</v>
      </c>
      <c r="O167" s="20" t="s">
        <v>1169</v>
      </c>
      <c r="P167" s="23">
        <f>PartsMaster!$S116/1.45</f>
        <v>0</v>
      </c>
      <c r="S167" s="20">
        <v>30</v>
      </c>
      <c r="T167" s="20">
        <v>0</v>
      </c>
      <c r="U167" s="20" t="s">
        <v>1170</v>
      </c>
      <c r="Z167" s="26" t="str">
        <f>"&lt;P&gt;"&amp;PartsMaster!$I116&amp;" "&amp;PartsMaster!$H116&amp;"&lt;/P&gt;"&amp;"&lt;P&gt;Jaguar part name "&amp;PartsMaster!$E116&amp;"&lt;/P&gt;&lt;P&gt;Product numbers "&amp;PartsMaster!R116&amp;" "&amp;DQ167&amp;"&lt;/P&gt;&lt;P&gt;Fits starting from VIN/ModelYear "&amp;PartsMaster!$F116&amp;" until VIN/ModelYear "&amp;PartsMaster!$G116&amp;"&lt;/P&gt;&lt;P&gt;Condition: "&amp;PartsMaster!AB116&amp;"&lt;/P&gt;&lt;P&gt; (part source "&amp;PartsMaster!AD116&amp;")&lt;/P&gt;&lt;P&gt;Notes: "&amp;PartsMaster!AA116&amp;"&lt;/P&gt;"</f>
        <v>&lt;P&gt;Cap / Cover Cap / Cover / Trim&lt;/P&gt;&lt;P&gt;Jaguar part name Cover, Lamp Access&lt;/P&gt;&lt;P&gt;Product numbers  HJA5293AC&lt;/P&gt;&lt;P&gt;Fits starting from VIN/ModelYear  until VIN/ModelYear &lt;/P&gt;&lt;P&gt;Condition: &lt;/P&gt;&lt;P&gt; (part source )&lt;/P&gt;&lt;P&gt;Notes: &lt;/P&gt;</v>
      </c>
      <c r="AA167" s="20" t="s">
        <v>1171</v>
      </c>
      <c r="AC167" s="20">
        <v>0</v>
      </c>
      <c r="AD167" s="20">
        <v>0</v>
      </c>
      <c r="AE167" s="20" t="s">
        <v>1172</v>
      </c>
      <c r="AF167" s="20">
        <v>7</v>
      </c>
      <c r="AG167" s="20">
        <v>0</v>
      </c>
      <c r="AH167" s="20">
        <v>0</v>
      </c>
      <c r="AI167" s="20">
        <v>0</v>
      </c>
      <c r="AJ167" s="20">
        <v>0</v>
      </c>
      <c r="AK167" s="20">
        <v>0</v>
      </c>
      <c r="AO167" s="20" t="s">
        <v>1173</v>
      </c>
      <c r="AR167" s="20">
        <v>0</v>
      </c>
      <c r="AS167" s="20">
        <v>10112</v>
      </c>
      <c r="AV167" s="20" t="s">
        <v>1174</v>
      </c>
      <c r="AX167" s="20">
        <v>62128510024</v>
      </c>
      <c r="AY167" s="20">
        <v>62035811024</v>
      </c>
      <c r="AZ167" s="20">
        <v>55187694024</v>
      </c>
      <c r="BA167" s="20" t="s">
        <v>1175</v>
      </c>
      <c r="BB167" s="20" t="s">
        <v>1176</v>
      </c>
      <c r="BC167" s="20" t="s">
        <v>1177</v>
      </c>
      <c r="BD167" s="20">
        <v>1</v>
      </c>
      <c r="BE167" s="20">
        <v>0</v>
      </c>
      <c r="BF167" s="20">
        <v>0</v>
      </c>
      <c r="BG167" s="20">
        <v>0</v>
      </c>
      <c r="BN167" s="20" t="s">
        <v>1178</v>
      </c>
      <c r="BV167" s="20">
        <v>0</v>
      </c>
      <c r="CL167" s="20">
        <v>0</v>
      </c>
      <c r="DD167" s="20" t="s">
        <v>1179</v>
      </c>
      <c r="DE167" s="20" t="s">
        <v>1179</v>
      </c>
      <c r="DI167" s="20">
        <v>0</v>
      </c>
      <c r="DP167" s="21" t="s">
        <v>1180</v>
      </c>
      <c r="DQ167" s="21" t="str">
        <f>PartsMaster!$A116</f>
        <v>HJA5293AC</v>
      </c>
      <c r="DR167" s="21" t="s">
        <v>1181</v>
      </c>
      <c r="DS167" s="21" t="str">
        <f>PartsMaster!$K117&amp;" "&amp;PartsMaster!L117&amp;" "&amp;PartsMaster!$M117</f>
        <v xml:space="preserve">Front Right </v>
      </c>
    </row>
    <row r="168" spans="1:123" ht="30" x14ac:dyDescent="0.25">
      <c r="A168" s="20" t="s">
        <v>1166</v>
      </c>
      <c r="B168" s="20" t="s">
        <v>1167</v>
      </c>
      <c r="C168" s="20" t="s">
        <v>1168</v>
      </c>
      <c r="D168" s="21" t="str">
        <f>PartsMaster!B117&amp;" "&amp;PartsMaster!$C117</f>
        <v>Jaguar XK8 XKR X100 Door seal - RH</v>
      </c>
      <c r="E168" s="20">
        <v>3000</v>
      </c>
      <c r="F168" s="20" t="s">
        <v>1182</v>
      </c>
      <c r="H168" s="21" t="str">
        <f>PartsMaster!$Q117</f>
        <v>Door seal - RH</v>
      </c>
      <c r="I168" s="20">
        <v>9886</v>
      </c>
      <c r="K168" s="20">
        <v>0</v>
      </c>
      <c r="L168" s="20">
        <v>0</v>
      </c>
      <c r="M168" s="21">
        <f>PartsMaster!$D117</f>
        <v>1</v>
      </c>
      <c r="O168" s="20" t="s">
        <v>1169</v>
      </c>
      <c r="P168" s="23">
        <f>PartsMaster!$S117/1.45</f>
        <v>55.172413793103452</v>
      </c>
      <c r="S168" s="20">
        <v>30</v>
      </c>
      <c r="T168" s="20">
        <v>0</v>
      </c>
      <c r="U168" s="20" t="s">
        <v>1170</v>
      </c>
      <c r="Z168" s="26" t="str">
        <f>"&lt;P&gt;"&amp;PartsMaster!$I117&amp;" "&amp;PartsMaster!$H117&amp;"&lt;/P&gt;"&amp;"&lt;P&gt;Jaguar part name "&amp;PartsMaster!$E117&amp;"&lt;/P&gt;&lt;P&gt;Product numbers "&amp;PartsMaster!R117&amp;" "&amp;DQ168&amp;"&lt;/P&gt;&lt;P&gt;Fits starting from VIN/ModelYear "&amp;PartsMaster!$F117&amp;" until VIN/ModelYear "&amp;PartsMaster!$G117&amp;"&lt;/P&gt;&lt;P&gt;Condition: "&amp;PartsMaster!AB117&amp;"&lt;/P&gt;&lt;P&gt; (part source "&amp;PartsMaster!AD117&amp;")&lt;/P&gt;&lt;P&gt;Notes: "&amp;PartsMaster!AA117&amp;"&lt;/P&gt;"</f>
        <v>&lt;P&gt;Seal Seal / Insulation&lt;/P&gt;&lt;P&gt;Jaguar part name BODY CLOSURES AND SEALING/DOOR SEALS - Door seal - Convertible - RH&lt;/P&gt;&lt;P&gt;Product numbers HJA5362BA HJA5362BC HJA5362BA&lt;/P&gt;&lt;P&gt;Fits starting from VIN/ModelYear  until VIN/ModelYear &lt;/P&gt;&lt;P&gt;Condition: Dismantled from bottom &amp; engine damaged MY1997 XK8 Convertible VIN 0136xx&lt;/P&gt;&lt;P&gt; (part source KK)&lt;/P&gt;&lt;P&gt;Notes: Convertable&lt;/P&gt;</v>
      </c>
      <c r="AA168" s="20" t="s">
        <v>1171</v>
      </c>
      <c r="AC168" s="20">
        <v>0</v>
      </c>
      <c r="AD168" s="20">
        <v>0</v>
      </c>
      <c r="AE168" s="20" t="s">
        <v>1172</v>
      </c>
      <c r="AF168" s="20">
        <v>7</v>
      </c>
      <c r="AG168" s="20">
        <v>0</v>
      </c>
      <c r="AH168" s="20">
        <v>0</v>
      </c>
      <c r="AI168" s="20">
        <v>0</v>
      </c>
      <c r="AJ168" s="20">
        <v>0</v>
      </c>
      <c r="AK168" s="20">
        <v>0</v>
      </c>
      <c r="AO168" s="20" t="s">
        <v>1173</v>
      </c>
      <c r="AR168" s="20">
        <v>0</v>
      </c>
      <c r="AS168" s="20">
        <v>10112</v>
      </c>
      <c r="AV168" s="20" t="s">
        <v>1174</v>
      </c>
      <c r="AX168" s="20">
        <v>62128510024</v>
      </c>
      <c r="AY168" s="20">
        <v>62035811024</v>
      </c>
      <c r="AZ168" s="20">
        <v>55187694024</v>
      </c>
      <c r="BA168" s="20" t="s">
        <v>1175</v>
      </c>
      <c r="BB168" s="20" t="s">
        <v>1176</v>
      </c>
      <c r="BC168" s="20" t="s">
        <v>1177</v>
      </c>
      <c r="BD168" s="20">
        <v>1</v>
      </c>
      <c r="BE168" s="20">
        <v>0</v>
      </c>
      <c r="BF168" s="20">
        <v>0</v>
      </c>
      <c r="BG168" s="20">
        <v>0</v>
      </c>
      <c r="BN168" s="20" t="s">
        <v>1178</v>
      </c>
      <c r="BV168" s="20">
        <v>0</v>
      </c>
      <c r="CL168" s="20">
        <v>0</v>
      </c>
      <c r="DD168" s="20" t="s">
        <v>1179</v>
      </c>
      <c r="DE168" s="20" t="s">
        <v>1179</v>
      </c>
      <c r="DI168" s="20">
        <v>0</v>
      </c>
      <c r="DP168" s="21" t="s">
        <v>1180</v>
      </c>
      <c r="DQ168" s="21" t="str">
        <f>PartsMaster!$A117</f>
        <v>HJA5362BA</v>
      </c>
      <c r="DR168" s="21" t="s">
        <v>1181</v>
      </c>
      <c r="DS168" s="21" t="str">
        <f>PartsMaster!$K118&amp;" "&amp;PartsMaster!L118&amp;" "&amp;PartsMaster!$M118</f>
        <v xml:space="preserve">Front Left </v>
      </c>
    </row>
    <row r="169" spans="1:123" ht="30" x14ac:dyDescent="0.25">
      <c r="A169" s="20" t="s">
        <v>1166</v>
      </c>
      <c r="B169" s="20" t="s">
        <v>1167</v>
      </c>
      <c r="C169" s="20" t="s">
        <v>1168</v>
      </c>
      <c r="D169" s="21" t="str">
        <f>PartsMaster!B136&amp;" "&amp;PartsMaster!$C136</f>
        <v>Jaguar XK8 XKR X100 Seal retainer</v>
      </c>
      <c r="E169" s="20">
        <v>3000</v>
      </c>
      <c r="F169" s="20" t="s">
        <v>1182</v>
      </c>
      <c r="H169" s="21" t="str">
        <f>PartsMaster!$Q136</f>
        <v>Seal retainer</v>
      </c>
      <c r="I169" s="20">
        <v>9886</v>
      </c>
      <c r="K169" s="20">
        <v>0</v>
      </c>
      <c r="L169" s="20">
        <v>0</v>
      </c>
      <c r="M169" s="21">
        <f>PartsMaster!$D136</f>
        <v>1</v>
      </c>
      <c r="O169" s="20" t="s">
        <v>1169</v>
      </c>
      <c r="P169" s="23">
        <f>PartsMaster!$S136/1.45</f>
        <v>17.241379310344829</v>
      </c>
      <c r="S169" s="20">
        <v>30</v>
      </c>
      <c r="T169" s="20">
        <v>0</v>
      </c>
      <c r="U169" s="20" t="s">
        <v>1170</v>
      </c>
      <c r="Z169" s="26" t="str">
        <f>"&lt;P&gt;"&amp;PartsMaster!$I136&amp;" "&amp;PartsMaster!$H136&amp;"&lt;/P&gt;"&amp;"&lt;P&gt;Jaguar part name "&amp;PartsMaster!$E136&amp;"&lt;/P&gt;&lt;P&gt;Product numbers "&amp;PartsMaster!R136&amp;" "&amp;DQ169&amp;"&lt;/P&gt;&lt;P&gt;Fits starting from VIN/ModelYear "&amp;PartsMaster!$F136&amp;" until VIN/ModelYear "&amp;PartsMaster!$G136&amp;"&lt;/P&gt;&lt;P&gt;Condition: "&amp;PartsMaster!AB136&amp;"&lt;/P&gt;&lt;P&gt; (part source "&amp;PartsMaster!AD136&amp;")&lt;/P&gt;&lt;P&gt;Notes: "&amp;PartsMaster!AA136&amp;"&lt;/P&gt;"</f>
        <v>&lt;P&gt;Convertible top Hood / Convertible Top&lt;/P&gt;&lt;P&gt;Jaguar part name BODY CLOSURES AND SEALING/CONVERTABLE HOOD AND SEALS&lt;/P&gt;&lt;P&gt;Product numbers HJA7739AA HJA7739AA&lt;/P&gt;&lt;P&gt;Fits starting from VIN/ModelYear  until VIN/ModelYear &lt;/P&gt;&lt;P&gt;Condition: Dismantled from bottom &amp; engine damaged MY1997 XK8 Convertible VIN 0136xx&lt;/P&gt;&lt;P&gt; (part source KK)&lt;/P&gt;&lt;P&gt;Notes: Convertable&lt;/P&gt;</v>
      </c>
      <c r="AA169" s="20" t="s">
        <v>1171</v>
      </c>
      <c r="AC169" s="20">
        <v>0</v>
      </c>
      <c r="AD169" s="20">
        <v>0</v>
      </c>
      <c r="AE169" s="20" t="s">
        <v>1172</v>
      </c>
      <c r="AF169" s="20">
        <v>7</v>
      </c>
      <c r="AG169" s="20">
        <v>0</v>
      </c>
      <c r="AH169" s="20">
        <v>0</v>
      </c>
      <c r="AI169" s="20">
        <v>0</v>
      </c>
      <c r="AJ169" s="20">
        <v>0</v>
      </c>
      <c r="AK169" s="20">
        <v>0</v>
      </c>
      <c r="AO169" s="20" t="s">
        <v>1173</v>
      </c>
      <c r="AR169" s="20">
        <v>0</v>
      </c>
      <c r="AS169" s="20">
        <v>10112</v>
      </c>
      <c r="AV169" s="20" t="s">
        <v>1174</v>
      </c>
      <c r="AX169" s="20">
        <v>62128510024</v>
      </c>
      <c r="AY169" s="20">
        <v>62035811024</v>
      </c>
      <c r="AZ169" s="20">
        <v>55187694024</v>
      </c>
      <c r="BA169" s="20" t="s">
        <v>1175</v>
      </c>
      <c r="BB169" s="20" t="s">
        <v>1176</v>
      </c>
      <c r="BC169" s="20" t="s">
        <v>1177</v>
      </c>
      <c r="BD169" s="20">
        <v>1</v>
      </c>
      <c r="BE169" s="20">
        <v>0</v>
      </c>
      <c r="BF169" s="20">
        <v>0</v>
      </c>
      <c r="BG169" s="20">
        <v>0</v>
      </c>
      <c r="BN169" s="20" t="s">
        <v>1178</v>
      </c>
      <c r="BV169" s="20">
        <v>0</v>
      </c>
      <c r="CL169" s="20">
        <v>0</v>
      </c>
      <c r="DD169" s="20" t="s">
        <v>1179</v>
      </c>
      <c r="DE169" s="20" t="s">
        <v>1179</v>
      </c>
      <c r="DI169" s="20">
        <v>0</v>
      </c>
      <c r="DP169" s="21" t="s">
        <v>1180</v>
      </c>
      <c r="DQ169" s="21" t="str">
        <f>PartsMaster!$A136</f>
        <v>HJA7739AA</v>
      </c>
      <c r="DR169" s="21" t="s">
        <v>1181</v>
      </c>
      <c r="DS169" s="21" t="str">
        <f>PartsMaster!$K137&amp;" "&amp;PartsMaster!L137&amp;" "&amp;PartsMaster!$M137</f>
        <v>Center Right Top</v>
      </c>
    </row>
    <row r="170" spans="1:123" ht="30" hidden="1" x14ac:dyDescent="0.25">
      <c r="A170" s="20" t="s">
        <v>1166</v>
      </c>
      <c r="B170" s="20" t="s">
        <v>1167</v>
      </c>
      <c r="C170" s="20" t="s">
        <v>1168</v>
      </c>
      <c r="D170" s="21" t="str">
        <f>PartsMaster!B164&amp;" "&amp;PartsMaster!$C164</f>
        <v>Jaguar XK8 XKR X100 Harness body to door</v>
      </c>
      <c r="E170" s="20">
        <v>3000</v>
      </c>
      <c r="F170" s="20" t="s">
        <v>1182</v>
      </c>
      <c r="H170" s="21" t="str">
        <f>PartsMaster!$Q164</f>
        <v>Harness body to door</v>
      </c>
      <c r="I170" s="20">
        <v>9886</v>
      </c>
      <c r="K170" s="20">
        <v>0</v>
      </c>
      <c r="L170" s="20">
        <v>0</v>
      </c>
      <c r="M170" s="21">
        <f>PartsMaster!$D164</f>
        <v>1</v>
      </c>
      <c r="O170" s="20" t="s">
        <v>1169</v>
      </c>
      <c r="P170" s="23">
        <f>PartsMaster!$S164/1.45</f>
        <v>127.58620689655173</v>
      </c>
      <c r="S170" s="20">
        <v>30</v>
      </c>
      <c r="T170" s="20">
        <v>0</v>
      </c>
      <c r="U170" s="20" t="s">
        <v>1170</v>
      </c>
      <c r="Z170" s="26" t="str">
        <f>"&lt;P&gt;"&amp;PartsMaster!$I164&amp;" "&amp;PartsMaster!$H164&amp;"&lt;/P&gt;"&amp;"&lt;P&gt;Jaguar part name "&amp;PartsMaster!$E164&amp;"&lt;/P&gt;&lt;P&gt;Product numbers "&amp;PartsMaster!R164&amp;" "&amp;DQ170&amp;"&lt;/P&gt;&lt;P&gt;Fits starting from VIN/ModelYear "&amp;PartsMaster!$F164&amp;" until VIN/ModelYear "&amp;PartsMaster!$G164&amp;"&lt;/P&gt;&lt;P&gt;Condition: "&amp;PartsMaster!AB164&amp;"&lt;/P&gt;&lt;P&gt; (part source "&amp;PartsMaster!AD164&amp;")&lt;/P&gt;&lt;P&gt;Notes: "&amp;PartsMaster!AA164&amp;"&lt;/P&gt;"</f>
        <v>&lt;P&gt;Electrical wires Harness&lt;/P&gt;&lt;P&gt;Jaguar part name &lt;/P&gt;&lt;P&gt;Product numbers JA3190BG JA3190BG (LJA3190BA?)&lt;/P&gt;&lt;P&gt;Fits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170" s="20" t="s">
        <v>1171</v>
      </c>
      <c r="AC170" s="20">
        <v>0</v>
      </c>
      <c r="AD170" s="20">
        <v>0</v>
      </c>
      <c r="AE170" s="20" t="s">
        <v>1172</v>
      </c>
      <c r="AF170" s="20">
        <v>7</v>
      </c>
      <c r="AG170" s="20">
        <v>0</v>
      </c>
      <c r="AH170" s="20">
        <v>0</v>
      </c>
      <c r="AI170" s="20">
        <v>0</v>
      </c>
      <c r="AJ170" s="20">
        <v>0</v>
      </c>
      <c r="AK170" s="20">
        <v>0</v>
      </c>
      <c r="AO170" s="20" t="s">
        <v>1173</v>
      </c>
      <c r="AR170" s="20">
        <v>0</v>
      </c>
      <c r="AS170" s="20">
        <v>10112</v>
      </c>
      <c r="AV170" s="20" t="s">
        <v>1174</v>
      </c>
      <c r="AX170" s="20">
        <v>62128510024</v>
      </c>
      <c r="AY170" s="20">
        <v>62035811024</v>
      </c>
      <c r="AZ170" s="20">
        <v>55187694024</v>
      </c>
      <c r="BA170" s="20" t="s">
        <v>1175</v>
      </c>
      <c r="BB170" s="20" t="s">
        <v>1176</v>
      </c>
      <c r="BC170" s="20" t="s">
        <v>1177</v>
      </c>
      <c r="BD170" s="20">
        <v>1</v>
      </c>
      <c r="BE170" s="20">
        <v>0</v>
      </c>
      <c r="BF170" s="20">
        <v>0</v>
      </c>
      <c r="BG170" s="20">
        <v>0</v>
      </c>
      <c r="BN170" s="20" t="s">
        <v>1178</v>
      </c>
      <c r="BV170" s="20">
        <v>0</v>
      </c>
      <c r="CL170" s="20">
        <v>0</v>
      </c>
      <c r="DD170" s="20" t="s">
        <v>1179</v>
      </c>
      <c r="DE170" s="20" t="s">
        <v>1179</v>
      </c>
      <c r="DI170" s="20">
        <v>0</v>
      </c>
      <c r="DP170" s="21" t="s">
        <v>1180</v>
      </c>
      <c r="DQ170" s="21" t="str">
        <f>PartsMaster!$A164</f>
        <v>JA3190BG (LJA3190BA?)</v>
      </c>
      <c r="DR170" s="21" t="s">
        <v>1181</v>
      </c>
      <c r="DS170" s="21" t="str">
        <f>PartsMaster!$K165&amp;" "&amp;PartsMaster!L165&amp;" "&amp;PartsMaster!$M165</f>
        <v xml:space="preserve">Front Left/Right </v>
      </c>
    </row>
    <row r="171" spans="1:123" ht="30" hidden="1" x14ac:dyDescent="0.25">
      <c r="A171" s="20" t="s">
        <v>1166</v>
      </c>
      <c r="B171" s="20" t="s">
        <v>1167</v>
      </c>
      <c r="C171" s="20" t="s">
        <v>1168</v>
      </c>
      <c r="D171" s="21" t="str">
        <f>PartsMaster!B165&amp;" "&amp;PartsMaster!$C165</f>
        <v>Jaguar XK8 XKR X100 Circlip - Front Suspension (76.0mm dia bearing)</v>
      </c>
      <c r="E171" s="20">
        <v>3000</v>
      </c>
      <c r="F171" s="20" t="s">
        <v>1182</v>
      </c>
      <c r="H171" s="21" t="str">
        <f>PartsMaster!$Q165</f>
        <v>Circlip - Front Suspension (76.0mm dia bearing)</v>
      </c>
      <c r="I171" s="20">
        <v>9886</v>
      </c>
      <c r="K171" s="20">
        <v>0</v>
      </c>
      <c r="L171" s="20">
        <v>0</v>
      </c>
      <c r="M171" s="21">
        <f>PartsMaster!$D165</f>
        <v>3</v>
      </c>
      <c r="O171" s="20" t="s">
        <v>1169</v>
      </c>
      <c r="P171" s="23">
        <f>PartsMaster!$S165/1.45</f>
        <v>0</v>
      </c>
      <c r="S171" s="20">
        <v>30</v>
      </c>
      <c r="T171" s="20">
        <v>0</v>
      </c>
      <c r="U171" s="20" t="s">
        <v>1170</v>
      </c>
      <c r="Z171" s="26" t="str">
        <f>"&lt;P&gt;"&amp;PartsMaster!$I165&amp;" "&amp;PartsMaster!$H165&amp;"&lt;/P&gt;"&amp;"&lt;P&gt;Jaguar part name "&amp;PartsMaster!$E165&amp;"&lt;/P&gt;&lt;P&gt;Product numbers "&amp;PartsMaster!R165&amp;" "&amp;DQ171&amp;"&lt;/P&gt;&lt;P&gt;Fits starting from VIN/ModelYear "&amp;PartsMaster!$F165&amp;" until VIN/ModelYear "&amp;PartsMaster!$G165&amp;"&lt;/P&gt;&lt;P&gt;Condition: "&amp;PartsMaster!AB165&amp;"&lt;/P&gt;&lt;P&gt; (part source "&amp;PartsMaster!AD165&amp;")&lt;/P&gt;&lt;P&gt;Notes: "&amp;PartsMaster!AA165&amp;"&lt;/P&gt;"</f>
        <v>&lt;P&gt;Wheels / Rims Bearing&lt;/P&gt;&lt;P&gt;Jaguar part name STEERING AND SUSPENSION/WISHBONE AND HUB ASSEMBLY-FRONT - Circlip - Front Suspension (76.0mm dia bearing)&lt;/P&gt;&lt;P&gt;Product numbers JCR110765 JCR110765&lt;/P&gt;&lt;P&gt;Fits starting from VIN/ModelYear X100 MY1996 - X308 812317 until VIN/ModelYear X100 031302 - X308 853935&lt;/P&gt;&lt;P&gt;Condition: British Parts&lt;/P&gt;&lt;P&gt; (part source )&lt;/P&gt;&lt;P&gt;Notes: 1 per side&lt;/P&gt;</v>
      </c>
      <c r="AA171" s="20" t="s">
        <v>1171</v>
      </c>
      <c r="AC171" s="20">
        <v>0</v>
      </c>
      <c r="AD171" s="20">
        <v>0</v>
      </c>
      <c r="AE171" s="20" t="s">
        <v>1172</v>
      </c>
      <c r="AF171" s="20">
        <v>7</v>
      </c>
      <c r="AG171" s="20">
        <v>0</v>
      </c>
      <c r="AH171" s="20">
        <v>0</v>
      </c>
      <c r="AI171" s="20">
        <v>0</v>
      </c>
      <c r="AJ171" s="20">
        <v>0</v>
      </c>
      <c r="AK171" s="20">
        <v>0</v>
      </c>
      <c r="AO171" s="20" t="s">
        <v>1173</v>
      </c>
      <c r="AR171" s="20">
        <v>0</v>
      </c>
      <c r="AS171" s="20">
        <v>10112</v>
      </c>
      <c r="AV171" s="20" t="s">
        <v>1174</v>
      </c>
      <c r="AX171" s="20">
        <v>62128510024</v>
      </c>
      <c r="AY171" s="20">
        <v>62035811024</v>
      </c>
      <c r="AZ171" s="20">
        <v>55187694024</v>
      </c>
      <c r="BA171" s="20" t="s">
        <v>1175</v>
      </c>
      <c r="BB171" s="20" t="s">
        <v>1176</v>
      </c>
      <c r="BC171" s="20" t="s">
        <v>1177</v>
      </c>
      <c r="BD171" s="20">
        <v>1</v>
      </c>
      <c r="BE171" s="20">
        <v>0</v>
      </c>
      <c r="BF171" s="20">
        <v>0</v>
      </c>
      <c r="BG171" s="20">
        <v>0</v>
      </c>
      <c r="BN171" s="20" t="s">
        <v>1178</v>
      </c>
      <c r="BV171" s="20">
        <v>0</v>
      </c>
      <c r="CL171" s="20">
        <v>0</v>
      </c>
      <c r="DD171" s="20" t="s">
        <v>1179</v>
      </c>
      <c r="DE171" s="20" t="s">
        <v>1179</v>
      </c>
      <c r="DI171" s="20">
        <v>0</v>
      </c>
      <c r="DP171" s="21" t="s">
        <v>1180</v>
      </c>
      <c r="DQ171" s="21" t="str">
        <f>PartsMaster!$A165</f>
        <v>JCR110765</v>
      </c>
      <c r="DR171" s="21" t="s">
        <v>1181</v>
      </c>
      <c r="DS171" s="21" t="str">
        <f>PartsMaster!$K166&amp;" "&amp;PartsMaster!L166&amp;" "&amp;PartsMaster!$M166</f>
        <v xml:space="preserve">  </v>
      </c>
    </row>
    <row r="172" spans="1:123" ht="30" hidden="1" x14ac:dyDescent="0.25">
      <c r="A172" s="20" t="s">
        <v>1166</v>
      </c>
      <c r="B172" s="20" t="s">
        <v>1167</v>
      </c>
      <c r="C172" s="20" t="s">
        <v>1168</v>
      </c>
      <c r="D172" s="21" t="str">
        <f>PartsMaster!B166&amp;" "&amp;PartsMaster!$C166</f>
        <v>Jaguar XK8 XKR X100 XJ8 XJR X308 Seal Gearbox Neutral Switch</v>
      </c>
      <c r="E172" s="20">
        <v>3000</v>
      </c>
      <c r="F172" s="20" t="s">
        <v>1182</v>
      </c>
      <c r="H172" s="21">
        <f>PartsMaster!$Q166</f>
        <v>0</v>
      </c>
      <c r="I172" s="20">
        <v>9886</v>
      </c>
      <c r="K172" s="20">
        <v>0</v>
      </c>
      <c r="L172" s="20">
        <v>0</v>
      </c>
      <c r="M172" s="21">
        <f>PartsMaster!$D166</f>
        <v>0</v>
      </c>
      <c r="O172" s="20" t="s">
        <v>1169</v>
      </c>
      <c r="P172" s="23">
        <f>PartsMaster!$S166/1.45</f>
        <v>6.8965517241379315</v>
      </c>
      <c r="S172" s="20">
        <v>30</v>
      </c>
      <c r="T172" s="20">
        <v>0</v>
      </c>
      <c r="U172" s="20" t="s">
        <v>1170</v>
      </c>
      <c r="Z172" s="26" t="str">
        <f>"&lt;P&gt;"&amp;PartsMaster!$I166&amp;" "&amp;PartsMaster!$H166&amp;"&lt;/P&gt;"&amp;"&lt;P&gt;Jaguar part name "&amp;PartsMaster!$E166&amp;"&lt;/P&gt;&lt;P&gt;Product numbers "&amp;PartsMaster!R166&amp;" "&amp;DQ172&amp;"&lt;/P&gt;&lt;P&gt;Fits starting from VIN/ModelYear "&amp;PartsMaster!$F166&amp;" until VIN/ModelYear "&amp;PartsMaster!$G166&amp;"&lt;/P&gt;&lt;P&gt;Condition: "&amp;PartsMaster!AB166&amp;"&lt;/P&gt;&lt;P&gt; (part source "&amp;PartsMaster!AD166&amp;")&lt;/P&gt;&lt;P&gt;Notes: "&amp;PartsMaster!AA166&amp;"&lt;/P&gt;"</f>
        <v>&lt;P&gt; Gasket / Seal / O-Ring&lt;/P&gt;&lt;P&gt;Jaguar part name &lt;/P&gt;&lt;P&gt;Product numbers  JDE26439&lt;/P&gt;&lt;P&gt;Fits starting from VIN/ModelYear  until VIN/ModelYear &lt;/P&gt;&lt;P&gt;Condition: &lt;/P&gt;&lt;P&gt; (part source )&lt;/P&gt;&lt;P&gt;Notes: &lt;/P&gt;</v>
      </c>
      <c r="AA172" s="20" t="s">
        <v>1171</v>
      </c>
      <c r="AC172" s="20">
        <v>0</v>
      </c>
      <c r="AD172" s="20">
        <v>0</v>
      </c>
      <c r="AE172" s="20" t="s">
        <v>1172</v>
      </c>
      <c r="AF172" s="20">
        <v>7</v>
      </c>
      <c r="AG172" s="20">
        <v>0</v>
      </c>
      <c r="AH172" s="20">
        <v>0</v>
      </c>
      <c r="AI172" s="20">
        <v>0</v>
      </c>
      <c r="AJ172" s="20">
        <v>0</v>
      </c>
      <c r="AK172" s="20">
        <v>0</v>
      </c>
      <c r="AO172" s="20" t="s">
        <v>1173</v>
      </c>
      <c r="AR172" s="20">
        <v>0</v>
      </c>
      <c r="AS172" s="20">
        <v>10112</v>
      </c>
      <c r="AV172" s="20" t="s">
        <v>1174</v>
      </c>
      <c r="AX172" s="20">
        <v>62128510024</v>
      </c>
      <c r="AY172" s="20">
        <v>62035811024</v>
      </c>
      <c r="AZ172" s="20">
        <v>55187694024</v>
      </c>
      <c r="BA172" s="20" t="s">
        <v>1175</v>
      </c>
      <c r="BB172" s="20" t="s">
        <v>1176</v>
      </c>
      <c r="BC172" s="20" t="s">
        <v>1177</v>
      </c>
      <c r="BD172" s="20">
        <v>1</v>
      </c>
      <c r="BE172" s="20">
        <v>0</v>
      </c>
      <c r="BF172" s="20">
        <v>0</v>
      </c>
      <c r="BG172" s="20">
        <v>0</v>
      </c>
      <c r="BN172" s="20" t="s">
        <v>1178</v>
      </c>
      <c r="BV172" s="20">
        <v>0</v>
      </c>
      <c r="CL172" s="20">
        <v>0</v>
      </c>
      <c r="DD172" s="20" t="s">
        <v>1179</v>
      </c>
      <c r="DE172" s="20" t="s">
        <v>1179</v>
      </c>
      <c r="DI172" s="20">
        <v>0</v>
      </c>
      <c r="DP172" s="21" t="s">
        <v>1180</v>
      </c>
      <c r="DQ172" s="21" t="str">
        <f>PartsMaster!$A166</f>
        <v>JDE26439</v>
      </c>
      <c r="DR172" s="21" t="s">
        <v>1181</v>
      </c>
      <c r="DS172" s="21" t="str">
        <f>PartsMaster!$K167&amp;" "&amp;PartsMaster!L167&amp;" "&amp;PartsMaster!$M167</f>
        <v xml:space="preserve">  Top</v>
      </c>
    </row>
    <row r="173" spans="1:123" ht="30" hidden="1" x14ac:dyDescent="0.25">
      <c r="A173" s="20" t="s">
        <v>1166</v>
      </c>
      <c r="B173" s="20" t="s">
        <v>1167</v>
      </c>
      <c r="C173" s="20" t="s">
        <v>1168</v>
      </c>
      <c r="D173" s="21" t="str">
        <f>PartsMaster!B167&amp;" "&amp;PartsMaster!$C167</f>
        <v>Jaguar XK8 XKR X100 XJ8 XJR X308 Timing Chain Tensioner Bolt M6 x 35mm (shorter)</v>
      </c>
      <c r="E173" s="20">
        <v>3000</v>
      </c>
      <c r="F173" s="20" t="s">
        <v>1182</v>
      </c>
      <c r="H173" s="21" t="str">
        <f>PartsMaster!$Q167</f>
        <v>Timing Chain Tensioner Bolt M6 x 35mm</v>
      </c>
      <c r="I173" s="20">
        <v>9886</v>
      </c>
      <c r="K173" s="20">
        <v>0</v>
      </c>
      <c r="L173" s="20">
        <v>0</v>
      </c>
      <c r="M173" s="21">
        <f>PartsMaster!$D167</f>
        <v>0</v>
      </c>
      <c r="O173" s="20" t="s">
        <v>1169</v>
      </c>
      <c r="P173" s="23">
        <f>PartsMaster!$S167/1.45</f>
        <v>0</v>
      </c>
      <c r="S173" s="20">
        <v>30</v>
      </c>
      <c r="T173" s="20">
        <v>0</v>
      </c>
      <c r="U173" s="20" t="s">
        <v>1170</v>
      </c>
      <c r="Z173" s="26" t="str">
        <f>"&lt;P&gt;"&amp;PartsMaster!$I167&amp;" "&amp;PartsMaster!$H167&amp;"&lt;/P&gt;"&amp;"&lt;P&gt;Jaguar part name "&amp;PartsMaster!$E167&amp;"&lt;/P&gt;&lt;P&gt;Product numbers "&amp;PartsMaster!R167&amp;" "&amp;DQ173&amp;"&lt;/P&gt;&lt;P&gt;Fits starting from VIN/ModelYear "&amp;PartsMaster!$F167&amp;" until VIN/ModelYear "&amp;PartsMaster!$G167&amp;"&lt;/P&gt;&lt;P&gt;Condition: "&amp;PartsMaster!AB167&amp;"&lt;/P&gt;&lt;P&gt; (part source "&amp;PartsMaster!AD167&amp;")&lt;/P&gt;&lt;P&gt;Notes: "&amp;PartsMaster!AA167&amp;"&lt;/P&gt;"</f>
        <v>&lt;P&gt;Engine Timing Bolt / Screw&lt;/P&gt;&lt;P&gt;Jaguar part name &lt;/P&gt;&lt;P&gt;Product numbers JFB10607B JFB10607B&lt;/P&gt;&lt;P&gt;Fits starting from VIN/ModelYear X100 MY1996 - X308 MY1997 until VIN/ModelYear X100 MY2006 - X308 MY2002&lt;/P&gt;&lt;P&gt;Condition: British Parts&lt;/P&gt;&lt;P&gt; (part source )&lt;/P&gt;&lt;P&gt;Notes: &lt;/P&gt;</v>
      </c>
      <c r="AA173" s="20" t="s">
        <v>1171</v>
      </c>
      <c r="AC173" s="20">
        <v>0</v>
      </c>
      <c r="AD173" s="20">
        <v>0</v>
      </c>
      <c r="AE173" s="20" t="s">
        <v>1172</v>
      </c>
      <c r="AF173" s="20">
        <v>7</v>
      </c>
      <c r="AG173" s="20">
        <v>0</v>
      </c>
      <c r="AH173" s="20">
        <v>0</v>
      </c>
      <c r="AI173" s="20">
        <v>0</v>
      </c>
      <c r="AJ173" s="20">
        <v>0</v>
      </c>
      <c r="AK173" s="20">
        <v>0</v>
      </c>
      <c r="AO173" s="20" t="s">
        <v>1173</v>
      </c>
      <c r="AR173" s="20">
        <v>0</v>
      </c>
      <c r="AS173" s="20">
        <v>10112</v>
      </c>
      <c r="AV173" s="20" t="s">
        <v>1174</v>
      </c>
      <c r="AX173" s="20">
        <v>62128510024</v>
      </c>
      <c r="AY173" s="20">
        <v>62035811024</v>
      </c>
      <c r="AZ173" s="20">
        <v>55187694024</v>
      </c>
      <c r="BA173" s="20" t="s">
        <v>1175</v>
      </c>
      <c r="BB173" s="20" t="s">
        <v>1176</v>
      </c>
      <c r="BC173" s="20" t="s">
        <v>1177</v>
      </c>
      <c r="BD173" s="20">
        <v>1</v>
      </c>
      <c r="BE173" s="20">
        <v>0</v>
      </c>
      <c r="BF173" s="20">
        <v>0</v>
      </c>
      <c r="BG173" s="20">
        <v>0</v>
      </c>
      <c r="BN173" s="20" t="s">
        <v>1178</v>
      </c>
      <c r="BV173" s="20">
        <v>0</v>
      </c>
      <c r="CL173" s="20">
        <v>0</v>
      </c>
      <c r="DD173" s="20" t="s">
        <v>1179</v>
      </c>
      <c r="DE173" s="20" t="s">
        <v>1179</v>
      </c>
      <c r="DI173" s="20">
        <v>0</v>
      </c>
      <c r="DP173" s="21" t="s">
        <v>1180</v>
      </c>
      <c r="DQ173" s="21" t="str">
        <f>PartsMaster!$A167</f>
        <v>JFB10607B</v>
      </c>
      <c r="DR173" s="21" t="s">
        <v>1181</v>
      </c>
      <c r="DS173" s="21" t="str">
        <f>PartsMaster!$K168&amp;" "&amp;PartsMaster!L168&amp;" "&amp;PartsMaster!$M168</f>
        <v>Front/Rear L/R/Center Top/M/Low</v>
      </c>
    </row>
    <row r="174" spans="1:123" ht="30" hidden="1" x14ac:dyDescent="0.25">
      <c r="A174" s="20" t="s">
        <v>1166</v>
      </c>
      <c r="B174" s="20" t="s">
        <v>1167</v>
      </c>
      <c r="C174" s="20" t="s">
        <v>1168</v>
      </c>
      <c r="D174" s="21" t="str">
        <f>PartsMaster!B168&amp;" "&amp;PartsMaster!$C168</f>
        <v>Jaguar XK8 XKR X100 DVD XK8 XKR</v>
      </c>
      <c r="E174" s="20">
        <v>3000</v>
      </c>
      <c r="F174" s="20" t="s">
        <v>1182</v>
      </c>
      <c r="H174" s="21" t="str">
        <f>PartsMaster!$Q168</f>
        <v>XK8 - XKR DVD</v>
      </c>
      <c r="I174" s="20">
        <v>9886</v>
      </c>
      <c r="K174" s="20">
        <v>0</v>
      </c>
      <c r="L174" s="20">
        <v>0</v>
      </c>
      <c r="M174" s="21">
        <f>PartsMaster!$D168</f>
        <v>0</v>
      </c>
      <c r="O174" s="20" t="s">
        <v>1169</v>
      </c>
      <c r="P174" s="23">
        <f>PartsMaster!$S168/1.45</f>
        <v>0</v>
      </c>
      <c r="S174" s="20">
        <v>30</v>
      </c>
      <c r="T174" s="20">
        <v>0</v>
      </c>
      <c r="U174" s="20" t="s">
        <v>1170</v>
      </c>
      <c r="Z174" s="26" t="str">
        <f>"&lt;P&gt;"&amp;PartsMaster!$I168&amp;" "&amp;PartsMaster!$H168&amp;"&lt;/P&gt;"&amp;"&lt;P&gt;Jaguar part name "&amp;PartsMaster!$E168&amp;"&lt;/P&gt;&lt;P&gt;Product numbers "&amp;PartsMaster!R168&amp;" "&amp;DQ174&amp;"&lt;/P&gt;&lt;P&gt;Fits starting from VIN/ModelYear "&amp;PartsMaster!$F168&amp;" until VIN/ModelYear "&amp;PartsMaster!$G168&amp;"&lt;/P&gt;&lt;P&gt;Condition: "&amp;PartsMaster!AB168&amp;"&lt;/P&gt;&lt;P&gt; (part source "&amp;PartsMaster!AD168&amp;")&lt;/P&gt;&lt;P&gt;Notes: "&amp;PartsMaster!AA168&amp;"&lt;/P&gt;"</f>
        <v>&lt;P&gt;Information Media&lt;/P&gt;&lt;P&gt;Jaguar part name CD ROM, XK8/XKR | Supplementary Model And Service Info.&lt;/P&gt;&lt;P&gt;Product numbers JHM1189 JHM1189&lt;/P&gt;&lt;P&gt;Fits starting from VIN/ModelYear  until VIN/ModelYear &lt;/P&gt;&lt;P&gt;Condition: British Parts&lt;/P&gt;&lt;P&gt; (part source )&lt;/P&gt;&lt;P&gt;Notes: &lt;/P&gt;</v>
      </c>
      <c r="AA174" s="20" t="s">
        <v>1171</v>
      </c>
      <c r="AC174" s="20">
        <v>0</v>
      </c>
      <c r="AD174" s="20">
        <v>0</v>
      </c>
      <c r="AE174" s="20" t="s">
        <v>1172</v>
      </c>
      <c r="AF174" s="20">
        <v>7</v>
      </c>
      <c r="AG174" s="20">
        <v>0</v>
      </c>
      <c r="AH174" s="20">
        <v>0</v>
      </c>
      <c r="AI174" s="20">
        <v>0</v>
      </c>
      <c r="AJ174" s="20">
        <v>0</v>
      </c>
      <c r="AK174" s="20">
        <v>0</v>
      </c>
      <c r="AO174" s="20" t="s">
        <v>1173</v>
      </c>
      <c r="AR174" s="20">
        <v>0</v>
      </c>
      <c r="AS174" s="20">
        <v>10112</v>
      </c>
      <c r="AV174" s="20" t="s">
        <v>1174</v>
      </c>
      <c r="AX174" s="20">
        <v>62128510024</v>
      </c>
      <c r="AY174" s="20">
        <v>62035811024</v>
      </c>
      <c r="AZ174" s="20">
        <v>55187694024</v>
      </c>
      <c r="BA174" s="20" t="s">
        <v>1175</v>
      </c>
      <c r="BB174" s="20" t="s">
        <v>1176</v>
      </c>
      <c r="BC174" s="20" t="s">
        <v>1177</v>
      </c>
      <c r="BD174" s="20">
        <v>1</v>
      </c>
      <c r="BE174" s="20">
        <v>0</v>
      </c>
      <c r="BF174" s="20">
        <v>0</v>
      </c>
      <c r="BG174" s="20">
        <v>0</v>
      </c>
      <c r="BN174" s="20" t="s">
        <v>1178</v>
      </c>
      <c r="BV174" s="20">
        <v>0</v>
      </c>
      <c r="CL174" s="20">
        <v>0</v>
      </c>
      <c r="DD174" s="20" t="s">
        <v>1179</v>
      </c>
      <c r="DE174" s="20" t="s">
        <v>1179</v>
      </c>
      <c r="DI174" s="20">
        <v>0</v>
      </c>
      <c r="DP174" s="21" t="s">
        <v>1180</v>
      </c>
      <c r="DQ174" s="21" t="str">
        <f>PartsMaster!$A168</f>
        <v>JHM1189</v>
      </c>
      <c r="DR174" s="21" t="s">
        <v>1181</v>
      </c>
      <c r="DS174" s="21" t="str">
        <f>PartsMaster!$K169&amp;" "&amp;PartsMaster!L169&amp;" "&amp;PartsMaster!$M169</f>
        <v xml:space="preserve">  </v>
      </c>
    </row>
    <row r="175" spans="1:123" hidden="1" x14ac:dyDescent="0.25">
      <c r="A175" s="20" t="s">
        <v>1166</v>
      </c>
      <c r="B175" s="20" t="s">
        <v>1167</v>
      </c>
      <c r="C175" s="20" t="s">
        <v>1168</v>
      </c>
      <c r="D175" s="21" t="str">
        <f>PartsMaster!B169&amp;" "&amp;PartsMaster!$C169</f>
        <v>Jaguar XK8 XKR X100 OWNERS HANDBOOK</v>
      </c>
      <c r="E175" s="20">
        <v>3000</v>
      </c>
      <c r="F175" s="20" t="s">
        <v>1182</v>
      </c>
      <c r="H175" s="21" t="str">
        <f>PartsMaster!$Q169</f>
        <v>OWNERS HANDBOOK</v>
      </c>
      <c r="I175" s="20">
        <v>9886</v>
      </c>
      <c r="K175" s="20">
        <v>0</v>
      </c>
      <c r="L175" s="20">
        <v>0</v>
      </c>
      <c r="M175" s="21">
        <f>PartsMaster!$D169</f>
        <v>0</v>
      </c>
      <c r="O175" s="20" t="s">
        <v>1169</v>
      </c>
      <c r="P175" s="23">
        <f>PartsMaster!$S169/1.45</f>
        <v>0</v>
      </c>
      <c r="S175" s="20">
        <v>30</v>
      </c>
      <c r="T175" s="20">
        <v>0</v>
      </c>
      <c r="U175" s="20" t="s">
        <v>1170</v>
      </c>
      <c r="Z175" s="26" t="str">
        <f>"&lt;P&gt;"&amp;PartsMaster!$I169&amp;" "&amp;PartsMaster!$H169&amp;"&lt;/P&gt;"&amp;"&lt;P&gt;Jaguar part name "&amp;PartsMaster!$E169&amp;"&lt;/P&gt;&lt;P&gt;Product numbers "&amp;PartsMaster!R169&amp;" "&amp;DQ175&amp;"&lt;/P&gt;&lt;P&gt;Fits starting from VIN/ModelYear "&amp;PartsMaster!$F169&amp;" until VIN/ModelYear "&amp;PartsMaster!$G169&amp;"&lt;/P&gt;&lt;P&gt;Condition: "&amp;PartsMaster!AB169&amp;"&lt;/P&gt;&lt;P&gt; (part source "&amp;PartsMaster!AD169&amp;")&lt;/P&gt;&lt;P&gt;Notes: "&amp;PartsMaster!AA169&amp;"&lt;/P&gt;"</f>
        <v>&lt;P&gt;Information Manual&lt;/P&gt;&lt;P&gt;Jaguar part name &lt;/P&gt;&lt;P&gt;Product numbers JJM21021440 JJM21021440&lt;/P&gt;&lt;P&gt;Fits starting from VIN/ModelYear  until VIN/ModelYear &lt;/P&gt;&lt;P&gt;Condition: British Parts&lt;/P&gt;&lt;P&gt; (part source )&lt;/P&gt;&lt;P&gt;Notes: &lt;/P&gt;</v>
      </c>
      <c r="AA175" s="20" t="s">
        <v>1171</v>
      </c>
      <c r="AC175" s="20">
        <v>0</v>
      </c>
      <c r="AD175" s="20">
        <v>0</v>
      </c>
      <c r="AE175" s="20" t="s">
        <v>1172</v>
      </c>
      <c r="AF175" s="20">
        <v>7</v>
      </c>
      <c r="AG175" s="20">
        <v>0</v>
      </c>
      <c r="AH175" s="20">
        <v>0</v>
      </c>
      <c r="AI175" s="20">
        <v>0</v>
      </c>
      <c r="AJ175" s="20">
        <v>0</v>
      </c>
      <c r="AK175" s="20">
        <v>0</v>
      </c>
      <c r="AO175" s="20" t="s">
        <v>1173</v>
      </c>
      <c r="AR175" s="20">
        <v>0</v>
      </c>
      <c r="AS175" s="20">
        <v>10112</v>
      </c>
      <c r="AV175" s="20" t="s">
        <v>1174</v>
      </c>
      <c r="AX175" s="20">
        <v>62128510024</v>
      </c>
      <c r="AY175" s="20">
        <v>62035811024</v>
      </c>
      <c r="AZ175" s="20">
        <v>55187694024</v>
      </c>
      <c r="BA175" s="20" t="s">
        <v>1175</v>
      </c>
      <c r="BB175" s="20" t="s">
        <v>1176</v>
      </c>
      <c r="BC175" s="20" t="s">
        <v>1177</v>
      </c>
      <c r="BD175" s="20">
        <v>1</v>
      </c>
      <c r="BE175" s="20">
        <v>0</v>
      </c>
      <c r="BF175" s="20">
        <v>0</v>
      </c>
      <c r="BG175" s="20">
        <v>0</v>
      </c>
      <c r="BN175" s="20" t="s">
        <v>1178</v>
      </c>
      <c r="BV175" s="20">
        <v>0</v>
      </c>
      <c r="CL175" s="20">
        <v>0</v>
      </c>
      <c r="DD175" s="20" t="s">
        <v>1179</v>
      </c>
      <c r="DE175" s="20" t="s">
        <v>1179</v>
      </c>
      <c r="DI175" s="20">
        <v>0</v>
      </c>
      <c r="DP175" s="21" t="s">
        <v>1180</v>
      </c>
      <c r="DQ175" s="21" t="str">
        <f>PartsMaster!$A169</f>
        <v>JJM21021440</v>
      </c>
      <c r="DR175" s="21" t="s">
        <v>1181</v>
      </c>
      <c r="DS175" s="21" t="str">
        <f>PartsMaster!$K170&amp;" "&amp;PartsMaster!L170&amp;" "&amp;PartsMaster!$M170</f>
        <v xml:space="preserve">  </v>
      </c>
    </row>
    <row r="176" spans="1:123" ht="30" hidden="1" x14ac:dyDescent="0.25">
      <c r="A176" s="20" t="s">
        <v>1166</v>
      </c>
      <c r="B176" s="20" t="s">
        <v>1167</v>
      </c>
      <c r="C176" s="20" t="s">
        <v>1168</v>
      </c>
      <c r="D176" s="21" t="str">
        <f>PartsMaster!B170&amp;" "&amp;PartsMaster!$C170</f>
        <v>Jaguar XK8 XKR X100 Paint Touch-up Pencil Water Based</v>
      </c>
      <c r="E176" s="20">
        <v>3000</v>
      </c>
      <c r="F176" s="20" t="s">
        <v>1182</v>
      </c>
      <c r="H176" s="21">
        <f>PartsMaster!$Q170</f>
        <v>0</v>
      </c>
      <c r="I176" s="20">
        <v>9886</v>
      </c>
      <c r="K176" s="20">
        <v>0</v>
      </c>
      <c r="L176" s="20">
        <v>0</v>
      </c>
      <c r="M176" s="21">
        <f>PartsMaster!$D170</f>
        <v>0</v>
      </c>
      <c r="O176" s="20" t="s">
        <v>1169</v>
      </c>
      <c r="P176" s="23">
        <f>PartsMaster!$S170/1.45</f>
        <v>0</v>
      </c>
      <c r="S176" s="20">
        <v>30</v>
      </c>
      <c r="T176" s="20">
        <v>0</v>
      </c>
      <c r="U176" s="20" t="s">
        <v>1170</v>
      </c>
      <c r="Z176" s="26" t="str">
        <f>"&lt;P&gt;"&amp;PartsMaster!$I170&amp;" "&amp;PartsMaster!$H170&amp;"&lt;/P&gt;"&amp;"&lt;P&gt;Jaguar part name "&amp;PartsMaster!$E170&amp;"&lt;/P&gt;&lt;P&gt;Product numbers "&amp;PartsMaster!R170&amp;" "&amp;DQ176&amp;"&lt;/P&gt;&lt;P&gt;Fits starting from VIN/ModelYear "&amp;PartsMaster!$F170&amp;" until VIN/ModelYear "&amp;PartsMaster!$G170&amp;"&lt;/P&gt;&lt;P&gt;Condition: "&amp;PartsMaster!AB170&amp;"&lt;/P&gt;&lt;P&gt; (part source "&amp;PartsMaster!AD170&amp;")&lt;/P&gt;&lt;P&gt;Notes: "&amp;PartsMaster!AA170&amp;"&lt;/P&gt;"</f>
        <v>&lt;P&gt;Paint Paint&lt;/P&gt;&lt;P&gt;Jaguar part name Paint Touch-up Pencil Water Based&lt;/P&gt;&lt;P&gt;Product numbers  JLM11464JHF&lt;/P&gt;&lt;P&gt;Fits starting from VIN/ModelYear  until VIN/ModelYear &lt;/P&gt;&lt;P&gt;Condition: &lt;/P&gt;&lt;P&gt; (part source )&lt;/P&gt;&lt;P&gt;Notes: &lt;/P&gt;</v>
      </c>
      <c r="AA176" s="20" t="s">
        <v>1171</v>
      </c>
      <c r="AC176" s="20">
        <v>0</v>
      </c>
      <c r="AD176" s="20">
        <v>0</v>
      </c>
      <c r="AE176" s="20" t="s">
        <v>1172</v>
      </c>
      <c r="AF176" s="20">
        <v>7</v>
      </c>
      <c r="AG176" s="20">
        <v>0</v>
      </c>
      <c r="AH176" s="20">
        <v>0</v>
      </c>
      <c r="AI176" s="20">
        <v>0</v>
      </c>
      <c r="AJ176" s="20">
        <v>0</v>
      </c>
      <c r="AK176" s="20">
        <v>0</v>
      </c>
      <c r="AO176" s="20" t="s">
        <v>1173</v>
      </c>
      <c r="AR176" s="20">
        <v>0</v>
      </c>
      <c r="AS176" s="20">
        <v>10112</v>
      </c>
      <c r="AV176" s="20" t="s">
        <v>1174</v>
      </c>
      <c r="AX176" s="20">
        <v>62128510024</v>
      </c>
      <c r="AY176" s="20">
        <v>62035811024</v>
      </c>
      <c r="AZ176" s="20">
        <v>55187694024</v>
      </c>
      <c r="BA176" s="20" t="s">
        <v>1175</v>
      </c>
      <c r="BB176" s="20" t="s">
        <v>1176</v>
      </c>
      <c r="BC176" s="20" t="s">
        <v>1177</v>
      </c>
      <c r="BD176" s="20">
        <v>1</v>
      </c>
      <c r="BE176" s="20">
        <v>0</v>
      </c>
      <c r="BF176" s="20">
        <v>0</v>
      </c>
      <c r="BG176" s="20">
        <v>0</v>
      </c>
      <c r="BN176" s="20" t="s">
        <v>1178</v>
      </c>
      <c r="BV176" s="20">
        <v>0</v>
      </c>
      <c r="CL176" s="20">
        <v>0</v>
      </c>
      <c r="DD176" s="20" t="s">
        <v>1179</v>
      </c>
      <c r="DE176" s="20" t="s">
        <v>1179</v>
      </c>
      <c r="DI176" s="20">
        <v>0</v>
      </c>
      <c r="DP176" s="21" t="s">
        <v>1180</v>
      </c>
      <c r="DQ176" s="21" t="str">
        <f>PartsMaster!$A170</f>
        <v>JLM11464JHF</v>
      </c>
      <c r="DR176" s="21" t="s">
        <v>1181</v>
      </c>
      <c r="DS176" s="21" t="str">
        <f>PartsMaster!$K171&amp;" "&amp;PartsMaster!L171&amp;" "&amp;PartsMaster!$M171</f>
        <v xml:space="preserve">Front Right </v>
      </c>
    </row>
    <row r="177" spans="1:123" ht="30" hidden="1" x14ac:dyDescent="0.25">
      <c r="A177" s="20" t="s">
        <v>1166</v>
      </c>
      <c r="B177" s="20" t="s">
        <v>1167</v>
      </c>
      <c r="C177" s="20" t="s">
        <v>1168</v>
      </c>
      <c r="D177" s="21" t="str">
        <f>PartsMaster!B171&amp;" "&amp;PartsMaster!$C171</f>
        <v>Jaguar XK8 XKR X100 XJ8 XJR X308 XJ6 Door handle</v>
      </c>
      <c r="E177" s="20">
        <v>3000</v>
      </c>
      <c r="F177" s="20" t="s">
        <v>1182</v>
      </c>
      <c r="H177" s="21" t="str">
        <f>PartsMaster!$Q171</f>
        <v>Door handle</v>
      </c>
      <c r="I177" s="20">
        <v>9886</v>
      </c>
      <c r="K177" s="20">
        <v>0</v>
      </c>
      <c r="L177" s="20">
        <v>0</v>
      </c>
      <c r="M177" s="21">
        <f>PartsMaster!$D171</f>
        <v>1</v>
      </c>
      <c r="O177" s="20" t="s">
        <v>1169</v>
      </c>
      <c r="P177" s="23">
        <f>PartsMaster!$S171/1.45</f>
        <v>65.517241379310349</v>
      </c>
      <c r="S177" s="20">
        <v>30</v>
      </c>
      <c r="T177" s="20">
        <v>0</v>
      </c>
      <c r="U177" s="20" t="s">
        <v>1170</v>
      </c>
      <c r="Z177" s="26" t="str">
        <f>"&lt;P&gt;"&amp;PartsMaster!$I171&amp;" "&amp;PartsMaster!$H171&amp;"&lt;/P&gt;"&amp;"&lt;P&gt;Jaguar part name "&amp;PartsMaster!$E171&amp;"&lt;/P&gt;&lt;P&gt;Product numbers "&amp;PartsMaster!R171&amp;" "&amp;DQ177&amp;"&lt;/P&gt;&lt;P&gt;Fits starting from VIN/ModelYear "&amp;PartsMaster!$F171&amp;" until VIN/ModelYear "&amp;PartsMaster!$G171&amp;"&lt;/P&gt;&lt;P&gt;Condition: "&amp;PartsMaster!AB171&amp;"&lt;/P&gt;&lt;P&gt; (part source "&amp;PartsMaster!AD171&amp;")&lt;/P&gt;&lt;P&gt;Notes: "&amp;PartsMaster!AA171&amp;"&lt;/P&gt;"</f>
        <v>&lt;P&gt;Handle Exterior handle&lt;/P&gt;&lt;P&gt;Jaguar part name BODY CLOSURES AND SEALING/DOOR HANDLES AND LOCKS Door handle - Chromed flap without lock - Antigua - LHD&lt;/P&gt;&lt;P&gt;Product numbers JLM12032JHH JLM12032JHH&lt;/P&gt;&lt;P&gt;Fits starting from VIN/ModelYear X100 MY1996 - X308 812317 - X300 720125 until VIN/ModelYear X100 MY2006 - X308 F59525 - X300 812255&lt;/P&gt;&lt;P&gt;Condition: Dismantled from bottom &amp; engine damaged MY1997 XK8 Convertible VIN 0136xx&lt;/P&gt;&lt;P&gt; (part source KK)&lt;/P&gt;&lt;P&gt;Notes: &lt;/P&gt;</v>
      </c>
      <c r="AA177" s="20" t="s">
        <v>1171</v>
      </c>
      <c r="AC177" s="20">
        <v>0</v>
      </c>
      <c r="AD177" s="20">
        <v>0</v>
      </c>
      <c r="AE177" s="20" t="s">
        <v>1172</v>
      </c>
      <c r="AF177" s="20">
        <v>7</v>
      </c>
      <c r="AG177" s="20">
        <v>0</v>
      </c>
      <c r="AH177" s="20">
        <v>0</v>
      </c>
      <c r="AI177" s="20">
        <v>0</v>
      </c>
      <c r="AJ177" s="20">
        <v>0</v>
      </c>
      <c r="AK177" s="20">
        <v>0</v>
      </c>
      <c r="AO177" s="20" t="s">
        <v>1173</v>
      </c>
      <c r="AR177" s="20">
        <v>0</v>
      </c>
      <c r="AS177" s="20">
        <v>10112</v>
      </c>
      <c r="AV177" s="20" t="s">
        <v>1174</v>
      </c>
      <c r="AX177" s="20">
        <v>62128510024</v>
      </c>
      <c r="AY177" s="20">
        <v>62035811024</v>
      </c>
      <c r="AZ177" s="20">
        <v>55187694024</v>
      </c>
      <c r="BA177" s="20" t="s">
        <v>1175</v>
      </c>
      <c r="BB177" s="20" t="s">
        <v>1176</v>
      </c>
      <c r="BC177" s="20" t="s">
        <v>1177</v>
      </c>
      <c r="BD177" s="20">
        <v>1</v>
      </c>
      <c r="BE177" s="20">
        <v>0</v>
      </c>
      <c r="BF177" s="20">
        <v>0</v>
      </c>
      <c r="BG177" s="20">
        <v>0</v>
      </c>
      <c r="BN177" s="20" t="s">
        <v>1178</v>
      </c>
      <c r="BV177" s="20">
        <v>0</v>
      </c>
      <c r="CL177" s="20">
        <v>0</v>
      </c>
      <c r="DD177" s="20" t="s">
        <v>1179</v>
      </c>
      <c r="DE177" s="20" t="s">
        <v>1179</v>
      </c>
      <c r="DI177" s="20">
        <v>0</v>
      </c>
      <c r="DP177" s="21" t="s">
        <v>1180</v>
      </c>
      <c r="DQ177" s="21" t="str">
        <f>PartsMaster!$A171</f>
        <v>JLM12032JHH</v>
      </c>
      <c r="DR177" s="21" t="s">
        <v>1181</v>
      </c>
      <c r="DS177" s="21" t="str">
        <f>PartsMaster!$K172&amp;" "&amp;PartsMaster!L172&amp;" "&amp;PartsMaster!$M172</f>
        <v xml:space="preserve">Front Left/Right </v>
      </c>
    </row>
    <row r="178" spans="1:123" x14ac:dyDescent="0.25">
      <c r="A178" s="20" t="s">
        <v>1166</v>
      </c>
      <c r="B178" s="20" t="s">
        <v>1167</v>
      </c>
      <c r="C178" s="20" t="s">
        <v>1168</v>
      </c>
      <c r="D178" s="21" t="str">
        <f>PartsMaster!B287&amp;" "&amp;PartsMaster!$C287</f>
        <v xml:space="preserve">Jaguar XK8 XKR X100 Speaker Element Subwoofer (Harman-Kardon Premium Audio) </v>
      </c>
      <c r="E178" s="20">
        <v>3000</v>
      </c>
      <c r="F178" s="20" t="s">
        <v>1182</v>
      </c>
      <c r="H178" s="21">
        <f>PartsMaster!$Q287</f>
        <v>0</v>
      </c>
      <c r="I178" s="20">
        <v>9886</v>
      </c>
      <c r="K178" s="20">
        <v>0</v>
      </c>
      <c r="L178" s="20">
        <v>0</v>
      </c>
      <c r="M178" s="21">
        <f>PartsMaster!$D287</f>
        <v>0</v>
      </c>
      <c r="O178" s="20" t="s">
        <v>1169</v>
      </c>
      <c r="P178" s="23">
        <f>PartsMaster!$S287/1.45</f>
        <v>0</v>
      </c>
      <c r="S178" s="20">
        <v>30</v>
      </c>
      <c r="T178" s="20">
        <v>0</v>
      </c>
      <c r="U178" s="20" t="s">
        <v>1170</v>
      </c>
      <c r="Z178" s="26" t="str">
        <f>"&lt;P&gt;"&amp;PartsMaster!$I287&amp;" "&amp;PartsMaster!$H287&amp;"&lt;/P&gt;"&amp;"&lt;P&gt;Jaguar part name "&amp;PartsMaster!$E287&amp;"&lt;/P&gt;&lt;P&gt;Product numbers "&amp;PartsMaster!R287&amp;" "&amp;DQ178&amp;"&lt;/P&gt;&lt;P&gt;Fits starting from VIN/ModelYear "&amp;PartsMaster!$F287&amp;" until VIN/ModelYear "&amp;PartsMaster!$G287&amp;"&lt;/P&gt;&lt;P&gt;Condition: "&amp;PartsMaster!AB287&amp;"&lt;/P&gt;&lt;P&gt; (part source "&amp;PartsMaster!AD287&amp;")&lt;/P&gt;&lt;P&gt;Notes: "&amp;PartsMaster!AA287&amp;"&lt;/P&gt;"</f>
        <v>&lt;P&gt;Audio / In car Entertainment Speaker&lt;/P&gt;&lt;P&gt;Jaguar part name &lt;/P&gt;&lt;P&gt;Product numbers  N/A&lt;/P&gt;&lt;P&gt;Fits starting from VIN/ModelYear  until VIN/ModelYear &lt;/P&gt;&lt;P&gt;Condition: &lt;/P&gt;&lt;P&gt; (part source )&lt;/P&gt;&lt;P&gt;Notes: &lt;/P&gt;</v>
      </c>
      <c r="AA178" s="20" t="s">
        <v>1171</v>
      </c>
      <c r="AC178" s="20">
        <v>0</v>
      </c>
      <c r="AD178" s="20">
        <v>0</v>
      </c>
      <c r="AE178" s="20" t="s">
        <v>1172</v>
      </c>
      <c r="AF178" s="20">
        <v>7</v>
      </c>
      <c r="AG178" s="20">
        <v>0</v>
      </c>
      <c r="AH178" s="20">
        <v>0</v>
      </c>
      <c r="AI178" s="20">
        <v>0</v>
      </c>
      <c r="AJ178" s="20">
        <v>0</v>
      </c>
      <c r="AK178" s="20">
        <v>0</v>
      </c>
      <c r="AO178" s="20" t="s">
        <v>1173</v>
      </c>
      <c r="AR178" s="20">
        <v>0</v>
      </c>
      <c r="AS178" s="20">
        <v>10112</v>
      </c>
      <c r="AV178" s="20" t="s">
        <v>1174</v>
      </c>
      <c r="AX178" s="20">
        <v>62128510024</v>
      </c>
      <c r="AY178" s="20">
        <v>62035811024</v>
      </c>
      <c r="AZ178" s="20">
        <v>55187694024</v>
      </c>
      <c r="BA178" s="20" t="s">
        <v>1175</v>
      </c>
      <c r="BB178" s="20" t="s">
        <v>1176</v>
      </c>
      <c r="BC178" s="20" t="s">
        <v>1177</v>
      </c>
      <c r="BD178" s="20">
        <v>1</v>
      </c>
      <c r="BE178" s="20">
        <v>0</v>
      </c>
      <c r="BF178" s="20">
        <v>0</v>
      </c>
      <c r="BG178" s="20">
        <v>0</v>
      </c>
      <c r="BN178" s="20" t="s">
        <v>1178</v>
      </c>
      <c r="BV178" s="20">
        <v>0</v>
      </c>
      <c r="CL178" s="20">
        <v>0</v>
      </c>
      <c r="DD178" s="20" t="s">
        <v>1179</v>
      </c>
      <c r="DE178" s="20" t="s">
        <v>1179</v>
      </c>
      <c r="DI178" s="20">
        <v>0</v>
      </c>
      <c r="DP178" s="21" t="s">
        <v>1180</v>
      </c>
      <c r="DQ178" s="21" t="str">
        <f>PartsMaster!$A287</f>
        <v>N/A</v>
      </c>
      <c r="DR178" s="21" t="s">
        <v>1181</v>
      </c>
      <c r="DS178" s="21" t="str">
        <f>PartsMaster!$K288&amp;" "&amp;PartsMaster!L288&amp;" "&amp;PartsMaster!$M288</f>
        <v xml:space="preserve">  Low</v>
      </c>
    </row>
    <row r="179" spans="1:123" ht="30" x14ac:dyDescent="0.25">
      <c r="A179" s="20" t="s">
        <v>1166</v>
      </c>
      <c r="B179" s="20" t="s">
        <v>1167</v>
      </c>
      <c r="C179" s="20" t="s">
        <v>1168</v>
      </c>
      <c r="D179" s="21" t="str">
        <f>PartsMaster!B163&amp;" "&amp;PartsMaster!$C163</f>
        <v>Jaguar XK8 XKR X100 Harness body to door</v>
      </c>
      <c r="E179" s="20">
        <v>3000</v>
      </c>
      <c r="F179" s="20" t="s">
        <v>1182</v>
      </c>
      <c r="H179" s="21" t="str">
        <f>PartsMaster!$Q163</f>
        <v>Harness body to door</v>
      </c>
      <c r="I179" s="20">
        <v>9886</v>
      </c>
      <c r="K179" s="20">
        <v>0</v>
      </c>
      <c r="L179" s="20">
        <v>0</v>
      </c>
      <c r="M179" s="21">
        <f>PartsMaster!$D163</f>
        <v>1</v>
      </c>
      <c r="O179" s="20" t="s">
        <v>1169</v>
      </c>
      <c r="P179" s="23">
        <f>PartsMaster!$S163/1.45</f>
        <v>0</v>
      </c>
      <c r="S179" s="20">
        <v>30</v>
      </c>
      <c r="T179" s="20">
        <v>0</v>
      </c>
      <c r="U179" s="20" t="s">
        <v>1170</v>
      </c>
      <c r="Z179" s="26" t="str">
        <f>"&lt;P&gt;"&amp;PartsMaster!$I163&amp;" "&amp;PartsMaster!$H163&amp;"&lt;/P&gt;"&amp;"&lt;P&gt;Jaguar part name "&amp;PartsMaster!$E163&amp;"&lt;/P&gt;&lt;P&gt;Product numbers "&amp;PartsMaster!R163&amp;" "&amp;DQ179&amp;"&lt;/P&gt;&lt;P&gt;Fits starting from VIN/ModelYear "&amp;PartsMaster!$F163&amp;" until VIN/ModelYear "&amp;PartsMaster!$G163&amp;"&lt;/P&gt;&lt;P&gt;Condition: "&amp;PartsMaster!AB163&amp;"&lt;/P&gt;&lt;P&gt; (part source "&amp;PartsMaster!AD163&amp;")&lt;/P&gt;&lt;P&gt;Notes: "&amp;PartsMaster!AA163&amp;"&lt;/P&gt;"</f>
        <v>&lt;P&gt;Electrical wires Harness&lt;/P&gt;&lt;P&gt;Jaguar part name &lt;/P&gt;&lt;P&gt;Product numbers JA3190AG JA3190AG&lt;/P&gt;&lt;P&gt;Fits starting from VIN/ModelYear  until VIN/ModelYear &lt;/P&gt;&lt;P&gt;Condition: Dismantled from bottom &amp; engine damaged MY1997 XK8 Convertible VIN 0136xx&lt;/P&gt;&lt;P&gt; (part source )&lt;/P&gt;&lt;P&gt;Notes: &lt;/P&gt;</v>
      </c>
      <c r="AA179" s="20" t="s">
        <v>1171</v>
      </c>
      <c r="AC179" s="20">
        <v>0</v>
      </c>
      <c r="AD179" s="20">
        <v>0</v>
      </c>
      <c r="AE179" s="20" t="s">
        <v>1172</v>
      </c>
      <c r="AF179" s="20">
        <v>7</v>
      </c>
      <c r="AG179" s="20">
        <v>0</v>
      </c>
      <c r="AH179" s="20">
        <v>0</v>
      </c>
      <c r="AI179" s="20">
        <v>0</v>
      </c>
      <c r="AJ179" s="20">
        <v>0</v>
      </c>
      <c r="AK179" s="20">
        <v>0</v>
      </c>
      <c r="AO179" s="20" t="s">
        <v>1173</v>
      </c>
      <c r="AR179" s="20">
        <v>0</v>
      </c>
      <c r="AS179" s="20">
        <v>10112</v>
      </c>
      <c r="AV179" s="20" t="s">
        <v>1174</v>
      </c>
      <c r="AX179" s="20">
        <v>62128510024</v>
      </c>
      <c r="AY179" s="20">
        <v>62035811024</v>
      </c>
      <c r="AZ179" s="20">
        <v>55187694024</v>
      </c>
      <c r="BA179" s="20" t="s">
        <v>1175</v>
      </c>
      <c r="BB179" s="20" t="s">
        <v>1176</v>
      </c>
      <c r="BC179" s="20" t="s">
        <v>1177</v>
      </c>
      <c r="BD179" s="20">
        <v>1</v>
      </c>
      <c r="BE179" s="20">
        <v>0</v>
      </c>
      <c r="BF179" s="20">
        <v>0</v>
      </c>
      <c r="BG179" s="20">
        <v>0</v>
      </c>
      <c r="BN179" s="20" t="s">
        <v>1178</v>
      </c>
      <c r="BV179" s="20">
        <v>0</v>
      </c>
      <c r="CL179" s="20">
        <v>0</v>
      </c>
      <c r="DD179" s="20" t="s">
        <v>1179</v>
      </c>
      <c r="DE179" s="20" t="s">
        <v>1179</v>
      </c>
      <c r="DI179" s="20">
        <v>0</v>
      </c>
      <c r="DP179" s="21" t="s">
        <v>1180</v>
      </c>
      <c r="DQ179" s="21" t="str">
        <f>PartsMaster!$A163</f>
        <v>JA3190AG</v>
      </c>
      <c r="DR179" s="21" t="s">
        <v>1181</v>
      </c>
      <c r="DS179" s="21" t="str">
        <f>PartsMaster!$K164&amp;" "&amp;PartsMaster!L164&amp;" "&amp;PartsMaster!$M164</f>
        <v xml:space="preserve">Center Right </v>
      </c>
    </row>
    <row r="180" spans="1:123" x14ac:dyDescent="0.25">
      <c r="A180" s="20" t="s">
        <v>1166</v>
      </c>
      <c r="B180" s="20" t="s">
        <v>1167</v>
      </c>
      <c r="C180" s="20" t="s">
        <v>1168</v>
      </c>
      <c r="D180" s="21" t="str">
        <f>PartsMaster!B172&amp;" "&amp;PartsMaster!$C172</f>
        <v>Jaguar XK8 XKR X100 Break Caliber Seal Kit</v>
      </c>
      <c r="E180" s="20">
        <v>3000</v>
      </c>
      <c r="F180" s="20" t="s">
        <v>1182</v>
      </c>
      <c r="H180" s="21" t="str">
        <f>PartsMaster!$Q172</f>
        <v>CALIPER SEAL KIT-FRONT</v>
      </c>
      <c r="I180" s="20">
        <v>9886</v>
      </c>
      <c r="K180" s="20">
        <v>0</v>
      </c>
      <c r="L180" s="20">
        <v>0</v>
      </c>
      <c r="M180" s="21">
        <f>PartsMaster!$D172</f>
        <v>0</v>
      </c>
      <c r="O180" s="20" t="s">
        <v>1169</v>
      </c>
      <c r="P180" s="23">
        <f>PartsMaster!$S172/1.45</f>
        <v>0</v>
      </c>
      <c r="S180" s="20">
        <v>30</v>
      </c>
      <c r="T180" s="20">
        <v>0</v>
      </c>
      <c r="U180" s="20" t="s">
        <v>1170</v>
      </c>
      <c r="Z180" s="26" t="str">
        <f>"&lt;P&gt;"&amp;PartsMaster!$I172&amp;" "&amp;PartsMaster!$H172&amp;"&lt;/P&gt;"&amp;"&lt;P&gt;Jaguar part name "&amp;PartsMaster!$E172&amp;"&lt;/P&gt;&lt;P&gt;Product numbers "&amp;PartsMaster!R172&amp;" "&amp;DQ180&amp;"&lt;/P&gt;&lt;P&gt;Fits starting from VIN/ModelYear "&amp;PartsMaster!$F172&amp;" until VIN/ModelYear "&amp;PartsMaster!$G172&amp;"&lt;/P&gt;&lt;P&gt;Condition: "&amp;PartsMaster!AB172&amp;"&lt;/P&gt;&lt;P&gt; (part source "&amp;PartsMaster!AD172&amp;")&lt;/P&gt;&lt;P&gt;Notes: "&amp;PartsMaster!AA172&amp;"&lt;/P&gt;"</f>
        <v>&lt;P&gt;Brakes Kit&lt;/P&gt;&lt;P&gt;Jaguar part name &lt;/P&gt;&lt;P&gt;Product numbers JLM12123 JLM12123&lt;/P&gt;&lt;P&gt;Fits starting from VIN/ModelYear  until VIN/ModelYear &lt;/P&gt;&lt;P&gt;Condition: British Parts&lt;/P&gt;&lt;P&gt; (part source )&lt;/P&gt;&lt;P&gt;Notes: &lt;/P&gt;</v>
      </c>
      <c r="AA180" s="20" t="s">
        <v>1171</v>
      </c>
      <c r="AC180" s="20">
        <v>0</v>
      </c>
      <c r="AD180" s="20">
        <v>0</v>
      </c>
      <c r="AE180" s="20" t="s">
        <v>1172</v>
      </c>
      <c r="AF180" s="20">
        <v>7</v>
      </c>
      <c r="AG180" s="20">
        <v>0</v>
      </c>
      <c r="AH180" s="20">
        <v>0</v>
      </c>
      <c r="AI180" s="20">
        <v>0</v>
      </c>
      <c r="AJ180" s="20">
        <v>0</v>
      </c>
      <c r="AK180" s="20">
        <v>0</v>
      </c>
      <c r="AO180" s="20" t="s">
        <v>1173</v>
      </c>
      <c r="AR180" s="20">
        <v>0</v>
      </c>
      <c r="AS180" s="20">
        <v>10112</v>
      </c>
      <c r="AV180" s="20" t="s">
        <v>1174</v>
      </c>
      <c r="AX180" s="20">
        <v>62128510024</v>
      </c>
      <c r="AY180" s="20">
        <v>62035811024</v>
      </c>
      <c r="AZ180" s="20">
        <v>55187694024</v>
      </c>
      <c r="BA180" s="20" t="s">
        <v>1175</v>
      </c>
      <c r="BB180" s="20" t="s">
        <v>1176</v>
      </c>
      <c r="BC180" s="20" t="s">
        <v>1177</v>
      </c>
      <c r="BD180" s="20">
        <v>1</v>
      </c>
      <c r="BE180" s="20">
        <v>0</v>
      </c>
      <c r="BF180" s="20">
        <v>0</v>
      </c>
      <c r="BG180" s="20">
        <v>0</v>
      </c>
      <c r="BN180" s="20" t="s">
        <v>1178</v>
      </c>
      <c r="BV180" s="20">
        <v>0</v>
      </c>
      <c r="CL180" s="20">
        <v>0</v>
      </c>
      <c r="DD180" s="20" t="s">
        <v>1179</v>
      </c>
      <c r="DE180" s="20" t="s">
        <v>1179</v>
      </c>
      <c r="DI180" s="20">
        <v>0</v>
      </c>
      <c r="DP180" s="21" t="s">
        <v>1180</v>
      </c>
      <c r="DQ180" s="21" t="str">
        <f>PartsMaster!$A172</f>
        <v>JLM12123</v>
      </c>
      <c r="DR180" s="21" t="s">
        <v>1181</v>
      </c>
      <c r="DS180" s="21" t="str">
        <f>PartsMaster!$K173&amp;" "&amp;PartsMaster!L173&amp;" "&amp;PartsMaster!$M173</f>
        <v xml:space="preserve">  </v>
      </c>
    </row>
    <row r="181" spans="1:123" ht="30" hidden="1" x14ac:dyDescent="0.25">
      <c r="A181" s="20" t="s">
        <v>1166</v>
      </c>
      <c r="B181" s="20" t="s">
        <v>1167</v>
      </c>
      <c r="C181" s="20" t="s">
        <v>1168</v>
      </c>
      <c r="D181" s="21" t="str">
        <f>PartsMaster!B175&amp;" "&amp;PartsMaster!$C175</f>
        <v>Jaguar XK8 XKR X100 Brake Pads</v>
      </c>
      <c r="E181" s="20">
        <v>3000</v>
      </c>
      <c r="F181" s="20" t="s">
        <v>1182</v>
      </c>
      <c r="H181" s="21" t="str">
        <f>PartsMaster!$Q175</f>
        <v>Brake Pads</v>
      </c>
      <c r="I181" s="20">
        <v>9886</v>
      </c>
      <c r="K181" s="20">
        <v>0</v>
      </c>
      <c r="L181" s="20">
        <v>0</v>
      </c>
      <c r="M181" s="21">
        <f>PartsMaster!$D175</f>
        <v>0</v>
      </c>
      <c r="O181" s="20" t="s">
        <v>1169</v>
      </c>
      <c r="P181" s="23">
        <f>PartsMaster!$S175/1.45</f>
        <v>0</v>
      </c>
      <c r="S181" s="20">
        <v>30</v>
      </c>
      <c r="T181" s="20">
        <v>0</v>
      </c>
      <c r="U181" s="20" t="s">
        <v>1170</v>
      </c>
      <c r="Z181" s="26" t="str">
        <f>"&lt;P&gt;"&amp;PartsMaster!$I175&amp;" "&amp;PartsMaster!$H175&amp;"&lt;/P&gt;"&amp;"&lt;P&gt;Jaguar part name "&amp;PartsMaster!$E175&amp;"&lt;/P&gt;&lt;P&gt;Product numbers "&amp;PartsMaster!R175&amp;" "&amp;DQ181&amp;"&lt;/P&gt;&lt;P&gt;Fits starting from VIN/ModelYear "&amp;PartsMaster!$F175&amp;" until VIN/ModelYear "&amp;PartsMaster!$G175&amp;"&lt;/P&gt;&lt;P&gt;Condition: "&amp;PartsMaster!AB175&amp;"&lt;/P&gt;&lt;P&gt; (part source "&amp;PartsMaster!AD175&amp;")&lt;/P&gt;&lt;P&gt;Notes: "&amp;PartsMaster!AA175&amp;"&lt;/P&gt;"</f>
        <v>&lt;P&gt;Brakes &lt;/P&gt;&lt;P&gt;Jaguar part name &lt;/P&gt;&lt;P&gt;Product numbers  JLM1829&lt;/P&gt;&lt;P&gt;Fits starting from VIN/ModelYear  until VIN/ModelYear &lt;/P&gt;&lt;P&gt;Condition: British Parts&lt;/P&gt;&lt;P&gt; (part source )&lt;/P&gt;&lt;P&gt;Notes: Mfr date 04/97 on ?&lt;/P&gt;</v>
      </c>
      <c r="AA181" s="20" t="s">
        <v>1171</v>
      </c>
      <c r="AC181" s="20">
        <v>0</v>
      </c>
      <c r="AD181" s="20">
        <v>0</v>
      </c>
      <c r="AE181" s="20" t="s">
        <v>1172</v>
      </c>
      <c r="AF181" s="20">
        <v>7</v>
      </c>
      <c r="AG181" s="20">
        <v>0</v>
      </c>
      <c r="AH181" s="20">
        <v>0</v>
      </c>
      <c r="AI181" s="20">
        <v>0</v>
      </c>
      <c r="AJ181" s="20">
        <v>0</v>
      </c>
      <c r="AK181" s="20">
        <v>0</v>
      </c>
      <c r="AO181" s="20" t="s">
        <v>1173</v>
      </c>
      <c r="AR181" s="20">
        <v>0</v>
      </c>
      <c r="AS181" s="20">
        <v>10112</v>
      </c>
      <c r="AV181" s="20" t="s">
        <v>1174</v>
      </c>
      <c r="AX181" s="20">
        <v>62128510024</v>
      </c>
      <c r="AY181" s="20">
        <v>62035811024</v>
      </c>
      <c r="AZ181" s="20">
        <v>55187694024</v>
      </c>
      <c r="BA181" s="20" t="s">
        <v>1175</v>
      </c>
      <c r="BB181" s="20" t="s">
        <v>1176</v>
      </c>
      <c r="BC181" s="20" t="s">
        <v>1177</v>
      </c>
      <c r="BD181" s="20">
        <v>1</v>
      </c>
      <c r="BE181" s="20">
        <v>0</v>
      </c>
      <c r="BF181" s="20">
        <v>0</v>
      </c>
      <c r="BG181" s="20">
        <v>0</v>
      </c>
      <c r="BN181" s="20" t="s">
        <v>1178</v>
      </c>
      <c r="BV181" s="20">
        <v>0</v>
      </c>
      <c r="CL181" s="20">
        <v>0</v>
      </c>
      <c r="DD181" s="20" t="s">
        <v>1179</v>
      </c>
      <c r="DE181" s="20" t="s">
        <v>1179</v>
      </c>
      <c r="DI181" s="20">
        <v>0</v>
      </c>
      <c r="DP181" s="21" t="s">
        <v>1180</v>
      </c>
      <c r="DQ181" s="21" t="str">
        <f>PartsMaster!$A175</f>
        <v>JLM1829</v>
      </c>
      <c r="DR181" s="21" t="s">
        <v>1181</v>
      </c>
      <c r="DS181" s="21" t="str">
        <f>PartsMaster!$K176&amp;" "&amp;PartsMaster!L176&amp;" "&amp;PartsMaster!$M176</f>
        <v xml:space="preserve">  </v>
      </c>
    </row>
    <row r="182" spans="1:123" ht="30" hidden="1" x14ac:dyDescent="0.25">
      <c r="A182" s="20" t="s">
        <v>1166</v>
      </c>
      <c r="B182" s="20" t="s">
        <v>1167</v>
      </c>
      <c r="C182" s="20" t="s">
        <v>1168</v>
      </c>
      <c r="D182" s="21" t="str">
        <f>PartsMaster!B176&amp;" "&amp;PartsMaster!$C176</f>
        <v>Jaguar XK8 XKR X100 Badge Wheel</v>
      </c>
      <c r="E182" s="20">
        <v>3000</v>
      </c>
      <c r="F182" s="20" t="s">
        <v>1182</v>
      </c>
      <c r="H182" s="21" t="str">
        <f>PartsMaster!$Q176</f>
        <v>JAGUAR WHEEL BADGE</v>
      </c>
      <c r="I182" s="20">
        <v>9886</v>
      </c>
      <c r="K182" s="20">
        <v>0</v>
      </c>
      <c r="L182" s="20">
        <v>0</v>
      </c>
      <c r="M182" s="21">
        <f>PartsMaster!$D176</f>
        <v>0</v>
      </c>
      <c r="O182" s="20" t="s">
        <v>1169</v>
      </c>
      <c r="P182" s="23">
        <f>PartsMaster!$S176/1.45</f>
        <v>0</v>
      </c>
      <c r="S182" s="20">
        <v>30</v>
      </c>
      <c r="T182" s="20">
        <v>0</v>
      </c>
      <c r="U182" s="20" t="s">
        <v>1170</v>
      </c>
      <c r="Z182" s="26" t="str">
        <f>"&lt;P&gt;"&amp;PartsMaster!$I176&amp;" "&amp;PartsMaster!$H176&amp;"&lt;/P&gt;"&amp;"&lt;P&gt;Jaguar part name "&amp;PartsMaster!$E176&amp;"&lt;/P&gt;&lt;P&gt;Product numbers "&amp;PartsMaster!R176&amp;" "&amp;DQ182&amp;"&lt;/P&gt;&lt;P&gt;Fits starting from VIN/ModelYear "&amp;PartsMaster!$F176&amp;" until VIN/ModelYear "&amp;PartsMaster!$G176&amp;"&lt;/P&gt;&lt;P&gt;Condition: "&amp;PartsMaster!AB176&amp;"&lt;/P&gt;&lt;P&gt; (part source "&amp;PartsMaster!AD176&amp;")&lt;/P&gt;&lt;P&gt;Notes: "&amp;PartsMaster!AA176&amp;"&lt;/P&gt;"</f>
        <v>&lt;P&gt;Trim Badge&lt;/P&gt;&lt;P&gt;Jaguar part name Road wheel badge parts&lt;/P&gt;&lt;P&gt;Product numbers JLM20002 JLM20002&lt;/P&gt;&lt;P&gt;Fits starting from VIN/ModelYear XJS (V)179737
X300 (V)720125
XJ6 &amp; XJ12 (V)667829  until VIN/ModelYear XJS (V)226645
X300 (V)812255
XJ6 &amp; XJ12 (V)708757&lt;/P&gt;&lt;P&gt;Condition: British Parts&lt;/P&gt;&lt;P&gt; (part source )&lt;/P&gt;&lt;P&gt;Notes: &lt;/P&gt;</v>
      </c>
      <c r="AA182" s="20" t="s">
        <v>1171</v>
      </c>
      <c r="AC182" s="20">
        <v>0</v>
      </c>
      <c r="AD182" s="20">
        <v>0</v>
      </c>
      <c r="AE182" s="20" t="s">
        <v>1172</v>
      </c>
      <c r="AF182" s="20">
        <v>7</v>
      </c>
      <c r="AG182" s="20">
        <v>0</v>
      </c>
      <c r="AH182" s="20">
        <v>0</v>
      </c>
      <c r="AI182" s="20">
        <v>0</v>
      </c>
      <c r="AJ182" s="20">
        <v>0</v>
      </c>
      <c r="AK182" s="20">
        <v>0</v>
      </c>
      <c r="AO182" s="20" t="s">
        <v>1173</v>
      </c>
      <c r="AR182" s="20">
        <v>0</v>
      </c>
      <c r="AS182" s="20">
        <v>10112</v>
      </c>
      <c r="AV182" s="20" t="s">
        <v>1174</v>
      </c>
      <c r="AX182" s="20">
        <v>62128510024</v>
      </c>
      <c r="AY182" s="20">
        <v>62035811024</v>
      </c>
      <c r="AZ182" s="20">
        <v>55187694024</v>
      </c>
      <c r="BA182" s="20" t="s">
        <v>1175</v>
      </c>
      <c r="BB182" s="20" t="s">
        <v>1176</v>
      </c>
      <c r="BC182" s="20" t="s">
        <v>1177</v>
      </c>
      <c r="BD182" s="20">
        <v>1</v>
      </c>
      <c r="BE182" s="20">
        <v>0</v>
      </c>
      <c r="BF182" s="20">
        <v>0</v>
      </c>
      <c r="BG182" s="20">
        <v>0</v>
      </c>
      <c r="BN182" s="20" t="s">
        <v>1178</v>
      </c>
      <c r="BV182" s="20">
        <v>0</v>
      </c>
      <c r="CL182" s="20">
        <v>0</v>
      </c>
      <c r="DD182" s="20" t="s">
        <v>1179</v>
      </c>
      <c r="DE182" s="20" t="s">
        <v>1179</v>
      </c>
      <c r="DI182" s="20">
        <v>0</v>
      </c>
      <c r="DP182" s="21" t="s">
        <v>1180</v>
      </c>
      <c r="DQ182" s="21" t="str">
        <f>PartsMaster!$A176</f>
        <v>JLM20002</v>
      </c>
      <c r="DR182" s="21" t="s">
        <v>1181</v>
      </c>
      <c r="DS182" s="21" t="str">
        <f>PartsMaster!$K177&amp;" "&amp;PartsMaster!L177&amp;" "&amp;PartsMaster!$M177</f>
        <v xml:space="preserve">Front Left </v>
      </c>
    </row>
    <row r="183" spans="1:123" ht="30" hidden="1" x14ac:dyDescent="0.25">
      <c r="A183" s="20" t="s">
        <v>1166</v>
      </c>
      <c r="B183" s="20" t="s">
        <v>1167</v>
      </c>
      <c r="C183" s="20" t="s">
        <v>1168</v>
      </c>
      <c r="D183" s="21" t="str">
        <f>PartsMaster!B177&amp;" "&amp;PartsMaster!$C177</f>
        <v>Jaguar XK8 XKR X100 ABS Electronical control module</v>
      </c>
      <c r="E183" s="20">
        <v>3000</v>
      </c>
      <c r="F183" s="20" t="s">
        <v>1182</v>
      </c>
      <c r="H183" s="21" t="str">
        <f>PartsMaster!$Q177</f>
        <v>ABS Electronical control module</v>
      </c>
      <c r="I183" s="20">
        <v>9886</v>
      </c>
      <c r="K183" s="20">
        <v>0</v>
      </c>
      <c r="L183" s="20">
        <v>0</v>
      </c>
      <c r="M183" s="21">
        <f>PartsMaster!$D177</f>
        <v>1</v>
      </c>
      <c r="O183" s="20" t="s">
        <v>1169</v>
      </c>
      <c r="P183" s="23">
        <f>PartsMaster!$S177/1.45</f>
        <v>120.68965517241379</v>
      </c>
      <c r="S183" s="20">
        <v>30</v>
      </c>
      <c r="T183" s="20">
        <v>0</v>
      </c>
      <c r="U183" s="20" t="s">
        <v>1170</v>
      </c>
      <c r="Z183" s="26" t="str">
        <f>"&lt;P&gt;"&amp;PartsMaster!$I177&amp;" "&amp;PartsMaster!$H177&amp;"&lt;/P&gt;"&amp;"&lt;P&gt;Jaguar part name "&amp;PartsMaster!$E177&amp;"&lt;/P&gt;&lt;P&gt;Product numbers "&amp;PartsMaster!R177&amp;" "&amp;DQ183&amp;"&lt;/P&gt;&lt;P&gt;Fits starting from VIN/ModelYear "&amp;PartsMaster!$F177&amp;" until VIN/ModelYear "&amp;PartsMaster!$G177&amp;"&lt;/P&gt;&lt;P&gt;Condition: "&amp;PartsMaster!AB177&amp;"&lt;/P&gt;&lt;P&gt; (part source "&amp;PartsMaster!AD177&amp;")&lt;/P&gt;&lt;P&gt;Notes: "&amp;PartsMaster!AA177&amp;"&lt;/P&gt;"</f>
        <v>&lt;P&gt;Brakes EMC&lt;/P&gt;&lt;P&gt;Jaguar part name BRAKING SYSTEM/ANTI LOCK BRAKING SYSTEM - Electronic control module&lt;/P&gt;&lt;P&gt;Product numbers JLM20130 JLM20130&lt;/P&gt;&lt;P&gt;Fits starting from VIN/ModelYear MY1996 until VIN/ModelYear 018107&lt;/P&gt;&lt;P&gt;Condition: Dismantled from bottom &amp; engine damaged MY1997 XK8 Convertible VIN 0136xx&lt;/P&gt;&lt;P&gt; (part source KK)&lt;/P&gt;&lt;P&gt;Notes: Traction control &lt;/P&gt;</v>
      </c>
      <c r="AA183" s="20" t="s">
        <v>1171</v>
      </c>
      <c r="AC183" s="20">
        <v>0</v>
      </c>
      <c r="AD183" s="20">
        <v>0</v>
      </c>
      <c r="AE183" s="20" t="s">
        <v>1172</v>
      </c>
      <c r="AF183" s="20">
        <v>7</v>
      </c>
      <c r="AG183" s="20">
        <v>0</v>
      </c>
      <c r="AH183" s="20">
        <v>0</v>
      </c>
      <c r="AI183" s="20">
        <v>0</v>
      </c>
      <c r="AJ183" s="20">
        <v>0</v>
      </c>
      <c r="AK183" s="20">
        <v>0</v>
      </c>
      <c r="AO183" s="20" t="s">
        <v>1173</v>
      </c>
      <c r="AR183" s="20">
        <v>0</v>
      </c>
      <c r="AS183" s="20">
        <v>10112</v>
      </c>
      <c r="AV183" s="20" t="s">
        <v>1174</v>
      </c>
      <c r="AX183" s="20">
        <v>62128510024</v>
      </c>
      <c r="AY183" s="20">
        <v>62035811024</v>
      </c>
      <c r="AZ183" s="20">
        <v>55187694024</v>
      </c>
      <c r="BA183" s="20" t="s">
        <v>1175</v>
      </c>
      <c r="BB183" s="20" t="s">
        <v>1176</v>
      </c>
      <c r="BC183" s="20" t="s">
        <v>1177</v>
      </c>
      <c r="BD183" s="20">
        <v>1</v>
      </c>
      <c r="BE183" s="20">
        <v>0</v>
      </c>
      <c r="BF183" s="20">
        <v>0</v>
      </c>
      <c r="BG183" s="20">
        <v>0</v>
      </c>
      <c r="BN183" s="20" t="s">
        <v>1178</v>
      </c>
      <c r="BV183" s="20">
        <v>0</v>
      </c>
      <c r="CL183" s="20">
        <v>0</v>
      </c>
      <c r="DD183" s="20" t="s">
        <v>1179</v>
      </c>
      <c r="DE183" s="20" t="s">
        <v>1179</v>
      </c>
      <c r="DI183" s="20">
        <v>0</v>
      </c>
      <c r="DP183" s="21" t="s">
        <v>1180</v>
      </c>
      <c r="DQ183" s="21" t="str">
        <f>PartsMaster!$A177</f>
        <v>JLM20130</v>
      </c>
      <c r="DR183" s="21" t="s">
        <v>1181</v>
      </c>
      <c r="DS183" s="21" t="str">
        <f>PartsMaster!$K178&amp;" "&amp;PartsMaster!L178&amp;" "&amp;PartsMaster!$M178</f>
        <v>NA Center Bottom</v>
      </c>
    </row>
    <row r="184" spans="1:123" ht="30" hidden="1" x14ac:dyDescent="0.25">
      <c r="A184" s="20" t="s">
        <v>1166</v>
      </c>
      <c r="B184" s="20" t="s">
        <v>1167</v>
      </c>
      <c r="C184" s="20" t="s">
        <v>1168</v>
      </c>
      <c r="D184" s="21" t="str">
        <f>PartsMaster!B120&amp;" "&amp;PartsMaster!$C120</f>
        <v>Jaguar XK8 XKR X100 Waist seal</v>
      </c>
      <c r="E184" s="20">
        <v>3000</v>
      </c>
      <c r="F184" s="20" t="s">
        <v>1182</v>
      </c>
      <c r="H184" s="21" t="str">
        <f>PartsMaster!$Q120</f>
        <v>Waist seal</v>
      </c>
      <c r="I184" s="20">
        <v>9886</v>
      </c>
      <c r="K184" s="20">
        <v>0</v>
      </c>
      <c r="L184" s="20">
        <v>0</v>
      </c>
      <c r="M184" s="21">
        <f>PartsMaster!$D120</f>
        <v>1</v>
      </c>
      <c r="O184" s="20" t="s">
        <v>1169</v>
      </c>
      <c r="P184" s="23">
        <f>PartsMaster!$S120/1.45</f>
        <v>0</v>
      </c>
      <c r="S184" s="20">
        <v>30</v>
      </c>
      <c r="T184" s="20">
        <v>0</v>
      </c>
      <c r="U184" s="20" t="s">
        <v>1170</v>
      </c>
      <c r="Z184" s="26" t="str">
        <f>"&lt;P&gt;"&amp;PartsMaster!$I120&amp;" "&amp;PartsMaster!$H120&amp;"&lt;/P&gt;"&amp;"&lt;P&gt;Jaguar part name "&amp;PartsMaster!$E120&amp;"&lt;/P&gt;&lt;P&gt;Product numbers "&amp;PartsMaster!R120&amp;" "&amp;DQ184&amp;"&lt;/P&gt;&lt;P&gt;Fits starting from VIN/ModelYear "&amp;PartsMaster!$F120&amp;" until VIN/ModelYear "&amp;PartsMaster!$G120&amp;"&lt;/P&gt;&lt;P&gt;Condition: "&amp;PartsMaster!AB120&amp;"&lt;/P&gt;&lt;P&gt; (part source "&amp;PartsMaster!AD120&amp;")&lt;/P&gt;&lt;P&gt;Notes: "&amp;PartsMaster!AA120&amp;"&lt;/P&gt;"</f>
        <v>&lt;P&gt;Convertible top Hood seal&lt;/P&gt;&lt;P&gt;Jaguar part name BODY CLOSURES AND SEALINGS/CONVERTABLE REAR QARTER MECHANISM AND SEAL - Waist seal - LH rear qarter&lt;/P&gt;&lt;P&gt;Product numbers HJA5749CC HJA5749CC&lt;/P&gt;&lt;P&gt;Fits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184" s="20" t="s">
        <v>1171</v>
      </c>
      <c r="AC184" s="20">
        <v>0</v>
      </c>
      <c r="AD184" s="20">
        <v>0</v>
      </c>
      <c r="AE184" s="20" t="s">
        <v>1172</v>
      </c>
      <c r="AF184" s="20">
        <v>7</v>
      </c>
      <c r="AG184" s="20">
        <v>0</v>
      </c>
      <c r="AH184" s="20">
        <v>0</v>
      </c>
      <c r="AI184" s="20">
        <v>0</v>
      </c>
      <c r="AJ184" s="20">
        <v>0</v>
      </c>
      <c r="AK184" s="20">
        <v>0</v>
      </c>
      <c r="AO184" s="20" t="s">
        <v>1173</v>
      </c>
      <c r="AR184" s="20">
        <v>0</v>
      </c>
      <c r="AS184" s="20">
        <v>10112</v>
      </c>
      <c r="AV184" s="20" t="s">
        <v>1174</v>
      </c>
      <c r="AX184" s="20">
        <v>62128510024</v>
      </c>
      <c r="AY184" s="20">
        <v>62035811024</v>
      </c>
      <c r="AZ184" s="20">
        <v>55187694024</v>
      </c>
      <c r="BA184" s="20" t="s">
        <v>1175</v>
      </c>
      <c r="BB184" s="20" t="s">
        <v>1176</v>
      </c>
      <c r="BC184" s="20" t="s">
        <v>1177</v>
      </c>
      <c r="BD184" s="20">
        <v>1</v>
      </c>
      <c r="BE184" s="20">
        <v>0</v>
      </c>
      <c r="BF184" s="20">
        <v>0</v>
      </c>
      <c r="BG184" s="20">
        <v>0</v>
      </c>
      <c r="BN184" s="20" t="s">
        <v>1178</v>
      </c>
      <c r="BV184" s="20">
        <v>0</v>
      </c>
      <c r="CL184" s="20">
        <v>0</v>
      </c>
      <c r="DD184" s="20" t="s">
        <v>1179</v>
      </c>
      <c r="DE184" s="20" t="s">
        <v>1179</v>
      </c>
      <c r="DI184" s="20">
        <v>0</v>
      </c>
      <c r="DP184" s="21" t="s">
        <v>1180</v>
      </c>
      <c r="DQ184" s="21" t="str">
        <f>PartsMaster!$A120</f>
        <v>HJA5749CC</v>
      </c>
      <c r="DR184" s="21" t="s">
        <v>1181</v>
      </c>
      <c r="DS184" s="21" t="str">
        <f>PartsMaster!$K121&amp;" "&amp;PartsMaster!L121&amp;" "&amp;PartsMaster!$M121</f>
        <v xml:space="preserve">Rear Right </v>
      </c>
    </row>
    <row r="185" spans="1:123" hidden="1" x14ac:dyDescent="0.25">
      <c r="A185" s="20" t="s">
        <v>1166</v>
      </c>
      <c r="B185" s="20" t="s">
        <v>1167</v>
      </c>
      <c r="C185" s="20" t="s">
        <v>1168</v>
      </c>
      <c r="D185" s="21" t="str">
        <f>PartsMaster!B349&amp;" "&amp;PartsMaster!$C349</f>
        <v>Jaguar XK8 XKR X100 Crank Shaft Bolt</v>
      </c>
      <c r="E185" s="20">
        <v>3000</v>
      </c>
      <c r="F185" s="20" t="s">
        <v>1182</v>
      </c>
      <c r="H185" s="21">
        <f>PartsMaster!$Q349</f>
        <v>0</v>
      </c>
      <c r="I185" s="20">
        <v>9886</v>
      </c>
      <c r="K185" s="20">
        <v>0</v>
      </c>
      <c r="L185" s="20">
        <v>0</v>
      </c>
      <c r="M185" s="21">
        <f>PartsMaster!$D349</f>
        <v>0</v>
      </c>
      <c r="O185" s="20" t="s">
        <v>1169</v>
      </c>
      <c r="P185" s="23">
        <f>PartsMaster!$S349/1.45</f>
        <v>0</v>
      </c>
      <c r="S185" s="20">
        <v>30</v>
      </c>
      <c r="T185" s="20">
        <v>0</v>
      </c>
      <c r="U185" s="20" t="s">
        <v>1170</v>
      </c>
      <c r="Z185" s="26" t="str">
        <f>"&lt;P&gt;"&amp;PartsMaster!$I349&amp;" "&amp;PartsMaster!$H349&amp;"&lt;/P&gt;"&amp;"&lt;P&gt;Jaguar part name "&amp;PartsMaster!$E349&amp;"&lt;/P&gt;&lt;P&gt;Product numbers "&amp;PartsMaster!R349&amp;" "&amp;DQ185&amp;"&lt;/P&gt;&lt;P&gt;Fits starting from VIN/ModelYear "&amp;PartsMaster!$F349&amp;" until VIN/ModelYear "&amp;PartsMaster!$G349&amp;"&lt;/P&gt;&lt;P&gt;Condition: "&amp;PartsMaster!AB349&amp;"&lt;/P&gt;&lt;P&gt; (part source "&amp;PartsMaster!AD349&amp;")&lt;/P&gt;&lt;P&gt;Notes: "&amp;PartsMaster!AA349&amp;"&lt;/P&gt;"</f>
        <v>&lt;P&gt;Engine Bolt / Screw&lt;/P&gt;&lt;P&gt;Jaguar part name &lt;/P&gt;&lt;P&gt;Product numbers  0&lt;/P&gt;&lt;P&gt;Fits starting from VIN/ModelYear  until VIN/ModelYear &lt;/P&gt;&lt;P&gt;Condition: &lt;/P&gt;&lt;P&gt; (part source )&lt;/P&gt;&lt;P&gt;Notes: &lt;/P&gt;</v>
      </c>
      <c r="AA185" s="20" t="s">
        <v>1171</v>
      </c>
      <c r="AC185" s="20">
        <v>0</v>
      </c>
      <c r="AD185" s="20">
        <v>0</v>
      </c>
      <c r="AE185" s="20" t="s">
        <v>1172</v>
      </c>
      <c r="AF185" s="20">
        <v>7</v>
      </c>
      <c r="AG185" s="20">
        <v>0</v>
      </c>
      <c r="AH185" s="20">
        <v>0</v>
      </c>
      <c r="AI185" s="20">
        <v>0</v>
      </c>
      <c r="AJ185" s="20">
        <v>0</v>
      </c>
      <c r="AK185" s="20">
        <v>0</v>
      </c>
      <c r="AO185" s="20" t="s">
        <v>1173</v>
      </c>
      <c r="AR185" s="20">
        <v>0</v>
      </c>
      <c r="AS185" s="20">
        <v>10112</v>
      </c>
      <c r="AV185" s="20" t="s">
        <v>1174</v>
      </c>
      <c r="AX185" s="20">
        <v>62128510024</v>
      </c>
      <c r="AY185" s="20">
        <v>62035811024</v>
      </c>
      <c r="AZ185" s="20">
        <v>55187694024</v>
      </c>
      <c r="BA185" s="20" t="s">
        <v>1175</v>
      </c>
      <c r="BB185" s="20" t="s">
        <v>1176</v>
      </c>
      <c r="BC185" s="20" t="s">
        <v>1177</v>
      </c>
      <c r="BD185" s="20">
        <v>1</v>
      </c>
      <c r="BE185" s="20">
        <v>0</v>
      </c>
      <c r="BF185" s="20">
        <v>0</v>
      </c>
      <c r="BG185" s="20">
        <v>0</v>
      </c>
      <c r="BN185" s="20" t="s">
        <v>1178</v>
      </c>
      <c r="BV185" s="20">
        <v>0</v>
      </c>
      <c r="CL185" s="20">
        <v>0</v>
      </c>
      <c r="DD185" s="20" t="s">
        <v>1179</v>
      </c>
      <c r="DE185" s="20" t="s">
        <v>1179</v>
      </c>
      <c r="DI185" s="20">
        <v>0</v>
      </c>
      <c r="DP185" s="21" t="s">
        <v>1180</v>
      </c>
      <c r="DQ185" s="21">
        <f>PartsMaster!$A349</f>
        <v>0</v>
      </c>
      <c r="DR185" s="21" t="s">
        <v>1181</v>
      </c>
      <c r="DS185" s="21" t="str">
        <f>PartsMaster!$K350&amp;" "&amp;PartsMaster!L350&amp;" "&amp;PartsMaster!$M350</f>
        <v xml:space="preserve">  </v>
      </c>
    </row>
    <row r="186" spans="1:123" ht="30" hidden="1" x14ac:dyDescent="0.25">
      <c r="A186" s="20" t="s">
        <v>1166</v>
      </c>
      <c r="B186" s="20" t="s">
        <v>1167</v>
      </c>
      <c r="C186" s="20" t="s">
        <v>1168</v>
      </c>
      <c r="D186" s="21" t="str">
        <f>PartsMaster!B119&amp;" "&amp;PartsMaster!$C119</f>
        <v>Jaguar XK8 XKR X100 Waist seal</v>
      </c>
      <c r="E186" s="20">
        <v>3000</v>
      </c>
      <c r="F186" s="20" t="s">
        <v>1182</v>
      </c>
      <c r="H186" s="21" t="str">
        <f>PartsMaster!$Q119</f>
        <v>Waist seal</v>
      </c>
      <c r="I186" s="20">
        <v>9886</v>
      </c>
      <c r="K186" s="20">
        <v>0</v>
      </c>
      <c r="L186" s="20">
        <v>0</v>
      </c>
      <c r="M186" s="21">
        <f>PartsMaster!$D119</f>
        <v>1</v>
      </c>
      <c r="O186" s="20" t="s">
        <v>1169</v>
      </c>
      <c r="P186" s="23">
        <f>PartsMaster!$S119/1.45</f>
        <v>0</v>
      </c>
      <c r="S186" s="20">
        <v>30</v>
      </c>
      <c r="T186" s="20">
        <v>0</v>
      </c>
      <c r="U186" s="20" t="s">
        <v>1170</v>
      </c>
      <c r="Z186" s="26" t="str">
        <f>"&lt;P&gt;"&amp;PartsMaster!$I119&amp;" "&amp;PartsMaster!$H119&amp;"&lt;/P&gt;"&amp;"&lt;P&gt;Jaguar part name "&amp;PartsMaster!$E119&amp;"&lt;/P&gt;&lt;P&gt;Product numbers "&amp;PartsMaster!R119&amp;" "&amp;DQ186&amp;"&lt;/P&gt;&lt;P&gt;Fits starting from VIN/ModelYear "&amp;PartsMaster!$F119&amp;" until VIN/ModelYear "&amp;PartsMaster!$G119&amp;"&lt;/P&gt;&lt;P&gt;Condition: "&amp;PartsMaster!AB119&amp;"&lt;/P&gt;&lt;P&gt; (part source "&amp;PartsMaster!AD119&amp;")&lt;/P&gt;&lt;P&gt;Notes: "&amp;PartsMaster!AA119&amp;"&lt;/P&gt;"</f>
        <v>&lt;P&gt;Convertible top Hood seal&lt;/P&gt;&lt;P&gt;Jaguar part name BODY CLOSURES AND SEALINGS/CONVERTABLE REAR QARTER MECHANISM AND SEAL - Waist seal - RH rear qarter&lt;/P&gt;&lt;P&gt;Product numbers HJA5748CC HJA5748CC&lt;/P&gt;&lt;P&gt;Fits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186" s="20" t="s">
        <v>1171</v>
      </c>
      <c r="AC186" s="20">
        <v>0</v>
      </c>
      <c r="AD186" s="20">
        <v>0</v>
      </c>
      <c r="AE186" s="20" t="s">
        <v>1172</v>
      </c>
      <c r="AF186" s="20">
        <v>7</v>
      </c>
      <c r="AG186" s="20">
        <v>0</v>
      </c>
      <c r="AH186" s="20">
        <v>0</v>
      </c>
      <c r="AI186" s="20">
        <v>0</v>
      </c>
      <c r="AJ186" s="20">
        <v>0</v>
      </c>
      <c r="AK186" s="20">
        <v>0</v>
      </c>
      <c r="AO186" s="20" t="s">
        <v>1173</v>
      </c>
      <c r="AR186" s="20">
        <v>0</v>
      </c>
      <c r="AS186" s="20">
        <v>10112</v>
      </c>
      <c r="AV186" s="20" t="s">
        <v>1174</v>
      </c>
      <c r="AX186" s="20">
        <v>62128510024</v>
      </c>
      <c r="AY186" s="20">
        <v>62035811024</v>
      </c>
      <c r="AZ186" s="20">
        <v>55187694024</v>
      </c>
      <c r="BA186" s="20" t="s">
        <v>1175</v>
      </c>
      <c r="BB186" s="20" t="s">
        <v>1176</v>
      </c>
      <c r="BC186" s="20" t="s">
        <v>1177</v>
      </c>
      <c r="BD186" s="20">
        <v>1</v>
      </c>
      <c r="BE186" s="20">
        <v>0</v>
      </c>
      <c r="BF186" s="20">
        <v>0</v>
      </c>
      <c r="BG186" s="20">
        <v>0</v>
      </c>
      <c r="BN186" s="20" t="s">
        <v>1178</v>
      </c>
      <c r="BV186" s="20">
        <v>0</v>
      </c>
      <c r="CL186" s="20">
        <v>0</v>
      </c>
      <c r="DD186" s="20" t="s">
        <v>1179</v>
      </c>
      <c r="DE186" s="20" t="s">
        <v>1179</v>
      </c>
      <c r="DI186" s="20">
        <v>0</v>
      </c>
      <c r="DP186" s="21" t="s">
        <v>1180</v>
      </c>
      <c r="DQ186" s="21" t="str">
        <f>PartsMaster!$A119</f>
        <v>HJA5748CC</v>
      </c>
      <c r="DR186" s="21" t="s">
        <v>1181</v>
      </c>
      <c r="DS186" s="21" t="str">
        <f>PartsMaster!$K120&amp;" "&amp;PartsMaster!L120&amp;" "&amp;PartsMaster!$M120</f>
        <v xml:space="preserve">Rear Left </v>
      </c>
    </row>
    <row r="187" spans="1:123" ht="30" hidden="1" x14ac:dyDescent="0.25">
      <c r="A187" s="20" t="s">
        <v>1166</v>
      </c>
      <c r="B187" s="20" t="s">
        <v>1167</v>
      </c>
      <c r="C187" s="20" t="s">
        <v>1168</v>
      </c>
      <c r="D187" s="21" t="str">
        <f>PartsMaster!B34&amp;" "&amp;PartsMaster!$C34</f>
        <v xml:space="preserve">Jaguar XK8 XKR X100 Wheel Bearing Seal - Inner </v>
      </c>
      <c r="E187" s="20">
        <v>3000</v>
      </c>
      <c r="F187" s="20" t="s">
        <v>1182</v>
      </c>
      <c r="H187" s="21">
        <f>PartsMaster!$Q34</f>
        <v>0</v>
      </c>
      <c r="I187" s="20">
        <v>9886</v>
      </c>
      <c r="K187" s="20">
        <v>0</v>
      </c>
      <c r="L187" s="20">
        <v>0</v>
      </c>
      <c r="M187" s="21">
        <f>PartsMaster!$D34</f>
        <v>0</v>
      </c>
      <c r="O187" s="20" t="s">
        <v>1169</v>
      </c>
      <c r="P187" s="23">
        <f>PartsMaster!$S34/1.45</f>
        <v>0</v>
      </c>
      <c r="S187" s="20">
        <v>30</v>
      </c>
      <c r="T187" s="20">
        <v>0</v>
      </c>
      <c r="U187" s="20" t="s">
        <v>1170</v>
      </c>
      <c r="Z187" s="26" t="str">
        <f>"&lt;P&gt;"&amp;PartsMaster!$I34&amp;" "&amp;PartsMaster!$H34&amp;"&lt;/P&gt;"&amp;"&lt;P&gt;Jaguar part name "&amp;PartsMaster!$E34&amp;"&lt;/P&gt;&lt;P&gt;Product numbers "&amp;PartsMaster!R34&amp;" "&amp;DQ187&amp;"&lt;/P&gt;&lt;P&gt;Fits starting from VIN/ModelYear "&amp;PartsMaster!$F34&amp;" until VIN/ModelYear "&amp;PartsMaster!$G34&amp;"&lt;/P&gt;&lt;P&gt;Condition: "&amp;PartsMaster!AB34&amp;"&lt;/P&gt;&lt;P&gt; (part source "&amp;PartsMaster!AD34&amp;")&lt;/P&gt;&lt;P&gt;Notes: "&amp;PartsMaster!AA34&amp;"&lt;/P&gt;"</f>
        <v>&lt;P&gt;Bearing Seal / Insulation&lt;/P&gt;&lt;P&gt;Jaguar part name STEERING AND SUSPENSION/HUB AND CARRIER-REAR - Inner Seal&lt;/P&gt;&lt;P&gt;Product numbers CBC1706 CBC1706&lt;/P&gt;&lt;P&gt;Fits starting from VIN/ModelYear  until VIN/ModelYear &lt;/P&gt;&lt;P&gt;Condition: &lt;/P&gt;&lt;P&gt; (part source )&lt;/P&gt;&lt;P&gt;Notes: &lt;/P&gt;</v>
      </c>
      <c r="AA187" s="20" t="s">
        <v>1171</v>
      </c>
      <c r="AC187" s="20">
        <v>0</v>
      </c>
      <c r="AD187" s="20">
        <v>0</v>
      </c>
      <c r="AE187" s="20" t="s">
        <v>1172</v>
      </c>
      <c r="AF187" s="20">
        <v>7</v>
      </c>
      <c r="AG187" s="20">
        <v>0</v>
      </c>
      <c r="AH187" s="20">
        <v>0</v>
      </c>
      <c r="AI187" s="20">
        <v>0</v>
      </c>
      <c r="AJ187" s="20">
        <v>0</v>
      </c>
      <c r="AK187" s="20">
        <v>0</v>
      </c>
      <c r="AO187" s="20" t="s">
        <v>1173</v>
      </c>
      <c r="AR187" s="20">
        <v>0</v>
      </c>
      <c r="AS187" s="20">
        <v>10112</v>
      </c>
      <c r="AV187" s="20" t="s">
        <v>1174</v>
      </c>
      <c r="AX187" s="20">
        <v>62128510024</v>
      </c>
      <c r="AY187" s="20">
        <v>62035811024</v>
      </c>
      <c r="AZ187" s="20">
        <v>55187694024</v>
      </c>
      <c r="BA187" s="20" t="s">
        <v>1175</v>
      </c>
      <c r="BB187" s="20" t="s">
        <v>1176</v>
      </c>
      <c r="BC187" s="20" t="s">
        <v>1177</v>
      </c>
      <c r="BD187" s="20">
        <v>1</v>
      </c>
      <c r="BE187" s="20">
        <v>0</v>
      </c>
      <c r="BF187" s="20">
        <v>0</v>
      </c>
      <c r="BG187" s="20">
        <v>0</v>
      </c>
      <c r="BN187" s="20" t="s">
        <v>1178</v>
      </c>
      <c r="BV187" s="20">
        <v>0</v>
      </c>
      <c r="CL187" s="20">
        <v>0</v>
      </c>
      <c r="DD187" s="20" t="s">
        <v>1179</v>
      </c>
      <c r="DE187" s="20" t="s">
        <v>1179</v>
      </c>
      <c r="DI187" s="20">
        <v>0</v>
      </c>
      <c r="DP187" s="21" t="s">
        <v>1180</v>
      </c>
      <c r="DQ187" s="21" t="str">
        <f>PartsMaster!$A34</f>
        <v>CBC1706</v>
      </c>
      <c r="DR187" s="21" t="s">
        <v>1181</v>
      </c>
      <c r="DS187" s="21" t="str">
        <f>PartsMaster!$K35&amp;" "&amp;PartsMaster!L35&amp;" "&amp;PartsMaster!$M35</f>
        <v>Rear Left/Right Bottom</v>
      </c>
    </row>
    <row r="188" spans="1:123" ht="30" hidden="1" x14ac:dyDescent="0.25">
      <c r="A188" s="20" t="s">
        <v>1166</v>
      </c>
      <c r="B188" s="20" t="s">
        <v>1167</v>
      </c>
      <c r="C188" s="20" t="s">
        <v>1168</v>
      </c>
      <c r="D188" s="21" t="str">
        <f>PartsMaster!B146&amp;" "&amp;PartsMaster!$C146</f>
        <v>Jaguar XK8 XKR X100 Hood frame</v>
      </c>
      <c r="E188" s="20">
        <v>3000</v>
      </c>
      <c r="F188" s="20" t="s">
        <v>1182</v>
      </c>
      <c r="H188" s="21" t="str">
        <f>PartsMaster!$Q146</f>
        <v>Hood frame</v>
      </c>
      <c r="I188" s="20">
        <v>9886</v>
      </c>
      <c r="K188" s="20">
        <v>0</v>
      </c>
      <c r="L188" s="20">
        <v>0</v>
      </c>
      <c r="M188" s="21">
        <f>PartsMaster!$D146</f>
        <v>1</v>
      </c>
      <c r="O188" s="20" t="s">
        <v>1169</v>
      </c>
      <c r="P188" s="23">
        <f>PartsMaster!$S146/1.45</f>
        <v>65.517241379310349</v>
      </c>
      <c r="S188" s="20">
        <v>30</v>
      </c>
      <c r="T188" s="20">
        <v>0</v>
      </c>
      <c r="U188" s="20" t="s">
        <v>1170</v>
      </c>
      <c r="Z188" s="26" t="str">
        <f>"&lt;P&gt;"&amp;PartsMaster!$I146&amp;" "&amp;PartsMaster!$H146&amp;"&lt;/P&gt;"&amp;"&lt;P&gt;Jaguar part name "&amp;PartsMaster!$E146&amp;"&lt;/P&gt;&lt;P&gt;Product numbers "&amp;PartsMaster!R146&amp;" "&amp;DQ188&amp;"&lt;/P&gt;&lt;P&gt;Fits starting from VIN/ModelYear "&amp;PartsMaster!$F146&amp;" until VIN/ModelYear "&amp;PartsMaster!$G146&amp;"&lt;/P&gt;&lt;P&gt;Condition: "&amp;PartsMaster!AB146&amp;"&lt;/P&gt;&lt;P&gt; (part source "&amp;PartsMaster!AD146&amp;")&lt;/P&gt;&lt;P&gt;Notes: "&amp;PartsMaster!AA146&amp;"&lt;/P&gt;"</f>
        <v>&lt;P&gt;Convertible top Hood / Convertible Top&lt;/P&gt;&lt;P&gt;Jaguar part name BODY CLOSURES AND SEALING/CONVERTABLE HOOD AND SEALS&lt;/P&gt;&lt;P&gt;Product numbers HJA8407AB HJA8407AB&lt;/P&gt;&lt;P&gt;Fits starting from VIN/ModelYear  until VIN/ModelYear &lt;/P&gt;&lt;P&gt;Condition: Dismantled from bottom &amp; engine damaged MY1997 XK8 Convertible VIN 0136xx&lt;/P&gt;&lt;P&gt; (part source KK)&lt;/P&gt;&lt;P&gt;Notes: Convertable&lt;/P&gt;</v>
      </c>
      <c r="AA188" s="20" t="s">
        <v>1171</v>
      </c>
      <c r="AC188" s="20">
        <v>0</v>
      </c>
      <c r="AD188" s="20">
        <v>0</v>
      </c>
      <c r="AE188" s="20" t="s">
        <v>1172</v>
      </c>
      <c r="AF188" s="20">
        <v>7</v>
      </c>
      <c r="AG188" s="20">
        <v>0</v>
      </c>
      <c r="AH188" s="20">
        <v>0</v>
      </c>
      <c r="AI188" s="20">
        <v>0</v>
      </c>
      <c r="AJ188" s="20">
        <v>0</v>
      </c>
      <c r="AK188" s="20">
        <v>0</v>
      </c>
      <c r="AO188" s="20" t="s">
        <v>1173</v>
      </c>
      <c r="AR188" s="20">
        <v>0</v>
      </c>
      <c r="AS188" s="20">
        <v>10112</v>
      </c>
      <c r="AV188" s="20" t="s">
        <v>1174</v>
      </c>
      <c r="AX188" s="20">
        <v>62128510024</v>
      </c>
      <c r="AY188" s="20">
        <v>62035811024</v>
      </c>
      <c r="AZ188" s="20">
        <v>55187694024</v>
      </c>
      <c r="BA188" s="20" t="s">
        <v>1175</v>
      </c>
      <c r="BB188" s="20" t="s">
        <v>1176</v>
      </c>
      <c r="BC188" s="20" t="s">
        <v>1177</v>
      </c>
      <c r="BD188" s="20">
        <v>1</v>
      </c>
      <c r="BE188" s="20">
        <v>0</v>
      </c>
      <c r="BF188" s="20">
        <v>0</v>
      </c>
      <c r="BG188" s="20">
        <v>0</v>
      </c>
      <c r="BN188" s="20" t="s">
        <v>1178</v>
      </c>
      <c r="BV188" s="20">
        <v>0</v>
      </c>
      <c r="CL188" s="20">
        <v>0</v>
      </c>
      <c r="DD188" s="20" t="s">
        <v>1179</v>
      </c>
      <c r="DE188" s="20" t="s">
        <v>1179</v>
      </c>
      <c r="DI188" s="20">
        <v>0</v>
      </c>
      <c r="DP188" s="21" t="s">
        <v>1180</v>
      </c>
      <c r="DQ188" s="21" t="str">
        <f>PartsMaster!$A146</f>
        <v>HJA8407AB</v>
      </c>
      <c r="DR188" s="21" t="s">
        <v>1181</v>
      </c>
      <c r="DS188" s="21" t="str">
        <f>PartsMaster!$K147&amp;" "&amp;PartsMaster!L147&amp;" "&amp;PartsMaster!$M147</f>
        <v>Center Right Top</v>
      </c>
    </row>
    <row r="189" spans="1:123" ht="30" hidden="1" x14ac:dyDescent="0.25">
      <c r="A189" s="20" t="s">
        <v>1166</v>
      </c>
      <c r="B189" s="20" t="s">
        <v>1167</v>
      </c>
      <c r="C189" s="20" t="s">
        <v>1168</v>
      </c>
      <c r="D189" s="21" t="str">
        <f>PartsMaster!B183&amp;" "&amp;PartsMaster!$C183</f>
        <v>Jaguar XK8 XKR X100 Number plate lamp finisher</v>
      </c>
      <c r="E189" s="20">
        <v>3000</v>
      </c>
      <c r="F189" s="20" t="s">
        <v>1182</v>
      </c>
      <c r="H189" s="21" t="str">
        <f>PartsMaster!$Q183</f>
        <v>Number plate lamp finisher</v>
      </c>
      <c r="I189" s="20">
        <v>9886</v>
      </c>
      <c r="K189" s="20">
        <v>0</v>
      </c>
      <c r="L189" s="20">
        <v>0</v>
      </c>
      <c r="M189" s="21">
        <f>PartsMaster!$D183</f>
        <v>1</v>
      </c>
      <c r="O189" s="20" t="s">
        <v>1169</v>
      </c>
      <c r="P189" s="23">
        <f>PartsMaster!$S183/1.45</f>
        <v>44.827586206896555</v>
      </c>
      <c r="S189" s="20">
        <v>30</v>
      </c>
      <c r="T189" s="20">
        <v>0</v>
      </c>
      <c r="U189" s="20" t="s">
        <v>1170</v>
      </c>
      <c r="Z189" s="26" t="str">
        <f>"&lt;P&gt;"&amp;PartsMaster!$I183&amp;" "&amp;PartsMaster!$H183&amp;"&lt;/P&gt;"&amp;"&lt;P&gt;Jaguar part name "&amp;PartsMaster!$E183&amp;"&lt;/P&gt;&lt;P&gt;Product numbers "&amp;PartsMaster!R183&amp;" "&amp;DQ189&amp;"&lt;/P&gt;&lt;P&gt;Fits starting from VIN/ModelYear "&amp;PartsMaster!$F183&amp;" until VIN/ModelYear "&amp;PartsMaster!$G183&amp;"&lt;/P&gt;&lt;P&gt;Condition: "&amp;PartsMaster!AB183&amp;"&lt;/P&gt;&lt;P&gt; (part source "&amp;PartsMaster!AD183&amp;")&lt;/P&gt;&lt;P&gt;Notes: "&amp;PartsMaster!AA183&amp;"&lt;/P&gt;"</f>
        <v>&lt;P&gt;Trim Exterior finisher&lt;/P&gt;&lt;P&gt;Jaguar part name LIGHTING - EXTERIOR/INTERIOR/AUXILIARY EXTERIOR LIGHTS - Finisher&lt;/P&gt;&lt;P&gt;Product numbers JLM20286 JLM20286&lt;/P&gt;&lt;P&gt;Fits starting from VIN/ModelYear  until VIN/ModelYear &lt;/P&gt;&lt;P&gt;Condition: Dismantled from bottom &amp; engine damaged MY1997 XK8 Convertible VIN 0136xx&lt;/P&gt;&lt;P&gt; (part source KK)&lt;/P&gt;&lt;P&gt;Notes: At Espoo going to VIN 016998&lt;/P&gt;</v>
      </c>
      <c r="AA189" s="20" t="s">
        <v>1171</v>
      </c>
      <c r="AC189" s="20">
        <v>0</v>
      </c>
      <c r="AD189" s="20">
        <v>0</v>
      </c>
      <c r="AE189" s="20" t="s">
        <v>1172</v>
      </c>
      <c r="AF189" s="20">
        <v>7</v>
      </c>
      <c r="AG189" s="20">
        <v>0</v>
      </c>
      <c r="AH189" s="20">
        <v>0</v>
      </c>
      <c r="AI189" s="20">
        <v>0</v>
      </c>
      <c r="AJ189" s="20">
        <v>0</v>
      </c>
      <c r="AK189" s="20">
        <v>0</v>
      </c>
      <c r="AO189" s="20" t="s">
        <v>1173</v>
      </c>
      <c r="AR189" s="20">
        <v>0</v>
      </c>
      <c r="AS189" s="20">
        <v>10112</v>
      </c>
      <c r="AV189" s="20" t="s">
        <v>1174</v>
      </c>
      <c r="AX189" s="20">
        <v>62128510024</v>
      </c>
      <c r="AY189" s="20">
        <v>62035811024</v>
      </c>
      <c r="AZ189" s="20">
        <v>55187694024</v>
      </c>
      <c r="BA189" s="20" t="s">
        <v>1175</v>
      </c>
      <c r="BB189" s="20" t="s">
        <v>1176</v>
      </c>
      <c r="BC189" s="20" t="s">
        <v>1177</v>
      </c>
      <c r="BD189" s="20">
        <v>1</v>
      </c>
      <c r="BE189" s="20">
        <v>0</v>
      </c>
      <c r="BF189" s="20">
        <v>0</v>
      </c>
      <c r="BG189" s="20">
        <v>0</v>
      </c>
      <c r="BN189" s="20" t="s">
        <v>1178</v>
      </c>
      <c r="BV189" s="20">
        <v>0</v>
      </c>
      <c r="CL189" s="20">
        <v>0</v>
      </c>
      <c r="DD189" s="20" t="s">
        <v>1179</v>
      </c>
      <c r="DE189" s="20" t="s">
        <v>1179</v>
      </c>
      <c r="DI189" s="20">
        <v>0</v>
      </c>
      <c r="DP189" s="21" t="s">
        <v>1180</v>
      </c>
      <c r="DQ189" s="21" t="str">
        <f>PartsMaster!$A183</f>
        <v>JLM20286</v>
      </c>
      <c r="DR189" s="21" t="s">
        <v>1181</v>
      </c>
      <c r="DS189" s="21" t="str">
        <f>PartsMaster!$K184&amp;" "&amp;PartsMaster!L184&amp;" "&amp;PartsMaster!$M184</f>
        <v xml:space="preserve">Rear Center </v>
      </c>
    </row>
    <row r="190" spans="1:123" ht="30" hidden="1" x14ac:dyDescent="0.25">
      <c r="A190" s="20" t="s">
        <v>1166</v>
      </c>
      <c r="B190" s="20" t="s">
        <v>1167</v>
      </c>
      <c r="C190" s="20" t="s">
        <v>1168</v>
      </c>
      <c r="D190" s="21" t="str">
        <f>PartsMaster!B184&amp;" "&amp;PartsMaster!$C184</f>
        <v>Jaguar XK8 XKR X100 Number plate lamp kit</v>
      </c>
      <c r="E190" s="20">
        <v>3000</v>
      </c>
      <c r="F190" s="20" t="s">
        <v>1182</v>
      </c>
      <c r="H190" s="21" t="str">
        <f>PartsMaster!$Q184</f>
        <v>Number plate lamp kit</v>
      </c>
      <c r="I190" s="20">
        <v>9886</v>
      </c>
      <c r="K190" s="20">
        <v>0</v>
      </c>
      <c r="L190" s="20">
        <v>0</v>
      </c>
      <c r="M190" s="21">
        <f>PartsMaster!$D184</f>
        <v>1</v>
      </c>
      <c r="O190" s="20" t="s">
        <v>1169</v>
      </c>
      <c r="P190" s="23">
        <f>PartsMaster!$S184/1.45</f>
        <v>37.931034482758619</v>
      </c>
      <c r="S190" s="20">
        <v>30</v>
      </c>
      <c r="T190" s="20">
        <v>0</v>
      </c>
      <c r="U190" s="20" t="s">
        <v>1170</v>
      </c>
      <c r="Z190" s="26" t="str">
        <f>"&lt;P&gt;"&amp;PartsMaster!$I184&amp;" "&amp;PartsMaster!$H184&amp;"&lt;/P&gt;"&amp;"&lt;P&gt;Jaguar part name "&amp;PartsMaster!$E184&amp;"&lt;/P&gt;&lt;P&gt;Product numbers "&amp;PartsMaster!R184&amp;" "&amp;DQ190&amp;"&lt;/P&gt;&lt;P&gt;Fits starting from VIN/ModelYear "&amp;PartsMaster!$F184&amp;" until VIN/ModelYear "&amp;PartsMaster!$G184&amp;"&lt;/P&gt;&lt;P&gt;Condition: "&amp;PartsMaster!AB184&amp;"&lt;/P&gt;&lt;P&gt; (part source "&amp;PartsMaster!AD184&amp;")&lt;/P&gt;&lt;P&gt;Notes: "&amp;PartsMaster!AA184&amp;"&lt;/P&gt;"</f>
        <v>&lt;P&gt;Light Light&lt;/P&gt;&lt;P&gt;Jaguar part name LIGHTING - EXTERIOR/INTERIOR/AUXILIARY EXTERIOR LIGHTS - Kit&lt;/P&gt;&lt;P&gt;Product numbers JLM20287 JLM20287&lt;/P&gt;&lt;P&gt;Fits starting from VIN/ModelYear  until VIN/ModelYear &lt;/P&gt;&lt;P&gt;Condition: Dismantled from bottom &amp; engine damaged MY1997 XK8 Convertible VIN 0136xx&lt;/P&gt;&lt;P&gt; (part source KK)&lt;/P&gt;&lt;P&gt;Notes: At Espoo going to VIN 016998&lt;/P&gt;</v>
      </c>
      <c r="AA190" s="20" t="s">
        <v>1171</v>
      </c>
      <c r="AC190" s="20">
        <v>0</v>
      </c>
      <c r="AD190" s="20">
        <v>0</v>
      </c>
      <c r="AE190" s="20" t="s">
        <v>1172</v>
      </c>
      <c r="AF190" s="20">
        <v>7</v>
      </c>
      <c r="AG190" s="20">
        <v>0</v>
      </c>
      <c r="AH190" s="20">
        <v>0</v>
      </c>
      <c r="AI190" s="20">
        <v>0</v>
      </c>
      <c r="AJ190" s="20">
        <v>0</v>
      </c>
      <c r="AK190" s="20">
        <v>0</v>
      </c>
      <c r="AO190" s="20" t="s">
        <v>1173</v>
      </c>
      <c r="AR190" s="20">
        <v>0</v>
      </c>
      <c r="AS190" s="20">
        <v>10112</v>
      </c>
      <c r="AV190" s="20" t="s">
        <v>1174</v>
      </c>
      <c r="AX190" s="20">
        <v>62128510024</v>
      </c>
      <c r="AY190" s="20">
        <v>62035811024</v>
      </c>
      <c r="AZ190" s="20">
        <v>55187694024</v>
      </c>
      <c r="BA190" s="20" t="s">
        <v>1175</v>
      </c>
      <c r="BB190" s="20" t="s">
        <v>1176</v>
      </c>
      <c r="BC190" s="20" t="s">
        <v>1177</v>
      </c>
      <c r="BD190" s="20">
        <v>1</v>
      </c>
      <c r="BE190" s="20">
        <v>0</v>
      </c>
      <c r="BF190" s="20">
        <v>0</v>
      </c>
      <c r="BG190" s="20">
        <v>0</v>
      </c>
      <c r="BN190" s="20" t="s">
        <v>1178</v>
      </c>
      <c r="BV190" s="20">
        <v>0</v>
      </c>
      <c r="CL190" s="20">
        <v>0</v>
      </c>
      <c r="DD190" s="20" t="s">
        <v>1179</v>
      </c>
      <c r="DE190" s="20" t="s">
        <v>1179</v>
      </c>
      <c r="DI190" s="20">
        <v>0</v>
      </c>
      <c r="DP190" s="21" t="s">
        <v>1180</v>
      </c>
      <c r="DQ190" s="21" t="str">
        <f>PartsMaster!$A184</f>
        <v>JLM20287</v>
      </c>
      <c r="DR190" s="21" t="s">
        <v>1181</v>
      </c>
      <c r="DS190" s="21" t="str">
        <f>PartsMaster!$K185&amp;" "&amp;PartsMaster!L185&amp;" "&amp;PartsMaster!$M185</f>
        <v>Front Center Middle</v>
      </c>
    </row>
    <row r="191" spans="1:123" ht="30" x14ac:dyDescent="0.25">
      <c r="A191" s="20" t="s">
        <v>1166</v>
      </c>
      <c r="B191" s="20" t="s">
        <v>1167</v>
      </c>
      <c r="C191" s="20" t="s">
        <v>1168</v>
      </c>
      <c r="D191" s="21" t="str">
        <f>PartsMaster!B24&amp;" "&amp;PartsMaster!$C24</f>
        <v>Jaguar XK8 XKR X100 XJ8 XJR X308 Timing Chain Tensioner Secondary RH A Bank</v>
      </c>
      <c r="E191" s="20">
        <v>3000</v>
      </c>
      <c r="F191" s="20" t="s">
        <v>1182</v>
      </c>
      <c r="H191" s="21" t="str">
        <f>PartsMaster!$Q24</f>
        <v xml:space="preserve">TIMING CHAIN TENSIONER </v>
      </c>
      <c r="I191" s="20">
        <v>9886</v>
      </c>
      <c r="K191" s="20">
        <v>0</v>
      </c>
      <c r="L191" s="20">
        <v>0</v>
      </c>
      <c r="M191" s="21">
        <f>PartsMaster!$D24</f>
        <v>0</v>
      </c>
      <c r="O191" s="20" t="s">
        <v>1169</v>
      </c>
      <c r="P191" s="23">
        <f>PartsMaster!$S24/1.45</f>
        <v>0</v>
      </c>
      <c r="S191" s="20">
        <v>30</v>
      </c>
      <c r="T191" s="20">
        <v>0</v>
      </c>
      <c r="U191" s="20" t="s">
        <v>1170</v>
      </c>
      <c r="Z191" s="26" t="str">
        <f>"&lt;P&gt;"&amp;PartsMaster!$I24&amp;" "&amp;PartsMaster!$H24&amp;"&lt;/P&gt;"&amp;"&lt;P&gt;Jaguar part name "&amp;PartsMaster!$E24&amp;"&lt;/P&gt;&lt;P&gt;Product numbers "&amp;PartsMaster!R24&amp;" "&amp;DQ191&amp;"&lt;/P&gt;&lt;P&gt;Fits starting from VIN/ModelYear "&amp;PartsMaster!$F24&amp;" until VIN/ModelYear "&amp;PartsMaster!$G24&amp;"&lt;/P&gt;&lt;P&gt;Condition: "&amp;PartsMaster!AB24&amp;"&lt;/P&gt;&lt;P&gt; (part source "&amp;PartsMaster!AD24&amp;")&lt;/P&gt;&lt;P&gt;Notes: "&amp;PartsMaster!AA24&amp;"&lt;/P&gt;"</f>
        <v>&lt;P&gt;Engine Timing Chain tensioner&lt;/P&gt;&lt;P&gt;Jaguar part name &lt;/P&gt;&lt;P&gt;Product numbers C2A1511 C2A1511&lt;/P&gt;&lt;P&gt;Fits starting from VIN/ModelYear X100, 1996 - X308, 1997 until VIN/ModelYear X100, 2006 - X308, 2002&lt;/P&gt;&lt;P&gt;Condition: British Parts&lt;/P&gt;&lt;P&gt; (part source )&lt;/P&gt;&lt;P&gt;Notes: &lt;/P&gt;</v>
      </c>
      <c r="AA191" s="20" t="s">
        <v>1171</v>
      </c>
      <c r="AC191" s="20">
        <v>0</v>
      </c>
      <c r="AD191" s="20">
        <v>0</v>
      </c>
      <c r="AE191" s="20" t="s">
        <v>1172</v>
      </c>
      <c r="AF191" s="20">
        <v>7</v>
      </c>
      <c r="AG191" s="20">
        <v>0</v>
      </c>
      <c r="AH191" s="20">
        <v>0</v>
      </c>
      <c r="AI191" s="20">
        <v>0</v>
      </c>
      <c r="AJ191" s="20">
        <v>0</v>
      </c>
      <c r="AK191" s="20">
        <v>0</v>
      </c>
      <c r="AO191" s="20" t="s">
        <v>1173</v>
      </c>
      <c r="AR191" s="20">
        <v>0</v>
      </c>
      <c r="AS191" s="20">
        <v>10112</v>
      </c>
      <c r="AV191" s="20" t="s">
        <v>1174</v>
      </c>
      <c r="AX191" s="20">
        <v>62128510024</v>
      </c>
      <c r="AY191" s="20">
        <v>62035811024</v>
      </c>
      <c r="AZ191" s="20">
        <v>55187694024</v>
      </c>
      <c r="BA191" s="20" t="s">
        <v>1175</v>
      </c>
      <c r="BB191" s="20" t="s">
        <v>1176</v>
      </c>
      <c r="BC191" s="20" t="s">
        <v>1177</v>
      </c>
      <c r="BD191" s="20">
        <v>1</v>
      </c>
      <c r="BE191" s="20">
        <v>0</v>
      </c>
      <c r="BF191" s="20">
        <v>0</v>
      </c>
      <c r="BG191" s="20">
        <v>0</v>
      </c>
      <c r="BN191" s="20" t="s">
        <v>1178</v>
      </c>
      <c r="BV191" s="20">
        <v>0</v>
      </c>
      <c r="CL191" s="20">
        <v>0</v>
      </c>
      <c r="DD191" s="20" t="s">
        <v>1179</v>
      </c>
      <c r="DE191" s="20" t="s">
        <v>1179</v>
      </c>
      <c r="DI191" s="20">
        <v>0</v>
      </c>
      <c r="DP191" s="21" t="s">
        <v>1180</v>
      </c>
      <c r="DQ191" s="21" t="str">
        <f>PartsMaster!$A24</f>
        <v>C2A1511</v>
      </c>
      <c r="DR191" s="21" t="s">
        <v>1181</v>
      </c>
      <c r="DS191" s="21" t="str">
        <f>PartsMaster!$K25&amp;" "&amp;PartsMaster!L25&amp;" "&amp;PartsMaster!$M25</f>
        <v xml:space="preserve">  </v>
      </c>
    </row>
    <row r="192" spans="1:123" hidden="1" x14ac:dyDescent="0.25">
      <c r="A192" s="20" t="s">
        <v>1166</v>
      </c>
      <c r="B192" s="20" t="s">
        <v>1167</v>
      </c>
      <c r="C192" s="20" t="s">
        <v>1168</v>
      </c>
      <c r="D192" s="21" t="str">
        <f>PartsMaster!B379&amp;" "&amp;PartsMaster!$C379</f>
        <v>Jaguar XK8 XKR X100 Seat  - Mechanism cover - Cream</v>
      </c>
      <c r="E192" s="20">
        <v>3000</v>
      </c>
      <c r="F192" s="20" t="s">
        <v>1182</v>
      </c>
      <c r="H192" s="21">
        <f>PartsMaster!$Q379</f>
        <v>0</v>
      </c>
      <c r="I192" s="20">
        <v>9886</v>
      </c>
      <c r="K192" s="20">
        <v>0</v>
      </c>
      <c r="L192" s="20">
        <v>0</v>
      </c>
      <c r="M192" s="21">
        <f>PartsMaster!$D379</f>
        <v>0</v>
      </c>
      <c r="O192" s="20" t="s">
        <v>1169</v>
      </c>
      <c r="P192" s="23">
        <f>PartsMaster!$S379/1.45</f>
        <v>0</v>
      </c>
      <c r="S192" s="20">
        <v>30</v>
      </c>
      <c r="T192" s="20">
        <v>0</v>
      </c>
      <c r="U192" s="20" t="s">
        <v>1170</v>
      </c>
      <c r="Z192" s="26" t="str">
        <f>"&lt;P&gt;"&amp;PartsMaster!$I379&amp;" "&amp;PartsMaster!$H379&amp;"&lt;/P&gt;"&amp;"&lt;P&gt;Jaguar part name "&amp;PartsMaster!$E379&amp;"&lt;/P&gt;&lt;P&gt;Product numbers "&amp;PartsMaster!R379&amp;" "&amp;DQ192&amp;"&lt;/P&gt;&lt;P&gt;Fits starting from VIN/ModelYear "&amp;PartsMaster!$F379&amp;" until VIN/ModelYear "&amp;PartsMaster!$G379&amp;"&lt;/P&gt;&lt;P&gt;Condition: "&amp;PartsMaster!AB379&amp;"&lt;/P&gt;&lt;P&gt; (part source "&amp;PartsMaster!AD379&amp;")&lt;/P&gt;&lt;P&gt;Notes: "&amp;PartsMaster!AA379&amp;"&lt;/P&gt;"</f>
        <v>&lt;P&gt;Cap / Cover Cap / Cover / Trim&lt;/P&gt;&lt;P&gt;Jaguar part name &lt;/P&gt;&lt;P&gt;Product numbers  0&lt;/P&gt;&lt;P&gt;Fits starting from VIN/ModelYear 0 until VIN/ModelYear 18107&lt;/P&gt;&lt;P&gt;Condition: &lt;/P&gt;&lt;P&gt; (part source )&lt;/P&gt;&lt;P&gt;Notes: &lt;/P&gt;</v>
      </c>
      <c r="AA192" s="20" t="s">
        <v>1171</v>
      </c>
      <c r="AC192" s="20">
        <v>0</v>
      </c>
      <c r="AD192" s="20">
        <v>0</v>
      </c>
      <c r="AE192" s="20" t="s">
        <v>1172</v>
      </c>
      <c r="AF192" s="20">
        <v>7</v>
      </c>
      <c r="AG192" s="20">
        <v>0</v>
      </c>
      <c r="AH192" s="20">
        <v>0</v>
      </c>
      <c r="AI192" s="20">
        <v>0</v>
      </c>
      <c r="AJ192" s="20">
        <v>0</v>
      </c>
      <c r="AK192" s="20">
        <v>0</v>
      </c>
      <c r="AO192" s="20" t="s">
        <v>1173</v>
      </c>
      <c r="AR192" s="20">
        <v>0</v>
      </c>
      <c r="AS192" s="20">
        <v>10112</v>
      </c>
      <c r="AV192" s="20" t="s">
        <v>1174</v>
      </c>
      <c r="AX192" s="20">
        <v>62128510024</v>
      </c>
      <c r="AY192" s="20">
        <v>62035811024</v>
      </c>
      <c r="AZ192" s="20">
        <v>55187694024</v>
      </c>
      <c r="BA192" s="20" t="s">
        <v>1175</v>
      </c>
      <c r="BB192" s="20" t="s">
        <v>1176</v>
      </c>
      <c r="BC192" s="20" t="s">
        <v>1177</v>
      </c>
      <c r="BD192" s="20">
        <v>1</v>
      </c>
      <c r="BE192" s="20">
        <v>0</v>
      </c>
      <c r="BF192" s="20">
        <v>0</v>
      </c>
      <c r="BG192" s="20">
        <v>0</v>
      </c>
      <c r="BN192" s="20" t="s">
        <v>1178</v>
      </c>
      <c r="BV192" s="20">
        <v>0</v>
      </c>
      <c r="CL192" s="20">
        <v>0</v>
      </c>
      <c r="DD192" s="20" t="s">
        <v>1179</v>
      </c>
      <c r="DE192" s="20" t="s">
        <v>1179</v>
      </c>
      <c r="DI192" s="20">
        <v>0</v>
      </c>
      <c r="DP192" s="21" t="s">
        <v>1180</v>
      </c>
      <c r="DQ192" s="21">
        <f>PartsMaster!$A379</f>
        <v>0</v>
      </c>
      <c r="DR192" s="21" t="s">
        <v>1181</v>
      </c>
      <c r="DS192" s="21" t="str">
        <f>PartsMaster!$K380&amp;" "&amp;PartsMaster!L380&amp;" "&amp;PartsMaster!$M380</f>
        <v>Front Left Low</v>
      </c>
    </row>
    <row r="193" spans="1:123" hidden="1" x14ac:dyDescent="0.25">
      <c r="A193" s="20" t="s">
        <v>1166</v>
      </c>
      <c r="B193" s="20" t="s">
        <v>1167</v>
      </c>
      <c r="C193" s="20" t="s">
        <v>1168</v>
      </c>
      <c r="D193" s="21" t="str">
        <f>PartsMaster!B187&amp;" "&amp;PartsMaster!$C187</f>
        <v>Jaguar XK8 XKR X100 Tie rack cover boot rubber gaiter</v>
      </c>
      <c r="E193" s="20">
        <v>3000</v>
      </c>
      <c r="F193" s="20" t="s">
        <v>1182</v>
      </c>
      <c r="H193" s="21" t="str">
        <f>PartsMaster!$Q187</f>
        <v>BELLOW STRG RACK</v>
      </c>
      <c r="I193" s="20">
        <v>9886</v>
      </c>
      <c r="K193" s="20">
        <v>0</v>
      </c>
      <c r="L193" s="20">
        <v>0</v>
      </c>
      <c r="M193" s="21">
        <f>PartsMaster!$D187</f>
        <v>0</v>
      </c>
      <c r="O193" s="20" t="s">
        <v>1169</v>
      </c>
      <c r="P193" s="23">
        <f>PartsMaster!$S187/1.45</f>
        <v>10.344827586206897</v>
      </c>
      <c r="S193" s="20">
        <v>30</v>
      </c>
      <c r="T193" s="20">
        <v>0</v>
      </c>
      <c r="U193" s="20" t="s">
        <v>1170</v>
      </c>
      <c r="Z193" s="26" t="str">
        <f>"&lt;P&gt;"&amp;PartsMaster!$I187&amp;" "&amp;PartsMaster!$H187&amp;"&lt;/P&gt;"&amp;"&lt;P&gt;Jaguar part name "&amp;PartsMaster!$E187&amp;"&lt;/P&gt;&lt;P&gt;Product numbers "&amp;PartsMaster!R187&amp;" "&amp;DQ193&amp;"&lt;/P&gt;&lt;P&gt;Fits starting from VIN/ModelYear "&amp;PartsMaster!$F187&amp;" until VIN/ModelYear "&amp;PartsMaster!$G187&amp;"&lt;/P&gt;&lt;P&gt;Condition: "&amp;PartsMaster!AB187&amp;"&lt;/P&gt;&lt;P&gt; (part source "&amp;PartsMaster!AD187&amp;")&lt;/P&gt;&lt;P&gt;Notes: "&amp;PartsMaster!AA187&amp;"&lt;/P&gt;"</f>
        <v>&lt;P&gt;Cover Boot Gaiter&lt;/P&gt;&lt;P&gt;Jaguar part name STEERING AND SUSPENSION/POWER STEERING RACK ASSEMBLY - Gaiter&lt;/P&gt;&lt;P&gt;Product numbers JLM20683 JLM20683&lt;/P&gt;&lt;P&gt;Fits starting from VIN/ModelYear 0 until VIN/ModelYear 042775&lt;/P&gt;&lt;P&gt;Condition: &lt;/P&gt;&lt;P&gt; (part source SNG)&lt;/P&gt;&lt;P&gt;Notes: &lt;/P&gt;</v>
      </c>
      <c r="AA193" s="20" t="s">
        <v>1171</v>
      </c>
      <c r="AC193" s="20">
        <v>0</v>
      </c>
      <c r="AD193" s="20">
        <v>0</v>
      </c>
      <c r="AE193" s="20" t="s">
        <v>1172</v>
      </c>
      <c r="AF193" s="20">
        <v>7</v>
      </c>
      <c r="AG193" s="20">
        <v>0</v>
      </c>
      <c r="AH193" s="20">
        <v>0</v>
      </c>
      <c r="AI193" s="20">
        <v>0</v>
      </c>
      <c r="AJ193" s="20">
        <v>0</v>
      </c>
      <c r="AK193" s="20">
        <v>0</v>
      </c>
      <c r="AO193" s="20" t="s">
        <v>1173</v>
      </c>
      <c r="AR193" s="20">
        <v>0</v>
      </c>
      <c r="AS193" s="20">
        <v>10112</v>
      </c>
      <c r="AV193" s="20" t="s">
        <v>1174</v>
      </c>
      <c r="AX193" s="20">
        <v>62128510024</v>
      </c>
      <c r="AY193" s="20">
        <v>62035811024</v>
      </c>
      <c r="AZ193" s="20">
        <v>55187694024</v>
      </c>
      <c r="BA193" s="20" t="s">
        <v>1175</v>
      </c>
      <c r="BB193" s="20" t="s">
        <v>1176</v>
      </c>
      <c r="BC193" s="20" t="s">
        <v>1177</v>
      </c>
      <c r="BD193" s="20">
        <v>1</v>
      </c>
      <c r="BE193" s="20">
        <v>0</v>
      </c>
      <c r="BF193" s="20">
        <v>0</v>
      </c>
      <c r="BG193" s="20">
        <v>0</v>
      </c>
      <c r="BN193" s="20" t="s">
        <v>1178</v>
      </c>
      <c r="BV193" s="20">
        <v>0</v>
      </c>
      <c r="CL193" s="20">
        <v>0</v>
      </c>
      <c r="DD193" s="20" t="s">
        <v>1179</v>
      </c>
      <c r="DE193" s="20" t="s">
        <v>1179</v>
      </c>
      <c r="DI193" s="20">
        <v>0</v>
      </c>
      <c r="DP193" s="21" t="s">
        <v>1180</v>
      </c>
      <c r="DQ193" s="21" t="str">
        <f>PartsMaster!$A187</f>
        <v>JLM20683</v>
      </c>
      <c r="DR193" s="21" t="s">
        <v>1181</v>
      </c>
      <c r="DS193" s="21" t="str">
        <f>PartsMaster!$K188&amp;" "&amp;PartsMaster!L188&amp;" "&amp;PartsMaster!$M188</f>
        <v>Front Left/Right Bottom</v>
      </c>
    </row>
    <row r="194" spans="1:123" ht="30" hidden="1" x14ac:dyDescent="0.25">
      <c r="A194" s="20" t="s">
        <v>1166</v>
      </c>
      <c r="B194" s="20" t="s">
        <v>1167</v>
      </c>
      <c r="C194" s="20" t="s">
        <v>1168</v>
      </c>
      <c r="D194" s="21" t="str">
        <f>PartsMaster!B188&amp;" "&amp;PartsMaster!$C188</f>
        <v>Jaguar XK8 XKR X100 Tie rack cover boot rubber gaiter - Kit</v>
      </c>
      <c r="E194" s="20">
        <v>3000</v>
      </c>
      <c r="F194" s="20" t="s">
        <v>1182</v>
      </c>
      <c r="H194" s="21" t="str">
        <f>PartsMaster!$Q188</f>
        <v>Steering Rack Gaiter Kit</v>
      </c>
      <c r="I194" s="20">
        <v>9886</v>
      </c>
      <c r="K194" s="20">
        <v>0</v>
      </c>
      <c r="L194" s="20">
        <v>0</v>
      </c>
      <c r="M194" s="21">
        <f>PartsMaster!$D188</f>
        <v>0</v>
      </c>
      <c r="O194" s="20" t="s">
        <v>1169</v>
      </c>
      <c r="P194" s="23">
        <f>PartsMaster!$S188/1.45</f>
        <v>24.137931034482758</v>
      </c>
      <c r="S194" s="20">
        <v>30</v>
      </c>
      <c r="T194" s="20">
        <v>0</v>
      </c>
      <c r="U194" s="20" t="s">
        <v>1170</v>
      </c>
      <c r="Z194" s="26" t="str">
        <f>"&lt;P&gt;"&amp;PartsMaster!$I188&amp;" "&amp;PartsMaster!$H188&amp;"&lt;/P&gt;"&amp;"&lt;P&gt;Jaguar part name "&amp;PartsMaster!$E188&amp;"&lt;/P&gt;&lt;P&gt;Product numbers "&amp;PartsMaster!R188&amp;" "&amp;DQ194&amp;"&lt;/P&gt;&lt;P&gt;Fits starting from VIN/ModelYear "&amp;PartsMaster!$F188&amp;" until VIN/ModelYear "&amp;PartsMaster!$G188&amp;"&lt;/P&gt;&lt;P&gt;Condition: "&amp;PartsMaster!AB188&amp;"&lt;/P&gt;&lt;P&gt; (part source "&amp;PartsMaster!AD188&amp;")&lt;/P&gt;&lt;P&gt;Notes: "&amp;PartsMaster!AA188&amp;"&lt;/P&gt;"</f>
        <v>&lt;P&gt;Cover Kit&lt;/P&gt;&lt;P&gt;Jaguar part name STEERING AND SUSPENSION/POWER STEERING RACK ASSEMBLY - Gaiter - Kit&lt;/P&gt;&lt;P&gt;Product numbers JLM20683 JLM20683&lt;/P&gt;&lt;P&gt;Fits starting from VIN/ModelYear 0 until VIN/ModelYear 042775&lt;/P&gt;&lt;P&gt;Condition: &lt;/P&gt;&lt;P&gt; (part source )&lt;/P&gt;&lt;P&gt;Notes: &lt;/P&gt;</v>
      </c>
      <c r="AA194" s="20" t="s">
        <v>1171</v>
      </c>
      <c r="AC194" s="20">
        <v>0</v>
      </c>
      <c r="AD194" s="20">
        <v>0</v>
      </c>
      <c r="AE194" s="20" t="s">
        <v>1172</v>
      </c>
      <c r="AF194" s="20">
        <v>7</v>
      </c>
      <c r="AG194" s="20">
        <v>0</v>
      </c>
      <c r="AH194" s="20">
        <v>0</v>
      </c>
      <c r="AI194" s="20">
        <v>0</v>
      </c>
      <c r="AJ194" s="20">
        <v>0</v>
      </c>
      <c r="AK194" s="20">
        <v>0</v>
      </c>
      <c r="AO194" s="20" t="s">
        <v>1173</v>
      </c>
      <c r="AR194" s="20">
        <v>0</v>
      </c>
      <c r="AS194" s="20">
        <v>10112</v>
      </c>
      <c r="AV194" s="20" t="s">
        <v>1174</v>
      </c>
      <c r="AX194" s="20">
        <v>62128510024</v>
      </c>
      <c r="AY194" s="20">
        <v>62035811024</v>
      </c>
      <c r="AZ194" s="20">
        <v>55187694024</v>
      </c>
      <c r="BA194" s="20" t="s">
        <v>1175</v>
      </c>
      <c r="BB194" s="20" t="s">
        <v>1176</v>
      </c>
      <c r="BC194" s="20" t="s">
        <v>1177</v>
      </c>
      <c r="BD194" s="20">
        <v>1</v>
      </c>
      <c r="BE194" s="20">
        <v>0</v>
      </c>
      <c r="BF194" s="20">
        <v>0</v>
      </c>
      <c r="BG194" s="20">
        <v>0</v>
      </c>
      <c r="BN194" s="20" t="s">
        <v>1178</v>
      </c>
      <c r="BV194" s="20">
        <v>0</v>
      </c>
      <c r="CL194" s="20">
        <v>0</v>
      </c>
      <c r="DD194" s="20" t="s">
        <v>1179</v>
      </c>
      <c r="DE194" s="20" t="s">
        <v>1179</v>
      </c>
      <c r="DI194" s="20">
        <v>0</v>
      </c>
      <c r="DP194" s="21" t="s">
        <v>1180</v>
      </c>
      <c r="DQ194" s="21" t="str">
        <f>PartsMaster!$A188</f>
        <v>JLM20683</v>
      </c>
      <c r="DR194" s="21" t="s">
        <v>1181</v>
      </c>
      <c r="DS194" s="21" t="str">
        <f>PartsMaster!$K189&amp;" "&amp;PartsMaster!L189&amp;" "&amp;PartsMaster!$M189</f>
        <v>Front Left/Right Bottom</v>
      </c>
    </row>
    <row r="195" spans="1:123" ht="30" hidden="1" x14ac:dyDescent="0.25">
      <c r="A195" s="20" t="s">
        <v>1166</v>
      </c>
      <c r="B195" s="20" t="s">
        <v>1167</v>
      </c>
      <c r="C195" s="20" t="s">
        <v>1168</v>
      </c>
      <c r="D195" s="21" t="str">
        <f>PartsMaster!B189&amp;" "&amp;PartsMaster!$C189</f>
        <v>Jaguar XK8 XKR X100 Tie rack cover boot rubber gaiter - clip inner</v>
      </c>
      <c r="E195" s="20">
        <v>3000</v>
      </c>
      <c r="F195" s="20" t="s">
        <v>1182</v>
      </c>
      <c r="H195" s="21" t="str">
        <f>PartsMaster!$Q189</f>
        <v>CLIP-GAITER</v>
      </c>
      <c r="I195" s="20">
        <v>9886</v>
      </c>
      <c r="K195" s="20">
        <v>0</v>
      </c>
      <c r="L195" s="20">
        <v>0</v>
      </c>
      <c r="M195" s="21">
        <f>PartsMaster!$D189</f>
        <v>0</v>
      </c>
      <c r="O195" s="20" t="s">
        <v>1169</v>
      </c>
      <c r="P195" s="23">
        <f>PartsMaster!$S189/1.45</f>
        <v>3.4482758620689657</v>
      </c>
      <c r="S195" s="20">
        <v>30</v>
      </c>
      <c r="T195" s="20">
        <v>0</v>
      </c>
      <c r="U195" s="20" t="s">
        <v>1170</v>
      </c>
      <c r="Z195" s="26" t="str">
        <f>"&lt;P&gt;"&amp;PartsMaster!$I189&amp;" "&amp;PartsMaster!$H189&amp;"&lt;/P&gt;"&amp;"&lt;P&gt;Jaguar part name "&amp;PartsMaster!$E189&amp;"&lt;/P&gt;&lt;P&gt;Product numbers "&amp;PartsMaster!R189&amp;" "&amp;DQ195&amp;"&lt;/P&gt;&lt;P&gt;Fits starting from VIN/ModelYear "&amp;PartsMaster!$F189&amp;" until VIN/ModelYear "&amp;PartsMaster!$G189&amp;"&lt;/P&gt;&lt;P&gt;Condition: "&amp;PartsMaster!AB189&amp;"&lt;/P&gt;&lt;P&gt; (part source "&amp;PartsMaster!AD189&amp;")&lt;/P&gt;&lt;P&gt;Notes: "&amp;PartsMaster!AA189&amp;"&lt;/P&gt;"</f>
        <v>&lt;P&gt;Mount Clip / Fastener / Fir-tree / Rivet&lt;/P&gt;&lt;P&gt;Jaguar part name STEERING AND SUSPENSION/POWER STEERING RACK ASSEMBLY - Gaiter clip large&lt;/P&gt;&lt;P&gt;Product numbers JLM20684 JLM20684&lt;/P&gt;&lt;P&gt;Fits starting from VIN/ModelYear 0 until VIN/ModelYear 042775&lt;/P&gt;&lt;P&gt;Condition: &lt;/P&gt;&lt;P&gt; (part source SNG)&lt;/P&gt;&lt;P&gt;Notes: &lt;/P&gt;</v>
      </c>
      <c r="AA195" s="20" t="s">
        <v>1171</v>
      </c>
      <c r="AC195" s="20">
        <v>0</v>
      </c>
      <c r="AD195" s="20">
        <v>0</v>
      </c>
      <c r="AE195" s="20" t="s">
        <v>1172</v>
      </c>
      <c r="AF195" s="20">
        <v>7</v>
      </c>
      <c r="AG195" s="20">
        <v>0</v>
      </c>
      <c r="AH195" s="20">
        <v>0</v>
      </c>
      <c r="AI195" s="20">
        <v>0</v>
      </c>
      <c r="AJ195" s="20">
        <v>0</v>
      </c>
      <c r="AK195" s="20">
        <v>0</v>
      </c>
      <c r="AO195" s="20" t="s">
        <v>1173</v>
      </c>
      <c r="AR195" s="20">
        <v>0</v>
      </c>
      <c r="AS195" s="20">
        <v>10112</v>
      </c>
      <c r="AV195" s="20" t="s">
        <v>1174</v>
      </c>
      <c r="AX195" s="20">
        <v>62128510024</v>
      </c>
      <c r="AY195" s="20">
        <v>62035811024</v>
      </c>
      <c r="AZ195" s="20">
        <v>55187694024</v>
      </c>
      <c r="BA195" s="20" t="s">
        <v>1175</v>
      </c>
      <c r="BB195" s="20" t="s">
        <v>1176</v>
      </c>
      <c r="BC195" s="20" t="s">
        <v>1177</v>
      </c>
      <c r="BD195" s="20">
        <v>1</v>
      </c>
      <c r="BE195" s="20">
        <v>0</v>
      </c>
      <c r="BF195" s="20">
        <v>0</v>
      </c>
      <c r="BG195" s="20">
        <v>0</v>
      </c>
      <c r="BN195" s="20" t="s">
        <v>1178</v>
      </c>
      <c r="BV195" s="20">
        <v>0</v>
      </c>
      <c r="CL195" s="20">
        <v>0</v>
      </c>
      <c r="DD195" s="20" t="s">
        <v>1179</v>
      </c>
      <c r="DE195" s="20" t="s">
        <v>1179</v>
      </c>
      <c r="DI195" s="20">
        <v>0</v>
      </c>
      <c r="DP195" s="21" t="s">
        <v>1180</v>
      </c>
      <c r="DQ195" s="21" t="str">
        <f>PartsMaster!$A189</f>
        <v>JLM20684</v>
      </c>
      <c r="DR195" s="21" t="s">
        <v>1181</v>
      </c>
      <c r="DS195" s="21" t="str">
        <f>PartsMaster!$K190&amp;" "&amp;PartsMaster!L190&amp;" "&amp;PartsMaster!$M190</f>
        <v>Front Left/Right Bottom</v>
      </c>
    </row>
    <row r="196" spans="1:123" ht="30" hidden="1" x14ac:dyDescent="0.25">
      <c r="A196" s="20" t="s">
        <v>1166</v>
      </c>
      <c r="B196" s="20" t="s">
        <v>1167</v>
      </c>
      <c r="C196" s="20" t="s">
        <v>1168</v>
      </c>
      <c r="D196" s="21" t="str">
        <f>PartsMaster!B190&amp;" "&amp;PartsMaster!$C190</f>
        <v>Jaguar XK8 XKR X100 Tie rack cover boot rubber gaiter - clip outer</v>
      </c>
      <c r="E196" s="20">
        <v>3000</v>
      </c>
      <c r="F196" s="20" t="s">
        <v>1182</v>
      </c>
      <c r="H196" s="21" t="str">
        <f>PartsMaster!$Q190</f>
        <v>CLIP-GAITER</v>
      </c>
      <c r="I196" s="20">
        <v>9886</v>
      </c>
      <c r="K196" s="20">
        <v>0</v>
      </c>
      <c r="L196" s="20">
        <v>0</v>
      </c>
      <c r="M196" s="21">
        <f>PartsMaster!$D190</f>
        <v>0</v>
      </c>
      <c r="O196" s="20" t="s">
        <v>1169</v>
      </c>
      <c r="P196" s="23">
        <f>PartsMaster!$S190/1.45</f>
        <v>3.4482758620689657</v>
      </c>
      <c r="S196" s="20">
        <v>30</v>
      </c>
      <c r="T196" s="20">
        <v>0</v>
      </c>
      <c r="U196" s="20" t="s">
        <v>1170</v>
      </c>
      <c r="Z196" s="26" t="str">
        <f>"&lt;P&gt;"&amp;PartsMaster!$I190&amp;" "&amp;PartsMaster!$H190&amp;"&lt;/P&gt;"&amp;"&lt;P&gt;Jaguar part name "&amp;PartsMaster!$E190&amp;"&lt;/P&gt;&lt;P&gt;Product numbers "&amp;PartsMaster!R190&amp;" "&amp;DQ196&amp;"&lt;/P&gt;&lt;P&gt;Fits starting from VIN/ModelYear "&amp;PartsMaster!$F190&amp;" until VIN/ModelYear "&amp;PartsMaster!$G190&amp;"&lt;/P&gt;&lt;P&gt;Condition: "&amp;PartsMaster!AB190&amp;"&lt;/P&gt;&lt;P&gt; (part source "&amp;PartsMaster!AD190&amp;")&lt;/P&gt;&lt;P&gt;Notes: "&amp;PartsMaster!AA190&amp;"&lt;/P&gt;"</f>
        <v>&lt;P&gt;Mount Clip / Fastener / Fir-tree / Rivet&lt;/P&gt;&lt;P&gt;Jaguar part name STEERING AND SUSPENSION/POWER STEERING RACK ASSEMBLY - Gaiter clip small&lt;/P&gt;&lt;P&gt;Product numbers JLM20685 JLM20685&lt;/P&gt;&lt;P&gt;Fits starting from VIN/ModelYear 0 until VIN/ModelYear 042775&lt;/P&gt;&lt;P&gt;Condition: &lt;/P&gt;&lt;P&gt; (part source SNG)&lt;/P&gt;&lt;P&gt;Notes: &lt;/P&gt;</v>
      </c>
      <c r="AA196" s="20" t="s">
        <v>1171</v>
      </c>
      <c r="AC196" s="20">
        <v>0</v>
      </c>
      <c r="AD196" s="20">
        <v>0</v>
      </c>
      <c r="AE196" s="20" t="s">
        <v>1172</v>
      </c>
      <c r="AF196" s="20">
        <v>7</v>
      </c>
      <c r="AG196" s="20">
        <v>0</v>
      </c>
      <c r="AH196" s="20">
        <v>0</v>
      </c>
      <c r="AI196" s="20">
        <v>0</v>
      </c>
      <c r="AJ196" s="20">
        <v>0</v>
      </c>
      <c r="AK196" s="20">
        <v>0</v>
      </c>
      <c r="AO196" s="20" t="s">
        <v>1173</v>
      </c>
      <c r="AR196" s="20">
        <v>0</v>
      </c>
      <c r="AS196" s="20">
        <v>10112</v>
      </c>
      <c r="AV196" s="20" t="s">
        <v>1174</v>
      </c>
      <c r="AX196" s="20">
        <v>62128510024</v>
      </c>
      <c r="AY196" s="20">
        <v>62035811024</v>
      </c>
      <c r="AZ196" s="20">
        <v>55187694024</v>
      </c>
      <c r="BA196" s="20" t="s">
        <v>1175</v>
      </c>
      <c r="BB196" s="20" t="s">
        <v>1176</v>
      </c>
      <c r="BC196" s="20" t="s">
        <v>1177</v>
      </c>
      <c r="BD196" s="20">
        <v>1</v>
      </c>
      <c r="BE196" s="20">
        <v>0</v>
      </c>
      <c r="BF196" s="20">
        <v>0</v>
      </c>
      <c r="BG196" s="20">
        <v>0</v>
      </c>
      <c r="BN196" s="20" t="s">
        <v>1178</v>
      </c>
      <c r="BV196" s="20">
        <v>0</v>
      </c>
      <c r="CL196" s="20">
        <v>0</v>
      </c>
      <c r="DD196" s="20" t="s">
        <v>1179</v>
      </c>
      <c r="DE196" s="20" t="s">
        <v>1179</v>
      </c>
      <c r="DI196" s="20">
        <v>0</v>
      </c>
      <c r="DP196" s="21" t="s">
        <v>1180</v>
      </c>
      <c r="DQ196" s="21" t="str">
        <f>PartsMaster!$A190</f>
        <v>JLM20685</v>
      </c>
      <c r="DR196" s="21" t="s">
        <v>1181</v>
      </c>
      <c r="DS196" s="21" t="str">
        <f>PartsMaster!$K191&amp;" "&amp;PartsMaster!L191&amp;" "&amp;PartsMaster!$M191</f>
        <v xml:space="preserve">Front Left/Right </v>
      </c>
    </row>
    <row r="197" spans="1:123" ht="30" x14ac:dyDescent="0.25">
      <c r="A197" s="20" t="s">
        <v>1166</v>
      </c>
      <c r="B197" s="20" t="s">
        <v>1167</v>
      </c>
      <c r="C197" s="20" t="s">
        <v>1168</v>
      </c>
      <c r="D197" s="21" t="str">
        <f>PartsMaster!B73&amp;" "&amp;PartsMaster!$C73</f>
        <v>Jaguar XK8 XKR X100 Door waist seal</v>
      </c>
      <c r="E197" s="20">
        <v>3000</v>
      </c>
      <c r="F197" s="20" t="s">
        <v>1182</v>
      </c>
      <c r="H197" s="21" t="str">
        <f>PartsMaster!$Q73</f>
        <v>Door waist seal</v>
      </c>
      <c r="I197" s="20">
        <v>9886</v>
      </c>
      <c r="K197" s="20">
        <v>0</v>
      </c>
      <c r="L197" s="20">
        <v>0</v>
      </c>
      <c r="M197" s="21">
        <f>PartsMaster!$D73</f>
        <v>0</v>
      </c>
      <c r="O197" s="20" t="s">
        <v>1169</v>
      </c>
      <c r="P197" s="23">
        <f>PartsMaster!$S73/1.45</f>
        <v>65.517241379310349</v>
      </c>
      <c r="S197" s="20">
        <v>30</v>
      </c>
      <c r="T197" s="20">
        <v>0</v>
      </c>
      <c r="U197" s="20" t="s">
        <v>1170</v>
      </c>
      <c r="Z197" s="26" t="str">
        <f>"&lt;P&gt;"&amp;PartsMaster!$I73&amp;" "&amp;PartsMaster!$H73&amp;"&lt;/P&gt;"&amp;"&lt;P&gt;Jaguar part name "&amp;PartsMaster!$E73&amp;"&lt;/P&gt;&lt;P&gt;Product numbers "&amp;PartsMaster!R73&amp;" "&amp;DQ197&amp;"&lt;/P&gt;&lt;P&gt;Fits starting from VIN/ModelYear "&amp;PartsMaster!$F73&amp;" until VIN/ModelYear "&amp;PartsMaster!$G73&amp;"&lt;/P&gt;&lt;P&gt;Condition: "&amp;PartsMaster!AB73&amp;"&lt;/P&gt;&lt;P&gt; (part source "&amp;PartsMaster!AD73&amp;")&lt;/P&gt;&lt;P&gt;Notes: "&amp;PartsMaster!AA73&amp;"&lt;/P&gt;"</f>
        <v>&lt;P&gt;Seal Seal / Insulation&lt;/P&gt;&lt;P&gt;Jaguar part name BODY CLOSURES AND SEALING/DOOR SEALS -Waist seal&lt;/P&gt;&lt;P&gt;Product numbers GJA1710AF GJA1710AF&lt;/P&gt;&lt;P&gt;Fits starting from VIN/ModelYear MY1996 until VIN/ModelYear 033152&lt;/P&gt;&lt;P&gt;Condition: Dismantled from bottom &amp; engine damaged MY1997 XK8 Convertible VIN 0136xx&lt;/P&gt;&lt;P&gt; (part source KK)&lt;/P&gt;&lt;P&gt;Notes: &lt;/P&gt;</v>
      </c>
      <c r="AA197" s="20" t="s">
        <v>1171</v>
      </c>
      <c r="AC197" s="20">
        <v>0</v>
      </c>
      <c r="AD197" s="20">
        <v>0</v>
      </c>
      <c r="AE197" s="20" t="s">
        <v>1172</v>
      </c>
      <c r="AF197" s="20">
        <v>7</v>
      </c>
      <c r="AG197" s="20">
        <v>0</v>
      </c>
      <c r="AH197" s="20">
        <v>0</v>
      </c>
      <c r="AI197" s="20">
        <v>0</v>
      </c>
      <c r="AJ197" s="20">
        <v>0</v>
      </c>
      <c r="AK197" s="20">
        <v>0</v>
      </c>
      <c r="AO197" s="20" t="s">
        <v>1173</v>
      </c>
      <c r="AR197" s="20">
        <v>0</v>
      </c>
      <c r="AS197" s="20">
        <v>10112</v>
      </c>
      <c r="AV197" s="20" t="s">
        <v>1174</v>
      </c>
      <c r="AX197" s="20">
        <v>62128510024</v>
      </c>
      <c r="AY197" s="20">
        <v>62035811024</v>
      </c>
      <c r="AZ197" s="20">
        <v>55187694024</v>
      </c>
      <c r="BA197" s="20" t="s">
        <v>1175</v>
      </c>
      <c r="BB197" s="20" t="s">
        <v>1176</v>
      </c>
      <c r="BC197" s="20" t="s">
        <v>1177</v>
      </c>
      <c r="BD197" s="20">
        <v>1</v>
      </c>
      <c r="BE197" s="20">
        <v>0</v>
      </c>
      <c r="BF197" s="20">
        <v>0</v>
      </c>
      <c r="BG197" s="20">
        <v>0</v>
      </c>
      <c r="BN197" s="20" t="s">
        <v>1178</v>
      </c>
      <c r="BV197" s="20">
        <v>0</v>
      </c>
      <c r="CL197" s="20">
        <v>0</v>
      </c>
      <c r="DD197" s="20" t="s">
        <v>1179</v>
      </c>
      <c r="DE197" s="20" t="s">
        <v>1179</v>
      </c>
      <c r="DI197" s="20">
        <v>0</v>
      </c>
      <c r="DP197" s="21" t="s">
        <v>1180</v>
      </c>
      <c r="DQ197" s="21" t="str">
        <f>PartsMaster!$A73</f>
        <v>GJA1710AF</v>
      </c>
      <c r="DR197" s="21" t="s">
        <v>1181</v>
      </c>
      <c r="DS197" s="21" t="str">
        <f>PartsMaster!$K74&amp;" "&amp;PartsMaster!L74&amp;" "&amp;PartsMaster!$M74</f>
        <v xml:space="preserve">Center Right </v>
      </c>
    </row>
    <row r="198" spans="1:123" ht="30" x14ac:dyDescent="0.25">
      <c r="A198" s="20" t="s">
        <v>1166</v>
      </c>
      <c r="B198" s="20" t="s">
        <v>1167</v>
      </c>
      <c r="C198" s="20" t="s">
        <v>1168</v>
      </c>
      <c r="D198" s="21" t="str">
        <f>PartsMaster!B193&amp;" "&amp;PartsMaster!$C193</f>
        <v>Jaguar XK8 XKR X100 Fluid Convertible Top hydraulic Oil</v>
      </c>
      <c r="E198" s="20">
        <v>3000</v>
      </c>
      <c r="F198" s="20" t="s">
        <v>1182</v>
      </c>
      <c r="H198" s="21" t="str">
        <f>PartsMaster!$Q193</f>
        <v>Hood Lift Oil</v>
      </c>
      <c r="I198" s="20">
        <v>9886</v>
      </c>
      <c r="K198" s="20">
        <v>0</v>
      </c>
      <c r="L198" s="20">
        <v>0</v>
      </c>
      <c r="M198" s="21">
        <f>PartsMaster!$D193</f>
        <v>0</v>
      </c>
      <c r="O198" s="20" t="s">
        <v>1169</v>
      </c>
      <c r="P198" s="23">
        <f>PartsMaster!$S193/1.45</f>
        <v>0</v>
      </c>
      <c r="S198" s="20">
        <v>30</v>
      </c>
      <c r="T198" s="20">
        <v>0</v>
      </c>
      <c r="U198" s="20" t="s">
        <v>1170</v>
      </c>
      <c r="Z198" s="26" t="str">
        <f>"&lt;P&gt;"&amp;PartsMaster!$I193&amp;" "&amp;PartsMaster!$H193&amp;"&lt;/P&gt;"&amp;"&lt;P&gt;Jaguar part name "&amp;PartsMaster!$E193&amp;"&lt;/P&gt;&lt;P&gt;Product numbers "&amp;PartsMaster!R193&amp;" "&amp;DQ198&amp;"&lt;/P&gt;&lt;P&gt;Fits starting from VIN/ModelYear "&amp;PartsMaster!$F193&amp;" until VIN/ModelYear "&amp;PartsMaster!$G193&amp;"&lt;/P&gt;&lt;P&gt;Condition: "&amp;PartsMaster!AB193&amp;"&lt;/P&gt;&lt;P&gt; (part source "&amp;PartsMaster!AD193&amp;")&lt;/P&gt;&lt;P&gt;Notes: "&amp;PartsMaster!AA193&amp;"&lt;/P&gt;"</f>
        <v>&lt;P&gt;Hood / Convertible Top Fluid / Oil&lt;/P&gt;&lt;P&gt;Jaguar part name &lt;/P&gt;&lt;P&gt;Product numbers JLM21112 JLM21112&lt;/P&gt;&lt;P&gt;Fits starting from VIN/ModelYear  until VIN/ModelYear &lt;/P&gt;&lt;P&gt;Condition: British Parts&lt;/P&gt;&lt;P&gt; (part source )&lt;/P&gt;&lt;P&gt;Notes: &lt;/P&gt;</v>
      </c>
      <c r="AA198" s="20" t="s">
        <v>1171</v>
      </c>
      <c r="AC198" s="20">
        <v>0</v>
      </c>
      <c r="AD198" s="20">
        <v>0</v>
      </c>
      <c r="AE198" s="20" t="s">
        <v>1172</v>
      </c>
      <c r="AF198" s="20">
        <v>7</v>
      </c>
      <c r="AG198" s="20">
        <v>0</v>
      </c>
      <c r="AH198" s="20">
        <v>0</v>
      </c>
      <c r="AI198" s="20">
        <v>0</v>
      </c>
      <c r="AJ198" s="20">
        <v>0</v>
      </c>
      <c r="AK198" s="20">
        <v>0</v>
      </c>
      <c r="AO198" s="20" t="s">
        <v>1173</v>
      </c>
      <c r="AR198" s="20">
        <v>0</v>
      </c>
      <c r="AS198" s="20">
        <v>10112</v>
      </c>
      <c r="AV198" s="20" t="s">
        <v>1174</v>
      </c>
      <c r="AX198" s="20">
        <v>62128510024</v>
      </c>
      <c r="AY198" s="20">
        <v>62035811024</v>
      </c>
      <c r="AZ198" s="20">
        <v>55187694024</v>
      </c>
      <c r="BA198" s="20" t="s">
        <v>1175</v>
      </c>
      <c r="BB198" s="20" t="s">
        <v>1176</v>
      </c>
      <c r="BC198" s="20" t="s">
        <v>1177</v>
      </c>
      <c r="BD198" s="20">
        <v>1</v>
      </c>
      <c r="BE198" s="20">
        <v>0</v>
      </c>
      <c r="BF198" s="20">
        <v>0</v>
      </c>
      <c r="BG198" s="20">
        <v>0</v>
      </c>
      <c r="BN198" s="20" t="s">
        <v>1178</v>
      </c>
      <c r="BV198" s="20">
        <v>0</v>
      </c>
      <c r="CL198" s="20">
        <v>0</v>
      </c>
      <c r="DD198" s="20" t="s">
        <v>1179</v>
      </c>
      <c r="DE198" s="20" t="s">
        <v>1179</v>
      </c>
      <c r="DI198" s="20">
        <v>0</v>
      </c>
      <c r="DP198" s="21" t="s">
        <v>1180</v>
      </c>
      <c r="DQ198" s="21" t="str">
        <f>PartsMaster!$A193</f>
        <v>JLM21112</v>
      </c>
      <c r="DR198" s="21" t="s">
        <v>1181</v>
      </c>
      <c r="DS198" s="21" t="str">
        <f>PartsMaster!$K194&amp;" "&amp;PartsMaster!L194&amp;" "&amp;PartsMaster!$M194</f>
        <v xml:space="preserve">Rear  </v>
      </c>
    </row>
    <row r="199" spans="1:123" hidden="1" x14ac:dyDescent="0.25">
      <c r="A199" s="20" t="s">
        <v>1166</v>
      </c>
      <c r="B199" s="20" t="s">
        <v>1167</v>
      </c>
      <c r="C199" s="20" t="s">
        <v>1168</v>
      </c>
      <c r="D199" s="21" t="str">
        <f>PartsMaster!B413&amp;" "&amp;PartsMaster!$C413</f>
        <v>Jaguar XK8 XKR X100 Sump Gasket</v>
      </c>
      <c r="E199" s="20">
        <v>3000</v>
      </c>
      <c r="F199" s="20" t="s">
        <v>1182</v>
      </c>
      <c r="H199" s="21">
        <f>PartsMaster!$Q413</f>
        <v>0</v>
      </c>
      <c r="I199" s="20">
        <v>9886</v>
      </c>
      <c r="K199" s="20">
        <v>0</v>
      </c>
      <c r="L199" s="20">
        <v>0</v>
      </c>
      <c r="M199" s="21">
        <f>PartsMaster!$D413</f>
        <v>0</v>
      </c>
      <c r="O199" s="20" t="s">
        <v>1169</v>
      </c>
      <c r="P199" s="23">
        <f>PartsMaster!$S413/1.45</f>
        <v>0</v>
      </c>
      <c r="S199" s="20">
        <v>30</v>
      </c>
      <c r="T199" s="20">
        <v>0</v>
      </c>
      <c r="U199" s="20" t="s">
        <v>1170</v>
      </c>
      <c r="Z199" s="26" t="str">
        <f>"&lt;P&gt;"&amp;PartsMaster!$I413&amp;" "&amp;PartsMaster!$H413&amp;"&lt;/P&gt;"&amp;"&lt;P&gt;Jaguar part name "&amp;PartsMaster!$E413&amp;"&lt;/P&gt;&lt;P&gt;Product numbers "&amp;PartsMaster!R413&amp;" "&amp;DQ199&amp;"&lt;/P&gt;&lt;P&gt;Fits starting from VIN/ModelYear "&amp;PartsMaster!$F413&amp;" until VIN/ModelYear "&amp;PartsMaster!$G413&amp;"&lt;/P&gt;&lt;P&gt;Condition: "&amp;PartsMaster!AB413&amp;"&lt;/P&gt;&lt;P&gt; (part source "&amp;PartsMaster!AD413&amp;")&lt;/P&gt;&lt;P&gt;Notes: "&amp;PartsMaster!AA413&amp;"&lt;/P&gt;"</f>
        <v>&lt;P&gt;Engine oil Gasket / Seal / O-Ring&lt;/P&gt;&lt;P&gt;Jaguar part name &lt;/P&gt;&lt;P&gt;Product numbers  0&lt;/P&gt;&lt;P&gt;Fits starting from VIN/ModelYear  until VIN/ModelYear &lt;/P&gt;&lt;P&gt;Condition: &lt;/P&gt;&lt;P&gt; (part source )&lt;/P&gt;&lt;P&gt;Notes: &lt;/P&gt;</v>
      </c>
      <c r="AA199" s="20" t="s">
        <v>1171</v>
      </c>
      <c r="AC199" s="20">
        <v>0</v>
      </c>
      <c r="AD199" s="20">
        <v>0</v>
      </c>
      <c r="AE199" s="20" t="s">
        <v>1172</v>
      </c>
      <c r="AF199" s="20">
        <v>7</v>
      </c>
      <c r="AG199" s="20">
        <v>0</v>
      </c>
      <c r="AH199" s="20">
        <v>0</v>
      </c>
      <c r="AI199" s="20">
        <v>0</v>
      </c>
      <c r="AJ199" s="20">
        <v>0</v>
      </c>
      <c r="AK199" s="20">
        <v>0</v>
      </c>
      <c r="AO199" s="20" t="s">
        <v>1173</v>
      </c>
      <c r="AR199" s="20">
        <v>0</v>
      </c>
      <c r="AS199" s="20">
        <v>10112</v>
      </c>
      <c r="AV199" s="20" t="s">
        <v>1174</v>
      </c>
      <c r="AX199" s="20">
        <v>62128510024</v>
      </c>
      <c r="AY199" s="20">
        <v>62035811024</v>
      </c>
      <c r="AZ199" s="20">
        <v>55187694024</v>
      </c>
      <c r="BA199" s="20" t="s">
        <v>1175</v>
      </c>
      <c r="BB199" s="20" t="s">
        <v>1176</v>
      </c>
      <c r="BC199" s="20" t="s">
        <v>1177</v>
      </c>
      <c r="BD199" s="20">
        <v>1</v>
      </c>
      <c r="BE199" s="20">
        <v>0</v>
      </c>
      <c r="BF199" s="20">
        <v>0</v>
      </c>
      <c r="BG199" s="20">
        <v>0</v>
      </c>
      <c r="BN199" s="20" t="s">
        <v>1178</v>
      </c>
      <c r="BV199" s="20">
        <v>0</v>
      </c>
      <c r="CL199" s="20">
        <v>0</v>
      </c>
      <c r="DD199" s="20" t="s">
        <v>1179</v>
      </c>
      <c r="DE199" s="20" t="s">
        <v>1179</v>
      </c>
      <c r="DI199" s="20">
        <v>0</v>
      </c>
      <c r="DP199" s="21" t="s">
        <v>1180</v>
      </c>
      <c r="DQ199" s="21">
        <f>PartsMaster!$A413</f>
        <v>0</v>
      </c>
      <c r="DR199" s="21" t="s">
        <v>1181</v>
      </c>
      <c r="DS199" s="21" t="str">
        <f>PartsMaster!$K414&amp;" "&amp;PartsMaster!L414&amp;" "&amp;PartsMaster!$M414</f>
        <v xml:space="preserve">  </v>
      </c>
    </row>
    <row r="200" spans="1:123" ht="30" x14ac:dyDescent="0.25">
      <c r="A200" s="20" t="s">
        <v>1166</v>
      </c>
      <c r="B200" s="20" t="s">
        <v>1167</v>
      </c>
      <c r="C200" s="20" t="s">
        <v>1168</v>
      </c>
      <c r="D200" s="21" t="str">
        <f>PartsMaster!B21&amp;" "&amp;PartsMaster!$C21</f>
        <v>Jaguar XK8 XKR X100 Seat - Mount Torx</v>
      </c>
      <c r="E200" s="20">
        <v>3000</v>
      </c>
      <c r="F200" s="20" t="s">
        <v>1182</v>
      </c>
      <c r="H200" s="21" t="str">
        <f>PartsMaster!$Q21</f>
        <v>SCREW-TORX</v>
      </c>
      <c r="I200" s="20">
        <v>9886</v>
      </c>
      <c r="K200" s="20">
        <v>0</v>
      </c>
      <c r="L200" s="20">
        <v>0</v>
      </c>
      <c r="M200" s="21">
        <f>PartsMaster!$D21</f>
        <v>0</v>
      </c>
      <c r="O200" s="20" t="s">
        <v>1169</v>
      </c>
      <c r="P200" s="23">
        <f>PartsMaster!$S21/1.45</f>
        <v>0</v>
      </c>
      <c r="S200" s="20">
        <v>30</v>
      </c>
      <c r="T200" s="20">
        <v>0</v>
      </c>
      <c r="U200" s="20" t="s">
        <v>1170</v>
      </c>
      <c r="Z200" s="26" t="str">
        <f>"&lt;P&gt;"&amp;PartsMaster!$I21&amp;" "&amp;PartsMaster!$H21&amp;"&lt;/P&gt;"&amp;"&lt;P&gt;Jaguar part name "&amp;PartsMaster!$E21&amp;"&lt;/P&gt;&lt;P&gt;Product numbers "&amp;PartsMaster!R21&amp;" "&amp;DQ200&amp;"&lt;/P&gt;&lt;P&gt;Fits starting from VIN/ModelYear "&amp;PartsMaster!$F21&amp;" until VIN/ModelYear "&amp;PartsMaster!$G21&amp;"&lt;/P&gt;&lt;P&gt;Condition: "&amp;PartsMaster!AB21&amp;"&lt;/P&gt;&lt;P&gt; (part source "&amp;PartsMaster!AD21&amp;")&lt;/P&gt;&lt;P&gt;Notes: "&amp;PartsMaster!AA21&amp;"&lt;/P&gt;"</f>
        <v>&lt;P&gt;Mounting Bolt / Screw&lt;/P&gt;&lt;P&gt;Jaguar part name &lt;/P&gt;&lt;P&gt;Product numbers JZS100041 BCC9610
JZS100041&lt;/P&gt;&lt;P&gt;Fits starting from VIN/ModelYear  until VIN/ModelYear &lt;/P&gt;&lt;P&gt;Condition: SNG Barrat&lt;/P&gt;&lt;P&gt; (part source )&lt;/P&gt;&lt;P&gt;Notes: &lt;/P&gt;</v>
      </c>
      <c r="AA200" s="20" t="s">
        <v>1171</v>
      </c>
      <c r="AC200" s="20">
        <v>0</v>
      </c>
      <c r="AD200" s="20">
        <v>0</v>
      </c>
      <c r="AE200" s="20" t="s">
        <v>1172</v>
      </c>
      <c r="AF200" s="20">
        <v>7</v>
      </c>
      <c r="AG200" s="20">
        <v>0</v>
      </c>
      <c r="AH200" s="20">
        <v>0</v>
      </c>
      <c r="AI200" s="20">
        <v>0</v>
      </c>
      <c r="AJ200" s="20">
        <v>0</v>
      </c>
      <c r="AK200" s="20">
        <v>0</v>
      </c>
      <c r="AO200" s="20" t="s">
        <v>1173</v>
      </c>
      <c r="AR200" s="20">
        <v>0</v>
      </c>
      <c r="AS200" s="20">
        <v>10112</v>
      </c>
      <c r="AV200" s="20" t="s">
        <v>1174</v>
      </c>
      <c r="AX200" s="20">
        <v>62128510024</v>
      </c>
      <c r="AY200" s="20">
        <v>62035811024</v>
      </c>
      <c r="AZ200" s="20">
        <v>55187694024</v>
      </c>
      <c r="BA200" s="20" t="s">
        <v>1175</v>
      </c>
      <c r="BB200" s="20" t="s">
        <v>1176</v>
      </c>
      <c r="BC200" s="20" t="s">
        <v>1177</v>
      </c>
      <c r="BD200" s="20">
        <v>1</v>
      </c>
      <c r="BE200" s="20">
        <v>0</v>
      </c>
      <c r="BF200" s="20">
        <v>0</v>
      </c>
      <c r="BG200" s="20">
        <v>0</v>
      </c>
      <c r="BN200" s="20" t="s">
        <v>1178</v>
      </c>
      <c r="BV200" s="20">
        <v>0</v>
      </c>
      <c r="CL200" s="20">
        <v>0</v>
      </c>
      <c r="DD200" s="20" t="s">
        <v>1179</v>
      </c>
      <c r="DE200" s="20" t="s">
        <v>1179</v>
      </c>
      <c r="DI200" s="20">
        <v>0</v>
      </c>
      <c r="DP200" s="21" t="s">
        <v>1180</v>
      </c>
      <c r="DQ200" s="21" t="str">
        <f>PartsMaster!$A21</f>
        <v>BCC9610
JZS100041</v>
      </c>
      <c r="DR200" s="21" t="s">
        <v>1181</v>
      </c>
      <c r="DS200" s="21" t="str">
        <f>PartsMaster!$K22&amp;" "&amp;PartsMaster!L22&amp;" "&amp;PartsMaster!$M22</f>
        <v>Front Left/Right Low</v>
      </c>
    </row>
    <row r="201" spans="1:123" ht="30" x14ac:dyDescent="0.25">
      <c r="A201" s="20" t="s">
        <v>1166</v>
      </c>
      <c r="B201" s="20" t="s">
        <v>1167</v>
      </c>
      <c r="C201" s="20" t="s">
        <v>1168</v>
      </c>
      <c r="D201" s="21" t="str">
        <f>PartsMaster!B23&amp;" "&amp;PartsMaster!$C23</f>
        <v xml:space="preserve">Jaguar XK8 XKR X100 XJ8 XJR X308 Timing Chain Tensioner Blade </v>
      </c>
      <c r="E201" s="20">
        <v>3000</v>
      </c>
      <c r="F201" s="20" t="s">
        <v>1182</v>
      </c>
      <c r="H201" s="21" t="str">
        <f>PartsMaster!$Q23</f>
        <v xml:space="preserve">Timing Chain Tensioner Blade </v>
      </c>
      <c r="I201" s="20">
        <v>9886</v>
      </c>
      <c r="K201" s="20">
        <v>0</v>
      </c>
      <c r="L201" s="20">
        <v>0</v>
      </c>
      <c r="M201" s="21">
        <f>PartsMaster!$D23</f>
        <v>0</v>
      </c>
      <c r="O201" s="20" t="s">
        <v>1169</v>
      </c>
      <c r="P201" s="23">
        <f>PartsMaster!$S23/1.45</f>
        <v>0</v>
      </c>
      <c r="S201" s="20">
        <v>30</v>
      </c>
      <c r="T201" s="20">
        <v>0</v>
      </c>
      <c r="U201" s="20" t="s">
        <v>1170</v>
      </c>
      <c r="Z201" s="26" t="str">
        <f>"&lt;P&gt;"&amp;PartsMaster!$I23&amp;" "&amp;PartsMaster!$H23&amp;"&lt;/P&gt;"&amp;"&lt;P&gt;Jaguar part name "&amp;PartsMaster!$E23&amp;"&lt;/P&gt;&lt;P&gt;Product numbers "&amp;PartsMaster!R23&amp;" "&amp;DQ201&amp;"&lt;/P&gt;&lt;P&gt;Fits starting from VIN/ModelYear "&amp;PartsMaster!$F23&amp;" until VIN/ModelYear "&amp;PartsMaster!$G23&amp;"&lt;/P&gt;&lt;P&gt;Condition: "&amp;PartsMaster!AB23&amp;"&lt;/P&gt;&lt;P&gt; (part source "&amp;PartsMaster!AD23&amp;")&lt;/P&gt;&lt;P&gt;Notes: "&amp;PartsMaster!AA23&amp;"&lt;/P&gt;"</f>
        <v>&lt;P&gt;Engine Timing Chain guide / Blade&lt;/P&gt;&lt;P&gt;Jaguar part name &lt;/P&gt;&lt;P&gt;Product numbers C2A1497 C2A1497&lt;/P&gt;&lt;P&gt;Fits starting from VIN/ModelYear X100, 1996 - X308, 1998 until VIN/ModelYear X100-X308 Engine #0108122359&lt;/P&gt;&lt;P&gt;Condition: British Parts&lt;/P&gt;&lt;P&gt; (part source )&lt;/P&gt;&lt;P&gt;Notes: &lt;/P&gt;</v>
      </c>
      <c r="AA201" s="20" t="s">
        <v>1171</v>
      </c>
      <c r="AC201" s="20">
        <v>0</v>
      </c>
      <c r="AD201" s="20">
        <v>0</v>
      </c>
      <c r="AE201" s="20" t="s">
        <v>1172</v>
      </c>
      <c r="AF201" s="20">
        <v>7</v>
      </c>
      <c r="AG201" s="20">
        <v>0</v>
      </c>
      <c r="AH201" s="20">
        <v>0</v>
      </c>
      <c r="AI201" s="20">
        <v>0</v>
      </c>
      <c r="AJ201" s="20">
        <v>0</v>
      </c>
      <c r="AK201" s="20">
        <v>0</v>
      </c>
      <c r="AO201" s="20" t="s">
        <v>1173</v>
      </c>
      <c r="AR201" s="20">
        <v>0</v>
      </c>
      <c r="AS201" s="20">
        <v>10112</v>
      </c>
      <c r="AV201" s="20" t="s">
        <v>1174</v>
      </c>
      <c r="AX201" s="20">
        <v>62128510024</v>
      </c>
      <c r="AY201" s="20">
        <v>62035811024</v>
      </c>
      <c r="AZ201" s="20">
        <v>55187694024</v>
      </c>
      <c r="BA201" s="20" t="s">
        <v>1175</v>
      </c>
      <c r="BB201" s="20" t="s">
        <v>1176</v>
      </c>
      <c r="BC201" s="20" t="s">
        <v>1177</v>
      </c>
      <c r="BD201" s="20">
        <v>1</v>
      </c>
      <c r="BE201" s="20">
        <v>0</v>
      </c>
      <c r="BF201" s="20">
        <v>0</v>
      </c>
      <c r="BG201" s="20">
        <v>0</v>
      </c>
      <c r="BN201" s="20" t="s">
        <v>1178</v>
      </c>
      <c r="BV201" s="20">
        <v>0</v>
      </c>
      <c r="CL201" s="20">
        <v>0</v>
      </c>
      <c r="DD201" s="20" t="s">
        <v>1179</v>
      </c>
      <c r="DE201" s="20" t="s">
        <v>1179</v>
      </c>
      <c r="DI201" s="20">
        <v>0</v>
      </c>
      <c r="DP201" s="21" t="s">
        <v>1180</v>
      </c>
      <c r="DQ201" s="21" t="str">
        <f>PartsMaster!$A23</f>
        <v>C2A1497</v>
      </c>
      <c r="DR201" s="21" t="s">
        <v>1181</v>
      </c>
      <c r="DS201" s="21" t="str">
        <f>PartsMaster!$K24&amp;" "&amp;PartsMaster!L24&amp;" "&amp;PartsMaster!$M24</f>
        <v xml:space="preserve">  </v>
      </c>
    </row>
    <row r="202" spans="1:123" ht="30" hidden="1" x14ac:dyDescent="0.25">
      <c r="A202" s="20" t="s">
        <v>1166</v>
      </c>
      <c r="B202" s="20" t="s">
        <v>1167</v>
      </c>
      <c r="C202" s="20" t="s">
        <v>1168</v>
      </c>
      <c r="D202" s="21" t="str">
        <f>PartsMaster!B195&amp;" "&amp;PartsMaster!$C195</f>
        <v>Jaguar XK8 XKR X100 XJ8 XJR X308 Brake Pad Kit</v>
      </c>
      <c r="E202" s="20">
        <v>3000</v>
      </c>
      <c r="F202" s="20" t="s">
        <v>1182</v>
      </c>
      <c r="H202" s="21">
        <f>PartsMaster!$Q195</f>
        <v>0</v>
      </c>
      <c r="I202" s="20">
        <v>9886</v>
      </c>
      <c r="K202" s="20">
        <v>0</v>
      </c>
      <c r="L202" s="20">
        <v>0</v>
      </c>
      <c r="M202" s="21">
        <f>PartsMaster!$D195</f>
        <v>0</v>
      </c>
      <c r="O202" s="20" t="s">
        <v>1169</v>
      </c>
      <c r="P202" s="23">
        <f>PartsMaster!$S195/1.45</f>
        <v>0</v>
      </c>
      <c r="S202" s="20">
        <v>30</v>
      </c>
      <c r="T202" s="20">
        <v>0</v>
      </c>
      <c r="U202" s="20" t="s">
        <v>1170</v>
      </c>
      <c r="Z202" s="26" t="str">
        <f>"&lt;P&gt;"&amp;PartsMaster!$I195&amp;" "&amp;PartsMaster!$H195&amp;"&lt;/P&gt;"&amp;"&lt;P&gt;Jaguar part name "&amp;PartsMaster!$E195&amp;"&lt;/P&gt;&lt;P&gt;Product numbers "&amp;PartsMaster!R195&amp;" "&amp;DQ202&amp;"&lt;/P&gt;&lt;P&gt;Fits starting from VIN/ModelYear "&amp;PartsMaster!$F195&amp;" until VIN/ModelYear "&amp;PartsMaster!$G195&amp;"&lt;/P&gt;&lt;P&gt;Condition: "&amp;PartsMaster!AB195&amp;"&lt;/P&gt;&lt;P&gt; (part source "&amp;PartsMaster!AD195&amp;")&lt;/P&gt;&lt;P&gt;Notes: "&amp;PartsMaster!AA195&amp;"&lt;/P&gt;"</f>
        <v>&lt;P&gt;Brakes Brake Pads&lt;/P&gt;&lt;P&gt;Jaguar part name &lt;/P&gt;&lt;P&gt;Product numbers  JLM21220 (JLM21918, JLM20257)&lt;/P&gt;&lt;P&gt;Fits starting from VIN/ModelYear  until VIN/ModelYear &lt;/P&gt;&lt;P&gt;Condition: &lt;/P&gt;&lt;P&gt; (part source )&lt;/P&gt;&lt;P&gt;Notes: &lt;/P&gt;</v>
      </c>
      <c r="AA202" s="20" t="s">
        <v>1171</v>
      </c>
      <c r="AC202" s="20">
        <v>0</v>
      </c>
      <c r="AD202" s="20">
        <v>0</v>
      </c>
      <c r="AE202" s="20" t="s">
        <v>1172</v>
      </c>
      <c r="AF202" s="20">
        <v>7</v>
      </c>
      <c r="AG202" s="20">
        <v>0</v>
      </c>
      <c r="AH202" s="20">
        <v>0</v>
      </c>
      <c r="AI202" s="20">
        <v>0</v>
      </c>
      <c r="AJ202" s="20">
        <v>0</v>
      </c>
      <c r="AK202" s="20">
        <v>0</v>
      </c>
      <c r="AO202" s="20" t="s">
        <v>1173</v>
      </c>
      <c r="AR202" s="20">
        <v>0</v>
      </c>
      <c r="AS202" s="20">
        <v>10112</v>
      </c>
      <c r="AV202" s="20" t="s">
        <v>1174</v>
      </c>
      <c r="AX202" s="20">
        <v>62128510024</v>
      </c>
      <c r="AY202" s="20">
        <v>62035811024</v>
      </c>
      <c r="AZ202" s="20">
        <v>55187694024</v>
      </c>
      <c r="BA202" s="20" t="s">
        <v>1175</v>
      </c>
      <c r="BB202" s="20" t="s">
        <v>1176</v>
      </c>
      <c r="BC202" s="20" t="s">
        <v>1177</v>
      </c>
      <c r="BD202" s="20">
        <v>1</v>
      </c>
      <c r="BE202" s="20">
        <v>0</v>
      </c>
      <c r="BF202" s="20">
        <v>0</v>
      </c>
      <c r="BG202" s="20">
        <v>0</v>
      </c>
      <c r="BN202" s="20" t="s">
        <v>1178</v>
      </c>
      <c r="BV202" s="20">
        <v>0</v>
      </c>
      <c r="CL202" s="20">
        <v>0</v>
      </c>
      <c r="DD202" s="20" t="s">
        <v>1179</v>
      </c>
      <c r="DE202" s="20" t="s">
        <v>1179</v>
      </c>
      <c r="DI202" s="20">
        <v>0</v>
      </c>
      <c r="DP202" s="21" t="s">
        <v>1180</v>
      </c>
      <c r="DQ202" s="21" t="str">
        <f>PartsMaster!$A195</f>
        <v>JLM21220 (JLM21918, JLM20257)</v>
      </c>
      <c r="DR202" s="21" t="s">
        <v>1181</v>
      </c>
      <c r="DS202" s="21" t="str">
        <f>PartsMaster!$K196&amp;" "&amp;PartsMaster!L196&amp;" "&amp;PartsMaster!$M196</f>
        <v xml:space="preserve">  </v>
      </c>
    </row>
    <row r="203" spans="1:123" ht="30" hidden="1" x14ac:dyDescent="0.25">
      <c r="A203" s="20" t="s">
        <v>1166</v>
      </c>
      <c r="B203" s="20" t="s">
        <v>1167</v>
      </c>
      <c r="C203" s="20" t="s">
        <v>1168</v>
      </c>
      <c r="D203" s="21" t="str">
        <f>PartsMaster!B196&amp;" "&amp;PartsMaster!$C196</f>
        <v>Jaguar XK8 XKR X100 WATER PUMP</v>
      </c>
      <c r="E203" s="20">
        <v>3000</v>
      </c>
      <c r="F203" s="20" t="s">
        <v>1182</v>
      </c>
      <c r="H203" s="21" t="str">
        <f>PartsMaster!$Q196</f>
        <v xml:space="preserve">WATER PUMP-JAGUAR </v>
      </c>
      <c r="I203" s="20">
        <v>9886</v>
      </c>
      <c r="K203" s="20">
        <v>0</v>
      </c>
      <c r="L203" s="20">
        <v>0</v>
      </c>
      <c r="M203" s="21">
        <f>PartsMaster!$D196</f>
        <v>0</v>
      </c>
      <c r="O203" s="20" t="s">
        <v>1169</v>
      </c>
      <c r="P203" s="23">
        <f>PartsMaster!$S196/1.45</f>
        <v>0</v>
      </c>
      <c r="S203" s="20">
        <v>30</v>
      </c>
      <c r="T203" s="20">
        <v>0</v>
      </c>
      <c r="U203" s="20" t="s">
        <v>1170</v>
      </c>
      <c r="Z203" s="26" t="str">
        <f>"&lt;P&gt;"&amp;PartsMaster!$I196&amp;" "&amp;PartsMaster!$H196&amp;"&lt;/P&gt;"&amp;"&lt;P&gt;Jaguar part name "&amp;PartsMaster!$E196&amp;"&lt;/P&gt;&lt;P&gt;Product numbers "&amp;PartsMaster!R196&amp;" "&amp;DQ203&amp;"&lt;/P&gt;&lt;P&gt;Fits starting from VIN/ModelYear "&amp;PartsMaster!$F196&amp;" until VIN/ModelYear "&amp;PartsMaster!$G196&amp;"&lt;/P&gt;&lt;P&gt;Condition: "&amp;PartsMaster!AB196&amp;"&lt;/P&gt;&lt;P&gt; (part source "&amp;PartsMaster!AD196&amp;")&lt;/P&gt;&lt;P&gt;Notes: "&amp;PartsMaster!AA196&amp;"&lt;/P&gt;"</f>
        <v>&lt;P&gt;Engine Cooling Pump&lt;/P&gt;&lt;P&gt;Jaguar part name &lt;/P&gt;&lt;P&gt;Product numbers JLM21594 JLM21594&lt;/P&gt;&lt;P&gt;Fits starting from VIN/ModelYear  until VIN/ModelYear &lt;/P&gt;&lt;P&gt;Condition: British Parts&lt;/P&gt;&lt;P&gt; (part source )&lt;/P&gt;&lt;P&gt;Notes: &lt;/P&gt;</v>
      </c>
      <c r="AA203" s="20" t="s">
        <v>1171</v>
      </c>
      <c r="AC203" s="20">
        <v>0</v>
      </c>
      <c r="AD203" s="20">
        <v>0</v>
      </c>
      <c r="AE203" s="20" t="s">
        <v>1172</v>
      </c>
      <c r="AF203" s="20">
        <v>7</v>
      </c>
      <c r="AG203" s="20">
        <v>0</v>
      </c>
      <c r="AH203" s="20">
        <v>0</v>
      </c>
      <c r="AI203" s="20">
        <v>0</v>
      </c>
      <c r="AJ203" s="20">
        <v>0</v>
      </c>
      <c r="AK203" s="20">
        <v>0</v>
      </c>
      <c r="AO203" s="20" t="s">
        <v>1173</v>
      </c>
      <c r="AR203" s="20">
        <v>0</v>
      </c>
      <c r="AS203" s="20">
        <v>10112</v>
      </c>
      <c r="AV203" s="20" t="s">
        <v>1174</v>
      </c>
      <c r="AX203" s="20">
        <v>62128510024</v>
      </c>
      <c r="AY203" s="20">
        <v>62035811024</v>
      </c>
      <c r="AZ203" s="20">
        <v>55187694024</v>
      </c>
      <c r="BA203" s="20" t="s">
        <v>1175</v>
      </c>
      <c r="BB203" s="20" t="s">
        <v>1176</v>
      </c>
      <c r="BC203" s="20" t="s">
        <v>1177</v>
      </c>
      <c r="BD203" s="20">
        <v>1</v>
      </c>
      <c r="BE203" s="20">
        <v>0</v>
      </c>
      <c r="BF203" s="20">
        <v>0</v>
      </c>
      <c r="BG203" s="20">
        <v>0</v>
      </c>
      <c r="BN203" s="20" t="s">
        <v>1178</v>
      </c>
      <c r="BV203" s="20">
        <v>0</v>
      </c>
      <c r="CL203" s="20">
        <v>0</v>
      </c>
      <c r="DD203" s="20" t="s">
        <v>1179</v>
      </c>
      <c r="DE203" s="20" t="s">
        <v>1179</v>
      </c>
      <c r="DI203" s="20">
        <v>0</v>
      </c>
      <c r="DP203" s="21" t="s">
        <v>1180</v>
      </c>
      <c r="DQ203" s="21" t="str">
        <f>PartsMaster!$A196</f>
        <v>JLM21594</v>
      </c>
      <c r="DR203" s="21" t="s">
        <v>1181</v>
      </c>
      <c r="DS203" s="21" t="str">
        <f>PartsMaster!$K197&amp;" "&amp;PartsMaster!L197&amp;" "&amp;PartsMaster!$M197</f>
        <v xml:space="preserve">Front Left/Right </v>
      </c>
    </row>
    <row r="204" spans="1:123" ht="30" hidden="1" x14ac:dyDescent="0.25">
      <c r="A204" s="20" t="s">
        <v>1166</v>
      </c>
      <c r="B204" s="20" t="s">
        <v>1167</v>
      </c>
      <c r="C204" s="20" t="s">
        <v>1168</v>
      </c>
      <c r="D204" s="21" t="str">
        <f>PartsMaster!B197&amp;" "&amp;PartsMaster!$C197</f>
        <v>Jaguar XK8 XKR X100 Brake Caliper to vertical link Bold</v>
      </c>
      <c r="E204" s="20">
        <v>3000</v>
      </c>
      <c r="F204" s="20" t="s">
        <v>1182</v>
      </c>
      <c r="H204" s="21" t="str">
        <f>PartsMaster!$Q197</f>
        <v>Brake Caliper to vertical link Bold</v>
      </c>
      <c r="I204" s="20">
        <v>9886</v>
      </c>
      <c r="K204" s="20">
        <v>0</v>
      </c>
      <c r="L204" s="20">
        <v>0</v>
      </c>
      <c r="M204" s="21">
        <f>PartsMaster!$D197</f>
        <v>4</v>
      </c>
      <c r="O204" s="20" t="s">
        <v>1169</v>
      </c>
      <c r="P204" s="23">
        <f>PartsMaster!$S197/1.45</f>
        <v>1.3793103448275863</v>
      </c>
      <c r="S204" s="20">
        <v>30</v>
      </c>
      <c r="T204" s="20">
        <v>0</v>
      </c>
      <c r="U204" s="20" t="s">
        <v>1170</v>
      </c>
      <c r="Z204" s="26" t="str">
        <f>"&lt;P&gt;"&amp;PartsMaster!$I197&amp;" "&amp;PartsMaster!$H197&amp;"&lt;/P&gt;"&amp;"&lt;P&gt;Jaguar part name "&amp;PartsMaster!$E197&amp;"&lt;/P&gt;&lt;P&gt;Product numbers "&amp;PartsMaster!R197&amp;" "&amp;DQ204&amp;"&lt;/P&gt;&lt;P&gt;Fits starting from VIN/ModelYear "&amp;PartsMaster!$F197&amp;" until VIN/ModelYear "&amp;PartsMaster!$G197&amp;"&lt;/P&gt;&lt;P&gt;Condition: "&amp;PartsMaster!AB197&amp;"&lt;/P&gt;&lt;P&gt; (part source "&amp;PartsMaster!AD197&amp;")&lt;/P&gt;&lt;P&gt;Notes: "&amp;PartsMaster!AA197&amp;"&lt;/P&gt;"</f>
        <v>&lt;P&gt;Mounting Bolt / Screw&lt;/P&gt;&lt;P&gt;Jaguar part name STEERING AND SUSPENSION/WISHBONE AND HUB ASSEMBLY-FRONT - Special Bold - Caliper to Vertical link &lt;/P&gt;&lt;P&gt;Product numbers JZB100010 JZB100010&lt;/P&gt;&lt;P&gt;Fits starting from VIN/ModelYear  until VIN/ModelYear &lt;/P&gt;&lt;P&gt;Condition: Extra spare&lt;/P&gt;&lt;P&gt; (part source JP)&lt;/P&gt;&lt;P&gt;Notes: &lt;/P&gt;</v>
      </c>
      <c r="AA204" s="20" t="s">
        <v>1171</v>
      </c>
      <c r="AC204" s="20">
        <v>0</v>
      </c>
      <c r="AD204" s="20">
        <v>0</v>
      </c>
      <c r="AE204" s="20" t="s">
        <v>1172</v>
      </c>
      <c r="AF204" s="20">
        <v>7</v>
      </c>
      <c r="AG204" s="20">
        <v>0</v>
      </c>
      <c r="AH204" s="20">
        <v>0</v>
      </c>
      <c r="AI204" s="20">
        <v>0</v>
      </c>
      <c r="AJ204" s="20">
        <v>0</v>
      </c>
      <c r="AK204" s="20">
        <v>0</v>
      </c>
      <c r="AO204" s="20" t="s">
        <v>1173</v>
      </c>
      <c r="AR204" s="20">
        <v>0</v>
      </c>
      <c r="AS204" s="20">
        <v>10112</v>
      </c>
      <c r="AV204" s="20" t="s">
        <v>1174</v>
      </c>
      <c r="AX204" s="20">
        <v>62128510024</v>
      </c>
      <c r="AY204" s="20">
        <v>62035811024</v>
      </c>
      <c r="AZ204" s="20">
        <v>55187694024</v>
      </c>
      <c r="BA204" s="20" t="s">
        <v>1175</v>
      </c>
      <c r="BB204" s="20" t="s">
        <v>1176</v>
      </c>
      <c r="BC204" s="20" t="s">
        <v>1177</v>
      </c>
      <c r="BD204" s="20">
        <v>1</v>
      </c>
      <c r="BE204" s="20">
        <v>0</v>
      </c>
      <c r="BF204" s="20">
        <v>0</v>
      </c>
      <c r="BG204" s="20">
        <v>0</v>
      </c>
      <c r="BN204" s="20" t="s">
        <v>1178</v>
      </c>
      <c r="BV204" s="20">
        <v>0</v>
      </c>
      <c r="CL204" s="20">
        <v>0</v>
      </c>
      <c r="DD204" s="20" t="s">
        <v>1179</v>
      </c>
      <c r="DE204" s="20" t="s">
        <v>1179</v>
      </c>
      <c r="DI204" s="20">
        <v>0</v>
      </c>
      <c r="DP204" s="21" t="s">
        <v>1180</v>
      </c>
      <c r="DQ204" s="21" t="str">
        <f>PartsMaster!$A197</f>
        <v>JZB100010</v>
      </c>
      <c r="DR204" s="21" t="s">
        <v>1181</v>
      </c>
      <c r="DS204" s="21" t="str">
        <f>PartsMaster!$K198&amp;" "&amp;PartsMaster!L198&amp;" "&amp;PartsMaster!$M198</f>
        <v xml:space="preserve">Rear Left/Right </v>
      </c>
    </row>
    <row r="205" spans="1:123" ht="30" hidden="1" x14ac:dyDescent="0.25">
      <c r="A205" s="20" t="s">
        <v>1166</v>
      </c>
      <c r="B205" s="20" t="s">
        <v>1167</v>
      </c>
      <c r="C205" s="20" t="s">
        <v>1168</v>
      </c>
      <c r="D205" s="21" t="str">
        <f>PartsMaster!B198&amp;" "&amp;PartsMaster!$C198</f>
        <v>Jaguar XK8 XKR X100 Wheel Bearing - Nut</v>
      </c>
      <c r="E205" s="20">
        <v>3000</v>
      </c>
      <c r="F205" s="20" t="s">
        <v>1182</v>
      </c>
      <c r="H205" s="21">
        <f>PartsMaster!$Q198</f>
        <v>0</v>
      </c>
      <c r="I205" s="20">
        <v>9886</v>
      </c>
      <c r="K205" s="20">
        <v>0</v>
      </c>
      <c r="L205" s="20">
        <v>0</v>
      </c>
      <c r="M205" s="21">
        <f>PartsMaster!$D198</f>
        <v>0</v>
      </c>
      <c r="O205" s="20" t="s">
        <v>1169</v>
      </c>
      <c r="P205" s="23">
        <f>PartsMaster!$S198/1.45</f>
        <v>0</v>
      </c>
      <c r="S205" s="20">
        <v>30</v>
      </c>
      <c r="T205" s="20">
        <v>0</v>
      </c>
      <c r="U205" s="20" t="s">
        <v>1170</v>
      </c>
      <c r="Z205" s="26" t="str">
        <f>"&lt;P&gt;"&amp;PartsMaster!$I198&amp;" "&amp;PartsMaster!$H198&amp;"&lt;/P&gt;"&amp;"&lt;P&gt;Jaguar part name "&amp;PartsMaster!$E198&amp;"&lt;/P&gt;&lt;P&gt;Product numbers "&amp;PartsMaster!R198&amp;" "&amp;DQ205&amp;"&lt;/P&gt;&lt;P&gt;Fits starting from VIN/ModelYear "&amp;PartsMaster!$F198&amp;" until VIN/ModelYear "&amp;PartsMaster!$G198&amp;"&lt;/P&gt;&lt;P&gt;Condition: "&amp;PartsMaster!AB198&amp;"&lt;/P&gt;&lt;P&gt; (part source "&amp;PartsMaster!AD198&amp;")&lt;/P&gt;&lt;P&gt;Notes: "&amp;PartsMaster!AA198&amp;"&lt;/P&gt;"</f>
        <v>&lt;P&gt;Bearing Nut&lt;/P&gt;&lt;P&gt;Jaguar part name STEERING AND SUSPENSION/HUB AND CARRIER-REAR - Hub Nut&lt;/P&gt;&lt;P&gt;Product numbers JZN100035   JZN100035  &lt;/P&gt;&lt;P&gt;Fits starting from VIN/ModelYear  until VIN/ModelYear &lt;/P&gt;&lt;P&gt;Condition: &lt;/P&gt;&lt;P&gt; (part source )&lt;/P&gt;&lt;P&gt;Notes: &lt;/P&gt;</v>
      </c>
      <c r="AA205" s="20" t="s">
        <v>1171</v>
      </c>
      <c r="AC205" s="20">
        <v>0</v>
      </c>
      <c r="AD205" s="20">
        <v>0</v>
      </c>
      <c r="AE205" s="20" t="s">
        <v>1172</v>
      </c>
      <c r="AF205" s="20">
        <v>7</v>
      </c>
      <c r="AG205" s="20">
        <v>0</v>
      </c>
      <c r="AH205" s="20">
        <v>0</v>
      </c>
      <c r="AI205" s="20">
        <v>0</v>
      </c>
      <c r="AJ205" s="20">
        <v>0</v>
      </c>
      <c r="AK205" s="20">
        <v>0</v>
      </c>
      <c r="AO205" s="20" t="s">
        <v>1173</v>
      </c>
      <c r="AR205" s="20">
        <v>0</v>
      </c>
      <c r="AS205" s="20">
        <v>10112</v>
      </c>
      <c r="AV205" s="20" t="s">
        <v>1174</v>
      </c>
      <c r="AX205" s="20">
        <v>62128510024</v>
      </c>
      <c r="AY205" s="20">
        <v>62035811024</v>
      </c>
      <c r="AZ205" s="20">
        <v>55187694024</v>
      </c>
      <c r="BA205" s="20" t="s">
        <v>1175</v>
      </c>
      <c r="BB205" s="20" t="s">
        <v>1176</v>
      </c>
      <c r="BC205" s="20" t="s">
        <v>1177</v>
      </c>
      <c r="BD205" s="20">
        <v>1</v>
      </c>
      <c r="BE205" s="20">
        <v>0</v>
      </c>
      <c r="BF205" s="20">
        <v>0</v>
      </c>
      <c r="BG205" s="20">
        <v>0</v>
      </c>
      <c r="BN205" s="20" t="s">
        <v>1178</v>
      </c>
      <c r="BV205" s="20">
        <v>0</v>
      </c>
      <c r="CL205" s="20">
        <v>0</v>
      </c>
      <c r="DD205" s="20" t="s">
        <v>1179</v>
      </c>
      <c r="DE205" s="20" t="s">
        <v>1179</v>
      </c>
      <c r="DI205" s="20">
        <v>0</v>
      </c>
      <c r="DP205" s="21" t="s">
        <v>1180</v>
      </c>
      <c r="DQ205" s="21" t="str">
        <f>PartsMaster!$A198</f>
        <v xml:space="preserve">JZN100035  </v>
      </c>
      <c r="DR205" s="21" t="s">
        <v>1181</v>
      </c>
      <c r="DS205" s="21" t="str">
        <f>PartsMaster!$K199&amp;" "&amp;PartsMaster!L199&amp;" "&amp;PartsMaster!$M199</f>
        <v xml:space="preserve">Front Left/Right </v>
      </c>
    </row>
    <row r="206" spans="1:123" ht="30" hidden="1" x14ac:dyDescent="0.25">
      <c r="A206" s="20" t="s">
        <v>1166</v>
      </c>
      <c r="B206" s="20" t="s">
        <v>1167</v>
      </c>
      <c r="C206" s="20" t="s">
        <v>1168</v>
      </c>
      <c r="D206" s="21" t="str">
        <f>PartsMaster!B199&amp;" "&amp;PartsMaster!$C199</f>
        <v>Jaguar XK8 XKR X100 Wheelarch Liner - Pan head torx screw</v>
      </c>
      <c r="E206" s="20">
        <v>3000</v>
      </c>
      <c r="F206" s="20" t="s">
        <v>1182</v>
      </c>
      <c r="H206" s="21">
        <f>PartsMaster!$Q199</f>
        <v>0</v>
      </c>
      <c r="I206" s="20">
        <v>9886</v>
      </c>
      <c r="K206" s="20">
        <v>0</v>
      </c>
      <c r="L206" s="20">
        <v>0</v>
      </c>
      <c r="M206" s="21">
        <f>PartsMaster!$D199</f>
        <v>0</v>
      </c>
      <c r="O206" s="20" t="s">
        <v>1169</v>
      </c>
      <c r="P206" s="23">
        <f>PartsMaster!$S199/1.45</f>
        <v>0</v>
      </c>
      <c r="S206" s="20">
        <v>30</v>
      </c>
      <c r="T206" s="20">
        <v>0</v>
      </c>
      <c r="U206" s="20" t="s">
        <v>1170</v>
      </c>
      <c r="Z206" s="26" t="str">
        <f>"&lt;P&gt;"&amp;PartsMaster!$I199&amp;" "&amp;PartsMaster!$H199&amp;"&lt;/P&gt;"&amp;"&lt;P&gt;Jaguar part name "&amp;PartsMaster!$E199&amp;"&lt;/P&gt;&lt;P&gt;Product numbers "&amp;PartsMaster!R199&amp;" "&amp;DQ206&amp;"&lt;/P&gt;&lt;P&gt;Fits starting from VIN/ModelYear "&amp;PartsMaster!$F199&amp;" until VIN/ModelYear "&amp;PartsMaster!$G199&amp;"&lt;/P&gt;&lt;P&gt;Condition: "&amp;PartsMaster!AB199&amp;"&lt;/P&gt;&lt;P&gt; (part source "&amp;PartsMaster!AD199&amp;")&lt;/P&gt;&lt;P&gt;Notes: "&amp;PartsMaster!AA199&amp;"&lt;/P&gt;"</f>
        <v>&lt;P&gt;Mounting Bolt / Screw&lt;/P&gt;&lt;P&gt;Jaguar part name &lt;/P&gt;&lt;P&gt;Product numbers  JZS100005&lt;/P&gt;&lt;P&gt;Fits starting from VIN/ModelYear  until VIN/ModelYear &lt;/P&gt;&lt;P&gt;Condition: &lt;/P&gt;&lt;P&gt; (part source )&lt;/P&gt;&lt;P&gt;Notes: &lt;/P&gt;</v>
      </c>
      <c r="AA206" s="20" t="s">
        <v>1171</v>
      </c>
      <c r="AC206" s="20">
        <v>0</v>
      </c>
      <c r="AD206" s="20">
        <v>0</v>
      </c>
      <c r="AE206" s="20" t="s">
        <v>1172</v>
      </c>
      <c r="AF206" s="20">
        <v>7</v>
      </c>
      <c r="AG206" s="20">
        <v>0</v>
      </c>
      <c r="AH206" s="20">
        <v>0</v>
      </c>
      <c r="AI206" s="20">
        <v>0</v>
      </c>
      <c r="AJ206" s="20">
        <v>0</v>
      </c>
      <c r="AK206" s="20">
        <v>0</v>
      </c>
      <c r="AO206" s="20" t="s">
        <v>1173</v>
      </c>
      <c r="AR206" s="20">
        <v>0</v>
      </c>
      <c r="AS206" s="20">
        <v>10112</v>
      </c>
      <c r="AV206" s="20" t="s">
        <v>1174</v>
      </c>
      <c r="AX206" s="20">
        <v>62128510024</v>
      </c>
      <c r="AY206" s="20">
        <v>62035811024</v>
      </c>
      <c r="AZ206" s="20">
        <v>55187694024</v>
      </c>
      <c r="BA206" s="20" t="s">
        <v>1175</v>
      </c>
      <c r="BB206" s="20" t="s">
        <v>1176</v>
      </c>
      <c r="BC206" s="20" t="s">
        <v>1177</v>
      </c>
      <c r="BD206" s="20">
        <v>1</v>
      </c>
      <c r="BE206" s="20">
        <v>0</v>
      </c>
      <c r="BF206" s="20">
        <v>0</v>
      </c>
      <c r="BG206" s="20">
        <v>0</v>
      </c>
      <c r="BN206" s="20" t="s">
        <v>1178</v>
      </c>
      <c r="BV206" s="20">
        <v>0</v>
      </c>
      <c r="CL206" s="20">
        <v>0</v>
      </c>
      <c r="DD206" s="20" t="s">
        <v>1179</v>
      </c>
      <c r="DE206" s="20" t="s">
        <v>1179</v>
      </c>
      <c r="DI206" s="20">
        <v>0</v>
      </c>
      <c r="DP206" s="21" t="s">
        <v>1180</v>
      </c>
      <c r="DQ206" s="21" t="str">
        <f>PartsMaster!$A199</f>
        <v>JZS100005</v>
      </c>
      <c r="DR206" s="21" t="s">
        <v>1181</v>
      </c>
      <c r="DS206" s="21" t="str">
        <f>PartsMaster!$K200&amp;" "&amp;PartsMaster!L200&amp;" "&amp;PartsMaster!$M200</f>
        <v xml:space="preserve">  </v>
      </c>
    </row>
    <row r="207" spans="1:123" ht="45" x14ac:dyDescent="0.25">
      <c r="A207" s="20" t="s">
        <v>1166</v>
      </c>
      <c r="B207" s="20" t="s">
        <v>1167</v>
      </c>
      <c r="C207" s="20" t="s">
        <v>1168</v>
      </c>
      <c r="D207" s="21" t="str">
        <f>PartsMaster!B209&amp;" "&amp;PartsMaster!$C209</f>
        <v>Jaguar XK8 XKR X100 Alternator Cooling/air Duct  (check VIN Ranges!)</v>
      </c>
      <c r="E207" s="20">
        <v>3000</v>
      </c>
      <c r="F207" s="20" t="s">
        <v>1182</v>
      </c>
      <c r="H207" s="21">
        <f>PartsMaster!$Q209</f>
        <v>0</v>
      </c>
      <c r="I207" s="20">
        <v>9886</v>
      </c>
      <c r="K207" s="20">
        <v>0</v>
      </c>
      <c r="L207" s="20">
        <v>0</v>
      </c>
      <c r="M207" s="21">
        <f>PartsMaster!$D209</f>
        <v>0</v>
      </c>
      <c r="O207" s="20" t="s">
        <v>1169</v>
      </c>
      <c r="P207" s="23">
        <f>PartsMaster!$S209/1.45</f>
        <v>0</v>
      </c>
      <c r="S207" s="20">
        <v>30</v>
      </c>
      <c r="T207" s="20">
        <v>0</v>
      </c>
      <c r="U207" s="20" t="s">
        <v>1170</v>
      </c>
      <c r="Z207" s="26" t="str">
        <f>"&lt;P&gt;"&amp;PartsMaster!$I209&amp;" "&amp;PartsMaster!$H209&amp;"&lt;/P&gt;"&amp;"&lt;P&gt;Jaguar part name "&amp;PartsMaster!$E209&amp;"&lt;/P&gt;&lt;P&gt;Product numbers "&amp;PartsMaster!R209&amp;" "&amp;DQ207&amp;"&lt;/P&gt;&lt;P&gt;Fits starting from VIN/ModelYear "&amp;PartsMaster!$F209&amp;" until VIN/ModelYear "&amp;PartsMaster!$G209&amp;"&lt;/P&gt;&lt;P&gt;Condition: "&amp;PartsMaster!AB209&amp;"&lt;/P&gt;&lt;P&gt; (part source "&amp;PartsMaster!AD209&amp;")&lt;/P&gt;&lt;P&gt;Notes: "&amp;PartsMaster!AA209&amp;"&lt;/P&gt;"</f>
        <v>&lt;P&gt;Air Circulation Hose / Pipe / Duct&lt;/P&gt;&lt;P&gt;Jaguar part name Alternator cooling duct&lt;/P&gt;&lt;P&gt;Product numbers  LJA1810CA
LJA1810BA
LJB1810AA&lt;/P&gt;&lt;P&gt;Fits starting from VIN/ModelYear  Xj8 XJR X308 XK8 XKR 1997 until VIN/ModelYear  Xj8 XJR X308 XK8 XKR 2002&lt;/P&gt;&lt;P&gt;Condition: &lt;/P&gt;&lt;P&gt; (part source )&lt;/P&gt;&lt;P&gt;Notes: &lt;/P&gt;</v>
      </c>
      <c r="AA207" s="20" t="s">
        <v>1171</v>
      </c>
      <c r="AC207" s="20">
        <v>0</v>
      </c>
      <c r="AD207" s="20">
        <v>0</v>
      </c>
      <c r="AE207" s="20" t="s">
        <v>1172</v>
      </c>
      <c r="AF207" s="20">
        <v>7</v>
      </c>
      <c r="AG207" s="20">
        <v>0</v>
      </c>
      <c r="AH207" s="20">
        <v>0</v>
      </c>
      <c r="AI207" s="20">
        <v>0</v>
      </c>
      <c r="AJ207" s="20">
        <v>0</v>
      </c>
      <c r="AK207" s="20">
        <v>0</v>
      </c>
      <c r="AO207" s="20" t="s">
        <v>1173</v>
      </c>
      <c r="AR207" s="20">
        <v>0</v>
      </c>
      <c r="AS207" s="20">
        <v>10112</v>
      </c>
      <c r="AV207" s="20" t="s">
        <v>1174</v>
      </c>
      <c r="AX207" s="20">
        <v>62128510024</v>
      </c>
      <c r="AY207" s="20">
        <v>62035811024</v>
      </c>
      <c r="AZ207" s="20">
        <v>55187694024</v>
      </c>
      <c r="BA207" s="20" t="s">
        <v>1175</v>
      </c>
      <c r="BB207" s="20" t="s">
        <v>1176</v>
      </c>
      <c r="BC207" s="20" t="s">
        <v>1177</v>
      </c>
      <c r="BD207" s="20">
        <v>1</v>
      </c>
      <c r="BE207" s="20">
        <v>0</v>
      </c>
      <c r="BF207" s="20">
        <v>0</v>
      </c>
      <c r="BG207" s="20">
        <v>0</v>
      </c>
      <c r="BN207" s="20" t="s">
        <v>1178</v>
      </c>
      <c r="BV207" s="20">
        <v>0</v>
      </c>
      <c r="CL207" s="20">
        <v>0</v>
      </c>
      <c r="DD207" s="20" t="s">
        <v>1179</v>
      </c>
      <c r="DE207" s="20" t="s">
        <v>1179</v>
      </c>
      <c r="DI207" s="20">
        <v>0</v>
      </c>
      <c r="DP207" s="21" t="s">
        <v>1180</v>
      </c>
      <c r="DQ207" s="21" t="str">
        <f>PartsMaster!$A209</f>
        <v>LJA1810CA
LJA1810BA
LJB1810AA</v>
      </c>
      <c r="DR207" s="21" t="s">
        <v>1181</v>
      </c>
      <c r="DS207" s="21" t="str">
        <f>PartsMaster!$K210&amp;" "&amp;PartsMaster!L210&amp;" "&amp;PartsMaster!$M210</f>
        <v xml:space="preserve">Front LeftRight </v>
      </c>
    </row>
    <row r="208" spans="1:123" ht="30" x14ac:dyDescent="0.25">
      <c r="A208" s="20" t="s">
        <v>1166</v>
      </c>
      <c r="B208" s="20" t="s">
        <v>1167</v>
      </c>
      <c r="C208" s="20" t="s">
        <v>1168</v>
      </c>
      <c r="D208" s="21" t="str">
        <f>PartsMaster!B202&amp;" "&amp;PartsMaster!$C202</f>
        <v>Jaguar XK8 XKR X100 O-RING TIMING COVER</v>
      </c>
      <c r="E208" s="20">
        <v>3000</v>
      </c>
      <c r="F208" s="20" t="s">
        <v>1182</v>
      </c>
      <c r="H208" s="21" t="str">
        <f>PartsMaster!$Q202</f>
        <v>O-RING TIMING COVER</v>
      </c>
      <c r="I208" s="20">
        <v>9886</v>
      </c>
      <c r="K208" s="20">
        <v>0</v>
      </c>
      <c r="L208" s="20">
        <v>0</v>
      </c>
      <c r="M208" s="21">
        <f>PartsMaster!$D202</f>
        <v>0</v>
      </c>
      <c r="O208" s="20" t="s">
        <v>1169</v>
      </c>
      <c r="P208" s="23">
        <f>PartsMaster!$S202/1.45</f>
        <v>0</v>
      </c>
      <c r="S208" s="20">
        <v>30</v>
      </c>
      <c r="T208" s="20">
        <v>0</v>
      </c>
      <c r="U208" s="20" t="s">
        <v>1170</v>
      </c>
      <c r="Z208" s="26" t="str">
        <f>"&lt;P&gt;"&amp;PartsMaster!$I202&amp;" "&amp;PartsMaster!$H202&amp;"&lt;/P&gt;"&amp;"&lt;P&gt;Jaguar part name "&amp;PartsMaster!$E202&amp;"&lt;/P&gt;&lt;P&gt;Product numbers "&amp;PartsMaster!R202&amp;" "&amp;DQ208&amp;"&lt;/P&gt;&lt;P&gt;Fits starting from VIN/ModelYear "&amp;PartsMaster!$F202&amp;" until VIN/ModelYear "&amp;PartsMaster!$G202&amp;"&lt;/P&gt;&lt;P&gt;Condition: "&amp;PartsMaster!AB202&amp;"&lt;/P&gt;&lt;P&gt; (part source "&amp;PartsMaster!AD202&amp;")&lt;/P&gt;&lt;P&gt;Notes: "&amp;PartsMaster!AA202&amp;"&lt;/P&gt;"</f>
        <v>&lt;P&gt;Engine Oil Gasket / Seal / O-Ring&lt;/P&gt;&lt;P&gt;Jaguar part name &lt;/P&gt;&lt;P&gt;Product numbers KSC145624 KSC145624&lt;/P&gt;&lt;P&gt;Fits starting from VIN/ModelYear  until VIN/ModelYear &lt;/P&gt;&lt;P&gt;Condition: British Parts&lt;/P&gt;&lt;P&gt; (part source )&lt;/P&gt;&lt;P&gt;Notes: &lt;/P&gt;</v>
      </c>
      <c r="AA208" s="20" t="s">
        <v>1171</v>
      </c>
      <c r="AC208" s="20">
        <v>0</v>
      </c>
      <c r="AD208" s="20">
        <v>0</v>
      </c>
      <c r="AE208" s="20" t="s">
        <v>1172</v>
      </c>
      <c r="AF208" s="20">
        <v>7</v>
      </c>
      <c r="AG208" s="20">
        <v>0</v>
      </c>
      <c r="AH208" s="20">
        <v>0</v>
      </c>
      <c r="AI208" s="20">
        <v>0</v>
      </c>
      <c r="AJ208" s="20">
        <v>0</v>
      </c>
      <c r="AK208" s="20">
        <v>0</v>
      </c>
      <c r="AO208" s="20" t="s">
        <v>1173</v>
      </c>
      <c r="AR208" s="20">
        <v>0</v>
      </c>
      <c r="AS208" s="20">
        <v>10112</v>
      </c>
      <c r="AV208" s="20" t="s">
        <v>1174</v>
      </c>
      <c r="AX208" s="20">
        <v>62128510024</v>
      </c>
      <c r="AY208" s="20">
        <v>62035811024</v>
      </c>
      <c r="AZ208" s="20">
        <v>55187694024</v>
      </c>
      <c r="BA208" s="20" t="s">
        <v>1175</v>
      </c>
      <c r="BB208" s="20" t="s">
        <v>1176</v>
      </c>
      <c r="BC208" s="20" t="s">
        <v>1177</v>
      </c>
      <c r="BD208" s="20">
        <v>1</v>
      </c>
      <c r="BE208" s="20">
        <v>0</v>
      </c>
      <c r="BF208" s="20">
        <v>0</v>
      </c>
      <c r="BG208" s="20">
        <v>0</v>
      </c>
      <c r="BN208" s="20" t="s">
        <v>1178</v>
      </c>
      <c r="BV208" s="20">
        <v>0</v>
      </c>
      <c r="CL208" s="20">
        <v>0</v>
      </c>
      <c r="DD208" s="20" t="s">
        <v>1179</v>
      </c>
      <c r="DE208" s="20" t="s">
        <v>1179</v>
      </c>
      <c r="DI208" s="20">
        <v>0</v>
      </c>
      <c r="DP208" s="21" t="s">
        <v>1180</v>
      </c>
      <c r="DQ208" s="21" t="str">
        <f>PartsMaster!$A202</f>
        <v>KSC145624</v>
      </c>
      <c r="DR208" s="21" t="s">
        <v>1181</v>
      </c>
      <c r="DS208" s="21" t="str">
        <f>PartsMaster!$K203&amp;" "&amp;PartsMaster!L203&amp;" "&amp;PartsMaster!$M203</f>
        <v xml:space="preserve">Front Left/Right </v>
      </c>
    </row>
    <row r="209" spans="1:123" ht="30" x14ac:dyDescent="0.25">
      <c r="A209" s="20" t="s">
        <v>1166</v>
      </c>
      <c r="B209" s="20" t="s">
        <v>1167</v>
      </c>
      <c r="C209" s="20" t="s">
        <v>1168</v>
      </c>
      <c r="D209" s="21" t="str">
        <f>PartsMaster!B210&amp;" "&amp;PartsMaster!$C210</f>
        <v>Jaguar XK8 XKR X100 Door Module</v>
      </c>
      <c r="E209" s="20">
        <v>3000</v>
      </c>
      <c r="F209" s="20" t="s">
        <v>1182</v>
      </c>
      <c r="H209" s="21" t="str">
        <f>PartsMaster!$Q210</f>
        <v>Door Module</v>
      </c>
      <c r="I209" s="20">
        <v>9886</v>
      </c>
      <c r="K209" s="20">
        <v>0</v>
      </c>
      <c r="L209" s="20">
        <v>0</v>
      </c>
      <c r="M209" s="21">
        <f>PartsMaster!$D210</f>
        <v>0</v>
      </c>
      <c r="O209" s="20" t="s">
        <v>1169</v>
      </c>
      <c r="P209" s="23">
        <f>PartsMaster!$S210/1.45</f>
        <v>24.137931034482758</v>
      </c>
      <c r="S209" s="20">
        <v>30</v>
      </c>
      <c r="T209" s="20">
        <v>0</v>
      </c>
      <c r="U209" s="20" t="s">
        <v>1170</v>
      </c>
      <c r="Z209" s="26" t="str">
        <f>"&lt;P&gt;"&amp;PartsMaster!$I210&amp;" "&amp;PartsMaster!$H210&amp;"&lt;/P&gt;"&amp;"&lt;P&gt;Jaguar part name "&amp;PartsMaster!$E210&amp;"&lt;/P&gt;&lt;P&gt;Product numbers "&amp;PartsMaster!R210&amp;" "&amp;DQ209&amp;"&lt;/P&gt;&lt;P&gt;Fits starting from VIN/ModelYear "&amp;PartsMaster!$F210&amp;" until VIN/ModelYear "&amp;PartsMaster!$G210&amp;"&lt;/P&gt;&lt;P&gt;Condition: "&amp;PartsMaster!AB210&amp;"&lt;/P&gt;&lt;P&gt; (part source "&amp;PartsMaster!AD210&amp;")&lt;/P&gt;&lt;P&gt;Notes: "&amp;PartsMaster!AA210&amp;"&lt;/P&gt;"</f>
        <v>&lt;P&gt;Controller Controller&lt;/P&gt;&lt;P&gt;Jaguar part name INFORMATION SYSTEMS AND CONTROLS/INFORMATION SYSTEM CONTROL MODULE - Door Module&lt;/P&gt;&lt;P&gt;Product numbers JLA2120AJ LJA2120AG-001&lt;/P&gt;&lt;P&gt;Fits starting from VIN/ModelYear 1996 until VIN/ModelYear A21852&lt;/P&gt;&lt;P&gt;Condition: Dismantled from bottom &amp; engine damaged MY1997 XK8 Convertible VIN 0136xx&lt;/P&gt;&lt;P&gt; (part source KK)&lt;/P&gt;&lt;P&gt;Notes: SN#1 A012803, SN#2 A012848&lt;/P&gt;</v>
      </c>
      <c r="AA209" s="20" t="s">
        <v>1171</v>
      </c>
      <c r="AC209" s="20">
        <v>0</v>
      </c>
      <c r="AD209" s="20">
        <v>0</v>
      </c>
      <c r="AE209" s="20" t="s">
        <v>1172</v>
      </c>
      <c r="AF209" s="20">
        <v>7</v>
      </c>
      <c r="AG209" s="20">
        <v>0</v>
      </c>
      <c r="AH209" s="20">
        <v>0</v>
      </c>
      <c r="AI209" s="20">
        <v>0</v>
      </c>
      <c r="AJ209" s="20">
        <v>0</v>
      </c>
      <c r="AK209" s="20">
        <v>0</v>
      </c>
      <c r="AO209" s="20" t="s">
        <v>1173</v>
      </c>
      <c r="AR209" s="20">
        <v>0</v>
      </c>
      <c r="AS209" s="20">
        <v>10112</v>
      </c>
      <c r="AV209" s="20" t="s">
        <v>1174</v>
      </c>
      <c r="AX209" s="20">
        <v>62128510024</v>
      </c>
      <c r="AY209" s="20">
        <v>62035811024</v>
      </c>
      <c r="AZ209" s="20">
        <v>55187694024</v>
      </c>
      <c r="BA209" s="20" t="s">
        <v>1175</v>
      </c>
      <c r="BB209" s="20" t="s">
        <v>1176</v>
      </c>
      <c r="BC209" s="20" t="s">
        <v>1177</v>
      </c>
      <c r="BD209" s="20">
        <v>1</v>
      </c>
      <c r="BE209" s="20">
        <v>0</v>
      </c>
      <c r="BF209" s="20">
        <v>0</v>
      </c>
      <c r="BG209" s="20">
        <v>0</v>
      </c>
      <c r="BN209" s="20" t="s">
        <v>1178</v>
      </c>
      <c r="BV209" s="20">
        <v>0</v>
      </c>
      <c r="CL209" s="20">
        <v>0</v>
      </c>
      <c r="DD209" s="20" t="s">
        <v>1179</v>
      </c>
      <c r="DE209" s="20" t="s">
        <v>1179</v>
      </c>
      <c r="DI209" s="20">
        <v>0</v>
      </c>
      <c r="DP209" s="21" t="s">
        <v>1180</v>
      </c>
      <c r="DQ209" s="21" t="str">
        <f>PartsMaster!$A210</f>
        <v>LJA2120AG-001</v>
      </c>
      <c r="DR209" s="21" t="s">
        <v>1181</v>
      </c>
      <c r="DS209" s="21" t="str">
        <f>PartsMaster!$K211&amp;" "&amp;PartsMaster!L211&amp;" "&amp;PartsMaster!$M211</f>
        <v>Front/Rear Left/Right NA</v>
      </c>
    </row>
    <row r="210" spans="1:123" ht="30" hidden="1" x14ac:dyDescent="0.25">
      <c r="A210" s="20" t="s">
        <v>1166</v>
      </c>
      <c r="B210" s="20" t="s">
        <v>1167</v>
      </c>
      <c r="C210" s="20" t="s">
        <v>1168</v>
      </c>
      <c r="D210" s="21" t="str">
        <f>PartsMaster!B203&amp;" "&amp;PartsMaster!$C203</f>
        <v>Jaguar XK8 XKR X100 Wheelarch Liner Service hole cover Panel Clip</v>
      </c>
      <c r="E210" s="20">
        <v>3000</v>
      </c>
      <c r="F210" s="20" t="s">
        <v>1182</v>
      </c>
      <c r="H210" s="21" t="str">
        <f>PartsMaster!$Q203</f>
        <v xml:space="preserve">CLIP-ARROW H </v>
      </c>
      <c r="I210" s="20">
        <v>9886</v>
      </c>
      <c r="K210" s="20">
        <v>0</v>
      </c>
      <c r="L210" s="20">
        <v>0</v>
      </c>
      <c r="M210" s="21">
        <f>PartsMaster!$D203</f>
        <v>0</v>
      </c>
      <c r="O210" s="20" t="s">
        <v>1169</v>
      </c>
      <c r="P210" s="23">
        <f>PartsMaster!$S203/1.45</f>
        <v>0</v>
      </c>
      <c r="S210" s="20">
        <v>30</v>
      </c>
      <c r="T210" s="20">
        <v>0</v>
      </c>
      <c r="U210" s="20" t="s">
        <v>1170</v>
      </c>
      <c r="Z210" s="26" t="str">
        <f>"&lt;P&gt;"&amp;PartsMaster!$I203&amp;" "&amp;PartsMaster!$H203&amp;"&lt;/P&gt;"&amp;"&lt;P&gt;Jaguar part name "&amp;PartsMaster!$E203&amp;"&lt;/P&gt;&lt;P&gt;Product numbers "&amp;PartsMaster!R203&amp;" "&amp;DQ210&amp;"&lt;/P&gt;&lt;P&gt;Fits starting from VIN/ModelYear "&amp;PartsMaster!$F203&amp;" until VIN/ModelYear "&amp;PartsMaster!$G203&amp;"&lt;/P&gt;&lt;P&gt;Condition: "&amp;PartsMaster!AB203&amp;"&lt;/P&gt;&lt;P&gt; (part source "&amp;PartsMaster!AD203&amp;")&lt;/P&gt;&lt;P&gt;Notes: "&amp;PartsMaster!AA203&amp;"&lt;/P&gt;"</f>
        <v>&lt;P&gt;Cap / Cover Clip / Fastener / Fir-tree / Rivet&lt;/P&gt;&lt;P&gt;Jaguar part name Clip AccessPanel &lt;/P&gt;&lt;P&gt;Product numbers KTF100003  KTF100003&lt;/P&gt;&lt;P&gt;Fits starting from VIN/ModelYear  until VIN/ModelYear &lt;/P&gt;&lt;P&gt;Condition: SNG Barratt&lt;/P&gt;&lt;P&gt; (part source )&lt;/P&gt;&lt;P&gt;Notes: &lt;/P&gt;</v>
      </c>
      <c r="AA210" s="20" t="s">
        <v>1171</v>
      </c>
      <c r="AC210" s="20">
        <v>0</v>
      </c>
      <c r="AD210" s="20">
        <v>0</v>
      </c>
      <c r="AE210" s="20" t="s">
        <v>1172</v>
      </c>
      <c r="AF210" s="20">
        <v>7</v>
      </c>
      <c r="AG210" s="20">
        <v>0</v>
      </c>
      <c r="AH210" s="20">
        <v>0</v>
      </c>
      <c r="AI210" s="20">
        <v>0</v>
      </c>
      <c r="AJ210" s="20">
        <v>0</v>
      </c>
      <c r="AK210" s="20">
        <v>0</v>
      </c>
      <c r="AO210" s="20" t="s">
        <v>1173</v>
      </c>
      <c r="AR210" s="20">
        <v>0</v>
      </c>
      <c r="AS210" s="20">
        <v>10112</v>
      </c>
      <c r="AV210" s="20" t="s">
        <v>1174</v>
      </c>
      <c r="AX210" s="20">
        <v>62128510024</v>
      </c>
      <c r="AY210" s="20">
        <v>62035811024</v>
      </c>
      <c r="AZ210" s="20">
        <v>55187694024</v>
      </c>
      <c r="BA210" s="20" t="s">
        <v>1175</v>
      </c>
      <c r="BB210" s="20" t="s">
        <v>1176</v>
      </c>
      <c r="BC210" s="20" t="s">
        <v>1177</v>
      </c>
      <c r="BD210" s="20">
        <v>1</v>
      </c>
      <c r="BE210" s="20">
        <v>0</v>
      </c>
      <c r="BF210" s="20">
        <v>0</v>
      </c>
      <c r="BG210" s="20">
        <v>0</v>
      </c>
      <c r="BN210" s="20" t="s">
        <v>1178</v>
      </c>
      <c r="BV210" s="20">
        <v>0</v>
      </c>
      <c r="CL210" s="20">
        <v>0</v>
      </c>
      <c r="DD210" s="20" t="s">
        <v>1179</v>
      </c>
      <c r="DE210" s="20" t="s">
        <v>1179</v>
      </c>
      <c r="DI210" s="20">
        <v>0</v>
      </c>
      <c r="DP210" s="21" t="s">
        <v>1180</v>
      </c>
      <c r="DQ210" s="21" t="str">
        <f>PartsMaster!$A203</f>
        <v>KTF100003</v>
      </c>
      <c r="DR210" s="21" t="s">
        <v>1181</v>
      </c>
      <c r="DS210" s="21" t="str">
        <f>PartsMaster!$K204&amp;" "&amp;PartsMaster!L204&amp;" "&amp;PartsMaster!$M204</f>
        <v xml:space="preserve">Front Right </v>
      </c>
    </row>
    <row r="211" spans="1:123" ht="30" hidden="1" x14ac:dyDescent="0.25">
      <c r="A211" s="20" t="s">
        <v>1166</v>
      </c>
      <c r="B211" s="20" t="s">
        <v>1167</v>
      </c>
      <c r="C211" s="20" t="s">
        <v>1168</v>
      </c>
      <c r="D211" s="21" t="str">
        <f>PartsMaster!B204&amp;" "&amp;PartsMaster!$C204</f>
        <v>Jaguar XK8 XKR X100 Seat Switch</v>
      </c>
      <c r="E211" s="20">
        <v>3000</v>
      </c>
      <c r="F211" s="20" t="s">
        <v>1182</v>
      </c>
      <c r="H211" s="21">
        <f>PartsMaster!$Q204</f>
        <v>0</v>
      </c>
      <c r="I211" s="20">
        <v>9886</v>
      </c>
      <c r="K211" s="20">
        <v>0</v>
      </c>
      <c r="L211" s="20">
        <v>0</v>
      </c>
      <c r="M211" s="21">
        <f>PartsMaster!$D204</f>
        <v>0</v>
      </c>
      <c r="O211" s="20" t="s">
        <v>1169</v>
      </c>
      <c r="P211" s="23">
        <f>PartsMaster!$S204/1.45</f>
        <v>0</v>
      </c>
      <c r="S211" s="20">
        <v>30</v>
      </c>
      <c r="T211" s="20">
        <v>0</v>
      </c>
      <c r="U211" s="20" t="s">
        <v>1170</v>
      </c>
      <c r="Z211" s="26" t="str">
        <f>"&lt;P&gt;"&amp;PartsMaster!$I204&amp;" "&amp;PartsMaster!$H204&amp;"&lt;/P&gt;"&amp;"&lt;P&gt;Jaguar part name "&amp;PartsMaster!$E204&amp;"&lt;/P&gt;&lt;P&gt;Product numbers "&amp;PartsMaster!R204&amp;" "&amp;DQ211&amp;"&lt;/P&gt;&lt;P&gt;Fits starting from VIN/ModelYear "&amp;PartsMaster!$F204&amp;" until VIN/ModelYear "&amp;PartsMaster!$G204&amp;"&lt;/P&gt;&lt;P&gt;Condition: "&amp;PartsMaster!AB204&amp;"&lt;/P&gt;&lt;P&gt; (part source "&amp;PartsMaster!AD204&amp;")&lt;/P&gt;&lt;P&gt;Notes: "&amp;PartsMaster!AA204&amp;"&lt;/P&gt;"</f>
        <v>&lt;P&gt;Electrical Switch / Panel Switch &lt;/P&gt;&lt;P&gt;Jaguar part name &lt;/P&gt;&lt;P&gt;Product numbers LJA 6035BA  LJA 6035BA &lt;/P&gt;&lt;P&gt;Fits starting from VIN/ModelYear  until VIN/ModelYear &lt;/P&gt;&lt;P&gt;Condition: eBay&lt;/P&gt;&lt;P&gt; (part source )&lt;/P&gt;&lt;P&gt;Notes: &lt;/P&gt;</v>
      </c>
      <c r="AA211" s="20" t="s">
        <v>1171</v>
      </c>
      <c r="AC211" s="20">
        <v>0</v>
      </c>
      <c r="AD211" s="20">
        <v>0</v>
      </c>
      <c r="AE211" s="20" t="s">
        <v>1172</v>
      </c>
      <c r="AF211" s="20">
        <v>7</v>
      </c>
      <c r="AG211" s="20">
        <v>0</v>
      </c>
      <c r="AH211" s="20">
        <v>0</v>
      </c>
      <c r="AI211" s="20">
        <v>0</v>
      </c>
      <c r="AJ211" s="20">
        <v>0</v>
      </c>
      <c r="AK211" s="20">
        <v>0</v>
      </c>
      <c r="AO211" s="20" t="s">
        <v>1173</v>
      </c>
      <c r="AR211" s="20">
        <v>0</v>
      </c>
      <c r="AS211" s="20">
        <v>10112</v>
      </c>
      <c r="AV211" s="20" t="s">
        <v>1174</v>
      </c>
      <c r="AX211" s="20">
        <v>62128510024</v>
      </c>
      <c r="AY211" s="20">
        <v>62035811024</v>
      </c>
      <c r="AZ211" s="20">
        <v>55187694024</v>
      </c>
      <c r="BA211" s="20" t="s">
        <v>1175</v>
      </c>
      <c r="BB211" s="20" t="s">
        <v>1176</v>
      </c>
      <c r="BC211" s="20" t="s">
        <v>1177</v>
      </c>
      <c r="BD211" s="20">
        <v>1</v>
      </c>
      <c r="BE211" s="20">
        <v>0</v>
      </c>
      <c r="BF211" s="20">
        <v>0</v>
      </c>
      <c r="BG211" s="20">
        <v>0</v>
      </c>
      <c r="BN211" s="20" t="s">
        <v>1178</v>
      </c>
      <c r="BV211" s="20">
        <v>0</v>
      </c>
      <c r="CL211" s="20">
        <v>0</v>
      </c>
      <c r="DD211" s="20" t="s">
        <v>1179</v>
      </c>
      <c r="DE211" s="20" t="s">
        <v>1179</v>
      </c>
      <c r="DI211" s="20">
        <v>0</v>
      </c>
      <c r="DP211" s="21" t="s">
        <v>1180</v>
      </c>
      <c r="DQ211" s="21" t="str">
        <f>PartsMaster!$A204</f>
        <v xml:space="preserve">LJA 6035BA </v>
      </c>
      <c r="DR211" s="21" t="s">
        <v>1181</v>
      </c>
      <c r="DS211" s="21" t="str">
        <f>PartsMaster!$K205&amp;" "&amp;PartsMaster!L205&amp;" "&amp;PartsMaster!$M205</f>
        <v xml:space="preserve">Front Right </v>
      </c>
    </row>
    <row r="212" spans="1:123" ht="30" hidden="1" x14ac:dyDescent="0.25">
      <c r="A212" s="20" t="s">
        <v>1166</v>
      </c>
      <c r="B212" s="20" t="s">
        <v>1167</v>
      </c>
      <c r="C212" s="20" t="s">
        <v>1168</v>
      </c>
      <c r="D212" s="21" t="str">
        <f>PartsMaster!B205&amp;" "&amp;PartsMaster!$C205</f>
        <v>Jaguar XK8 XKR X100 Cruise control vacuum module</v>
      </c>
      <c r="E212" s="20">
        <v>3000</v>
      </c>
      <c r="F212" s="20" t="s">
        <v>1182</v>
      </c>
      <c r="H212" s="21" t="str">
        <f>PartsMaster!$Q205</f>
        <v>Cruise control vacuum module</v>
      </c>
      <c r="I212" s="20">
        <v>9886</v>
      </c>
      <c r="K212" s="20">
        <v>0</v>
      </c>
      <c r="L212" s="20">
        <v>0</v>
      </c>
      <c r="M212" s="21">
        <f>PartsMaster!$D205</f>
        <v>0</v>
      </c>
      <c r="O212" s="20" t="s">
        <v>1169</v>
      </c>
      <c r="P212" s="23">
        <f>PartsMaster!$S205/1.45</f>
        <v>0</v>
      </c>
      <c r="S212" s="20">
        <v>30</v>
      </c>
      <c r="T212" s="20">
        <v>0</v>
      </c>
      <c r="U212" s="20" t="s">
        <v>1170</v>
      </c>
      <c r="Z212" s="26" t="str">
        <f>"&lt;P&gt;"&amp;PartsMaster!$I205&amp;" "&amp;PartsMaster!$H205&amp;"&lt;/P&gt;"&amp;"&lt;P&gt;Jaguar part name "&amp;PartsMaster!$E205&amp;"&lt;/P&gt;&lt;P&gt;Product numbers "&amp;PartsMaster!R205&amp;" "&amp;DQ212&amp;"&lt;/P&gt;&lt;P&gt;Fits starting from VIN/ModelYear "&amp;PartsMaster!$F205&amp;" until VIN/ModelYear "&amp;PartsMaster!$G205&amp;"&lt;/P&gt;&lt;P&gt;Condition: "&amp;PartsMaster!AB205&amp;"&lt;/P&gt;&lt;P&gt; (part source "&amp;PartsMaster!AD205&amp;")&lt;/P&gt;&lt;P&gt;Notes: "&amp;PartsMaster!AA205&amp;"&lt;/P&gt;"</f>
        <v>&lt;P&gt;Cruise control Speed control&lt;/P&gt;&lt;P&gt;Jaguar part name AIR AND FUEL DELIVERY SYSTEM/SPEED CONTROL SYSTEM - Speed control eqipment&lt;/P&gt;&lt;P&gt;Product numbers LJA1530BB LJA1530BB&lt;/P&gt;&lt;P&gt;Fits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212" s="20" t="s">
        <v>1171</v>
      </c>
      <c r="AC212" s="20">
        <v>0</v>
      </c>
      <c r="AD212" s="20">
        <v>0</v>
      </c>
      <c r="AE212" s="20" t="s">
        <v>1172</v>
      </c>
      <c r="AF212" s="20">
        <v>7</v>
      </c>
      <c r="AG212" s="20">
        <v>0</v>
      </c>
      <c r="AH212" s="20">
        <v>0</v>
      </c>
      <c r="AI212" s="20">
        <v>0</v>
      </c>
      <c r="AJ212" s="20">
        <v>0</v>
      </c>
      <c r="AK212" s="20">
        <v>0</v>
      </c>
      <c r="AO212" s="20" t="s">
        <v>1173</v>
      </c>
      <c r="AR212" s="20">
        <v>0</v>
      </c>
      <c r="AS212" s="20">
        <v>10112</v>
      </c>
      <c r="AV212" s="20" t="s">
        <v>1174</v>
      </c>
      <c r="AX212" s="20">
        <v>62128510024</v>
      </c>
      <c r="AY212" s="20">
        <v>62035811024</v>
      </c>
      <c r="AZ212" s="20">
        <v>55187694024</v>
      </c>
      <c r="BA212" s="20" t="s">
        <v>1175</v>
      </c>
      <c r="BB212" s="20" t="s">
        <v>1176</v>
      </c>
      <c r="BC212" s="20" t="s">
        <v>1177</v>
      </c>
      <c r="BD212" s="20">
        <v>1</v>
      </c>
      <c r="BE212" s="20">
        <v>0</v>
      </c>
      <c r="BF212" s="20">
        <v>0</v>
      </c>
      <c r="BG212" s="20">
        <v>0</v>
      </c>
      <c r="BN212" s="20" t="s">
        <v>1178</v>
      </c>
      <c r="BV212" s="20">
        <v>0</v>
      </c>
      <c r="CL212" s="20">
        <v>0</v>
      </c>
      <c r="DD212" s="20" t="s">
        <v>1179</v>
      </c>
      <c r="DE212" s="20" t="s">
        <v>1179</v>
      </c>
      <c r="DI212" s="20">
        <v>0</v>
      </c>
      <c r="DP212" s="21" t="s">
        <v>1180</v>
      </c>
      <c r="DQ212" s="21" t="str">
        <f>PartsMaster!$A205</f>
        <v>LJA1530BB</v>
      </c>
      <c r="DR212" s="21" t="s">
        <v>1181</v>
      </c>
      <c r="DS212" s="21" t="str">
        <f>PartsMaster!$K206&amp;" "&amp;PartsMaster!L206&amp;" "&amp;PartsMaster!$M206</f>
        <v xml:space="preserve">  Top</v>
      </c>
    </row>
    <row r="213" spans="1:123" ht="30" hidden="1" x14ac:dyDescent="0.25">
      <c r="A213" s="20" t="s">
        <v>1166</v>
      </c>
      <c r="B213" s="20" t="s">
        <v>1167</v>
      </c>
      <c r="C213" s="20" t="s">
        <v>1168</v>
      </c>
      <c r="D213" s="21" t="str">
        <f>PartsMaster!B206&amp;" "&amp;PartsMaster!$C206</f>
        <v>Jaguar XK8 XKR X100 Lambda Sensor (Jaguar)</v>
      </c>
      <c r="E213" s="20">
        <v>3000</v>
      </c>
      <c r="F213" s="20" t="s">
        <v>1182</v>
      </c>
      <c r="H213" s="21">
        <f>PartsMaster!$Q206</f>
        <v>0</v>
      </c>
      <c r="I213" s="20">
        <v>9886</v>
      </c>
      <c r="K213" s="20">
        <v>0</v>
      </c>
      <c r="L213" s="20">
        <v>0</v>
      </c>
      <c r="M213" s="21">
        <f>PartsMaster!$D206</f>
        <v>0</v>
      </c>
      <c r="O213" s="20" t="s">
        <v>1169</v>
      </c>
      <c r="P213" s="23">
        <f>PartsMaster!$S206/1.45</f>
        <v>0</v>
      </c>
      <c r="S213" s="20">
        <v>30</v>
      </c>
      <c r="T213" s="20">
        <v>0</v>
      </c>
      <c r="U213" s="20" t="s">
        <v>1170</v>
      </c>
      <c r="Z213" s="26" t="str">
        <f>"&lt;P&gt;"&amp;PartsMaster!$I206&amp;" "&amp;PartsMaster!$H206&amp;"&lt;/P&gt;"&amp;"&lt;P&gt;Jaguar part name "&amp;PartsMaster!$E206&amp;"&lt;/P&gt;&lt;P&gt;Product numbers "&amp;PartsMaster!R206&amp;" "&amp;DQ213&amp;"&lt;/P&gt;&lt;P&gt;Fits starting from VIN/ModelYear "&amp;PartsMaster!$F206&amp;" until VIN/ModelYear "&amp;PartsMaster!$G206&amp;"&lt;/P&gt;&lt;P&gt;Condition: "&amp;PartsMaster!AB206&amp;"&lt;/P&gt;&lt;P&gt; (part source "&amp;PartsMaster!AD206&amp;")&lt;/P&gt;&lt;P&gt;Notes: "&amp;PartsMaster!AA206&amp;"&lt;/P&gt;"</f>
        <v>&lt;P&gt;Engine Exchaust Sensor&lt;/P&gt;&lt;P&gt;Jaguar part name &lt;/P&gt;&lt;P&gt;Product numbers  LJA1682AE&lt;/P&gt;&lt;P&gt;Fits starting from VIN/ModelYear  until VIN/ModelYear &lt;/P&gt;&lt;P&gt;Condition: &lt;/P&gt;&lt;P&gt; (part source )&lt;/P&gt;&lt;P&gt;Notes: &lt;/P&gt;</v>
      </c>
      <c r="AA213" s="20" t="s">
        <v>1171</v>
      </c>
      <c r="AC213" s="20">
        <v>0</v>
      </c>
      <c r="AD213" s="20">
        <v>0</v>
      </c>
      <c r="AE213" s="20" t="s">
        <v>1172</v>
      </c>
      <c r="AF213" s="20">
        <v>7</v>
      </c>
      <c r="AG213" s="20">
        <v>0</v>
      </c>
      <c r="AH213" s="20">
        <v>0</v>
      </c>
      <c r="AI213" s="20">
        <v>0</v>
      </c>
      <c r="AJ213" s="20">
        <v>0</v>
      </c>
      <c r="AK213" s="20">
        <v>0</v>
      </c>
      <c r="AO213" s="20" t="s">
        <v>1173</v>
      </c>
      <c r="AR213" s="20">
        <v>0</v>
      </c>
      <c r="AS213" s="20">
        <v>10112</v>
      </c>
      <c r="AV213" s="20" t="s">
        <v>1174</v>
      </c>
      <c r="AX213" s="20">
        <v>62128510024</v>
      </c>
      <c r="AY213" s="20">
        <v>62035811024</v>
      </c>
      <c r="AZ213" s="20">
        <v>55187694024</v>
      </c>
      <c r="BA213" s="20" t="s">
        <v>1175</v>
      </c>
      <c r="BB213" s="20" t="s">
        <v>1176</v>
      </c>
      <c r="BC213" s="20" t="s">
        <v>1177</v>
      </c>
      <c r="BD213" s="20">
        <v>1</v>
      </c>
      <c r="BE213" s="20">
        <v>0</v>
      </c>
      <c r="BF213" s="20">
        <v>0</v>
      </c>
      <c r="BG213" s="20">
        <v>0</v>
      </c>
      <c r="BN213" s="20" t="s">
        <v>1178</v>
      </c>
      <c r="BV213" s="20">
        <v>0</v>
      </c>
      <c r="CL213" s="20">
        <v>0</v>
      </c>
      <c r="DD213" s="20" t="s">
        <v>1179</v>
      </c>
      <c r="DE213" s="20" t="s">
        <v>1179</v>
      </c>
      <c r="DI213" s="20">
        <v>0</v>
      </c>
      <c r="DP213" s="21" t="s">
        <v>1180</v>
      </c>
      <c r="DQ213" s="21" t="str">
        <f>PartsMaster!$A206</f>
        <v>LJA1682AE</v>
      </c>
      <c r="DR213" s="21" t="s">
        <v>1181</v>
      </c>
      <c r="DS213" s="21" t="str">
        <f>PartsMaster!$K207&amp;" "&amp;PartsMaster!L207&amp;" "&amp;PartsMaster!$M207</f>
        <v xml:space="preserve">  Top</v>
      </c>
    </row>
    <row r="214" spans="1:123" ht="30" hidden="1" x14ac:dyDescent="0.25">
      <c r="A214" s="20" t="s">
        <v>1166</v>
      </c>
      <c r="B214" s="20" t="s">
        <v>1167</v>
      </c>
      <c r="C214" s="20" t="s">
        <v>1168</v>
      </c>
      <c r="D214" s="21" t="str">
        <f>PartsMaster!B207&amp;" "&amp;PartsMaster!$C207</f>
        <v>Jaguar XK8 XKR X100 Lambda Sensor (Bosch)</v>
      </c>
      <c r="E214" s="20">
        <v>3000</v>
      </c>
      <c r="F214" s="20" t="s">
        <v>1182</v>
      </c>
      <c r="H214" s="21" t="str">
        <f>PartsMaster!$Q207</f>
        <v>Universal Oxygene Sensor</v>
      </c>
      <c r="I214" s="20">
        <v>9886</v>
      </c>
      <c r="K214" s="20">
        <v>0</v>
      </c>
      <c r="L214" s="20">
        <v>0</v>
      </c>
      <c r="M214" s="21">
        <f>PartsMaster!$D207</f>
        <v>0</v>
      </c>
      <c r="O214" s="20" t="s">
        <v>1169</v>
      </c>
      <c r="P214" s="23">
        <f>PartsMaster!$S207/1.45</f>
        <v>0</v>
      </c>
      <c r="S214" s="20">
        <v>30</v>
      </c>
      <c r="T214" s="20">
        <v>0</v>
      </c>
      <c r="U214" s="20" t="s">
        <v>1170</v>
      </c>
      <c r="Z214" s="26" t="str">
        <f>"&lt;P&gt;"&amp;PartsMaster!$I207&amp;" "&amp;PartsMaster!$H207&amp;"&lt;/P&gt;"&amp;"&lt;P&gt;Jaguar part name "&amp;PartsMaster!$E207&amp;"&lt;/P&gt;&lt;P&gt;Product numbers "&amp;PartsMaster!R207&amp;" "&amp;DQ214&amp;"&lt;/P&gt;&lt;P&gt;Fits starting from VIN/ModelYear "&amp;PartsMaster!$F207&amp;" until VIN/ModelYear "&amp;PartsMaster!$G207&amp;"&lt;/P&gt;&lt;P&gt;Condition: "&amp;PartsMaster!AB207&amp;"&lt;/P&gt;&lt;P&gt; (part source "&amp;PartsMaster!AD207&amp;")&lt;/P&gt;&lt;P&gt;Notes: "&amp;PartsMaster!AA207&amp;"&lt;/P&gt;"</f>
        <v>&lt;P&gt;Engine Exchaust Sensor&lt;/P&gt;&lt;P&gt;Jaguar part name &lt;/P&gt;&lt;P&gt;Product numbers 0 258 986 507 
LS07, LSH25C, 0005406217, 0005409517, 226A01B011, KL6118861A, KL6118861A9U LJA1682AE&lt;/P&gt;&lt;P&gt;Fits starting from VIN/ModelYear  until VIN/ModelYear &lt;/P&gt;&lt;P&gt;Condition: &lt;/P&gt;&lt;P&gt; (part source )&lt;/P&gt;&lt;P&gt;Notes: &lt;/P&gt;</v>
      </c>
      <c r="AA214" s="20" t="s">
        <v>1171</v>
      </c>
      <c r="AC214" s="20">
        <v>0</v>
      </c>
      <c r="AD214" s="20">
        <v>0</v>
      </c>
      <c r="AE214" s="20" t="s">
        <v>1172</v>
      </c>
      <c r="AF214" s="20">
        <v>7</v>
      </c>
      <c r="AG214" s="20">
        <v>0</v>
      </c>
      <c r="AH214" s="20">
        <v>0</v>
      </c>
      <c r="AI214" s="20">
        <v>0</v>
      </c>
      <c r="AJ214" s="20">
        <v>0</v>
      </c>
      <c r="AK214" s="20">
        <v>0</v>
      </c>
      <c r="AO214" s="20" t="s">
        <v>1173</v>
      </c>
      <c r="AR214" s="20">
        <v>0</v>
      </c>
      <c r="AS214" s="20">
        <v>10112</v>
      </c>
      <c r="AV214" s="20" t="s">
        <v>1174</v>
      </c>
      <c r="AX214" s="20">
        <v>62128510024</v>
      </c>
      <c r="AY214" s="20">
        <v>62035811024</v>
      </c>
      <c r="AZ214" s="20">
        <v>55187694024</v>
      </c>
      <c r="BA214" s="20" t="s">
        <v>1175</v>
      </c>
      <c r="BB214" s="20" t="s">
        <v>1176</v>
      </c>
      <c r="BC214" s="20" t="s">
        <v>1177</v>
      </c>
      <c r="BD214" s="20">
        <v>1</v>
      </c>
      <c r="BE214" s="20">
        <v>0</v>
      </c>
      <c r="BF214" s="20">
        <v>0</v>
      </c>
      <c r="BG214" s="20">
        <v>0</v>
      </c>
      <c r="BN214" s="20" t="s">
        <v>1178</v>
      </c>
      <c r="BV214" s="20">
        <v>0</v>
      </c>
      <c r="CL214" s="20">
        <v>0</v>
      </c>
      <c r="DD214" s="20" t="s">
        <v>1179</v>
      </c>
      <c r="DE214" s="20" t="s">
        <v>1179</v>
      </c>
      <c r="DI214" s="20">
        <v>0</v>
      </c>
      <c r="DP214" s="21" t="s">
        <v>1180</v>
      </c>
      <c r="DQ214" s="21" t="str">
        <f>PartsMaster!$A207</f>
        <v>LJA1682AE</v>
      </c>
      <c r="DR214" s="21" t="s">
        <v>1181</v>
      </c>
      <c r="DS214" s="21" t="str">
        <f>PartsMaster!$K208&amp;" "&amp;PartsMaster!L208&amp;" "&amp;PartsMaster!$M208</f>
        <v xml:space="preserve">  Top</v>
      </c>
    </row>
    <row r="215" spans="1:123" ht="30" hidden="1" x14ac:dyDescent="0.25">
      <c r="A215" s="20" t="s">
        <v>1166</v>
      </c>
      <c r="B215" s="20" t="s">
        <v>1167</v>
      </c>
      <c r="C215" s="20" t="s">
        <v>1168</v>
      </c>
      <c r="D215" s="21" t="str">
        <f>PartsMaster!B208&amp;" "&amp;PartsMaster!$C208</f>
        <v>Jaguar XK8 XKR X100 Lambda Sensor (Jaguar Pair)</v>
      </c>
      <c r="E215" s="20">
        <v>3000</v>
      </c>
      <c r="F215" s="20" t="s">
        <v>1182</v>
      </c>
      <c r="H215" s="21">
        <f>PartsMaster!$Q208</f>
        <v>0</v>
      </c>
      <c r="I215" s="20">
        <v>9886</v>
      </c>
      <c r="K215" s="20">
        <v>0</v>
      </c>
      <c r="L215" s="20">
        <v>0</v>
      </c>
      <c r="M215" s="21">
        <f>PartsMaster!$D208</f>
        <v>0</v>
      </c>
      <c r="O215" s="20" t="s">
        <v>1169</v>
      </c>
      <c r="P215" s="23">
        <f>PartsMaster!$S208/1.45</f>
        <v>0</v>
      </c>
      <c r="S215" s="20">
        <v>30</v>
      </c>
      <c r="T215" s="20">
        <v>0</v>
      </c>
      <c r="U215" s="20" t="s">
        <v>1170</v>
      </c>
      <c r="Z215" s="26" t="str">
        <f>"&lt;P&gt;"&amp;PartsMaster!$I208&amp;" "&amp;PartsMaster!$H208&amp;"&lt;/P&gt;"&amp;"&lt;P&gt;Jaguar part name "&amp;PartsMaster!$E208&amp;"&lt;/P&gt;&lt;P&gt;Product numbers "&amp;PartsMaster!R208&amp;" "&amp;DQ215&amp;"&lt;/P&gt;&lt;P&gt;Fits starting from VIN/ModelYear "&amp;PartsMaster!$F208&amp;" until VIN/ModelYear "&amp;PartsMaster!$G208&amp;"&lt;/P&gt;&lt;P&gt;Condition: "&amp;PartsMaster!AB208&amp;"&lt;/P&gt;&lt;P&gt; (part source "&amp;PartsMaster!AD208&amp;")&lt;/P&gt;&lt;P&gt;Notes: "&amp;PartsMaster!AA208&amp;"&lt;/P&gt;"</f>
        <v>&lt;P&gt;Engine Exchaust Sensor&lt;/P&gt;&lt;P&gt;Jaguar part name &lt;/P&gt;&lt;P&gt;Product numbers  LJA1682AE&lt;/P&gt;&lt;P&gt;Fits starting from VIN/ModelYear  until VIN/ModelYear &lt;/P&gt;&lt;P&gt;Condition: &lt;/P&gt;&lt;P&gt; (part source )&lt;/P&gt;&lt;P&gt;Notes: &lt;/P&gt;</v>
      </c>
      <c r="AA215" s="20" t="s">
        <v>1171</v>
      </c>
      <c r="AC215" s="20">
        <v>0</v>
      </c>
      <c r="AD215" s="20">
        <v>0</v>
      </c>
      <c r="AE215" s="20" t="s">
        <v>1172</v>
      </c>
      <c r="AF215" s="20">
        <v>7</v>
      </c>
      <c r="AG215" s="20">
        <v>0</v>
      </c>
      <c r="AH215" s="20">
        <v>0</v>
      </c>
      <c r="AI215" s="20">
        <v>0</v>
      </c>
      <c r="AJ215" s="20">
        <v>0</v>
      </c>
      <c r="AK215" s="20">
        <v>0</v>
      </c>
      <c r="AO215" s="20" t="s">
        <v>1173</v>
      </c>
      <c r="AR215" s="20">
        <v>0</v>
      </c>
      <c r="AS215" s="20">
        <v>10112</v>
      </c>
      <c r="AV215" s="20" t="s">
        <v>1174</v>
      </c>
      <c r="AX215" s="20">
        <v>62128510024</v>
      </c>
      <c r="AY215" s="20">
        <v>62035811024</v>
      </c>
      <c r="AZ215" s="20">
        <v>55187694024</v>
      </c>
      <c r="BA215" s="20" t="s">
        <v>1175</v>
      </c>
      <c r="BB215" s="20" t="s">
        <v>1176</v>
      </c>
      <c r="BC215" s="20" t="s">
        <v>1177</v>
      </c>
      <c r="BD215" s="20">
        <v>1</v>
      </c>
      <c r="BE215" s="20">
        <v>0</v>
      </c>
      <c r="BF215" s="20">
        <v>0</v>
      </c>
      <c r="BG215" s="20">
        <v>0</v>
      </c>
      <c r="BN215" s="20" t="s">
        <v>1178</v>
      </c>
      <c r="BV215" s="20">
        <v>0</v>
      </c>
      <c r="CL215" s="20">
        <v>0</v>
      </c>
      <c r="DD215" s="20" t="s">
        <v>1179</v>
      </c>
      <c r="DE215" s="20" t="s">
        <v>1179</v>
      </c>
      <c r="DI215" s="20">
        <v>0</v>
      </c>
      <c r="DP215" s="21" t="s">
        <v>1180</v>
      </c>
      <c r="DQ215" s="21" t="str">
        <f>PartsMaster!$A208</f>
        <v>LJA1682AE</v>
      </c>
      <c r="DR215" s="21" t="s">
        <v>1181</v>
      </c>
      <c r="DS215" s="21" t="str">
        <f>PartsMaster!$K209&amp;" "&amp;PartsMaster!L209&amp;" "&amp;PartsMaster!$M209</f>
        <v xml:space="preserve">  </v>
      </c>
    </row>
    <row r="216" spans="1:123" ht="30" x14ac:dyDescent="0.25">
      <c r="A216" s="20" t="s">
        <v>1166</v>
      </c>
      <c r="B216" s="20" t="s">
        <v>1167</v>
      </c>
      <c r="C216" s="20" t="s">
        <v>1168</v>
      </c>
      <c r="D216" s="21" t="str">
        <f>PartsMaster!B109&amp;" "&amp;PartsMaster!$C109</f>
        <v>Jaguar XK8 XKR X100 Wheelarch Liner Service hole cover Panel</v>
      </c>
      <c r="E216" s="20">
        <v>3000</v>
      </c>
      <c r="F216" s="20" t="s">
        <v>1182</v>
      </c>
      <c r="H216" s="21" t="str">
        <f>PartsMaster!$Q109</f>
        <v>PANEL-H/LMP</v>
      </c>
      <c r="I216" s="20">
        <v>9886</v>
      </c>
      <c r="K216" s="20">
        <v>0</v>
      </c>
      <c r="L216" s="20">
        <v>0</v>
      </c>
      <c r="M216" s="21">
        <f>PartsMaster!$D109</f>
        <v>0</v>
      </c>
      <c r="O216" s="20" t="s">
        <v>1169</v>
      </c>
      <c r="P216" s="23">
        <f>PartsMaster!$S109/1.45</f>
        <v>0</v>
      </c>
      <c r="S216" s="20">
        <v>30</v>
      </c>
      <c r="T216" s="20">
        <v>0</v>
      </c>
      <c r="U216" s="20" t="s">
        <v>1170</v>
      </c>
      <c r="Z216" s="26" t="str">
        <f>"&lt;P&gt;"&amp;PartsMaster!$I109&amp;" "&amp;PartsMaster!$H109&amp;"&lt;/P&gt;"&amp;"&lt;P&gt;Jaguar part name "&amp;PartsMaster!$E109&amp;"&lt;/P&gt;&lt;P&gt;Product numbers "&amp;PartsMaster!R109&amp;" "&amp;DQ216&amp;"&lt;/P&gt;&lt;P&gt;Fits starting from VIN/ModelYear "&amp;PartsMaster!$F109&amp;" until VIN/ModelYear "&amp;PartsMaster!$G109&amp;"&lt;/P&gt;&lt;P&gt;Condition: "&amp;PartsMaster!AB109&amp;"&lt;/P&gt;&lt;P&gt; (part source "&amp;PartsMaster!AD109&amp;")&lt;/P&gt;&lt;P&gt;Notes: "&amp;PartsMaster!AA109&amp;"&lt;/P&gt;"</f>
        <v>&lt;P&gt;Cap / Cover Cap / Cover / Trim&lt;/P&gt;&lt;P&gt;Jaguar part name Panel,Bulb Access &lt;/P&gt;&lt;P&gt;Product numbers HJA4582AD HJA4582AD&lt;/P&gt;&lt;P&gt;Fits starting from VIN/ModelYear  until VIN/ModelYear &lt;/P&gt;&lt;P&gt;Condition: SNG Barratt&lt;/P&gt;&lt;P&gt; (part source )&lt;/P&gt;&lt;P&gt;Notes: &lt;/P&gt;</v>
      </c>
      <c r="AA216" s="20" t="s">
        <v>1171</v>
      </c>
      <c r="AC216" s="20">
        <v>0</v>
      </c>
      <c r="AD216" s="20">
        <v>0</v>
      </c>
      <c r="AE216" s="20" t="s">
        <v>1172</v>
      </c>
      <c r="AF216" s="20">
        <v>7</v>
      </c>
      <c r="AG216" s="20">
        <v>0</v>
      </c>
      <c r="AH216" s="20">
        <v>0</v>
      </c>
      <c r="AI216" s="20">
        <v>0</v>
      </c>
      <c r="AJ216" s="20">
        <v>0</v>
      </c>
      <c r="AK216" s="20">
        <v>0</v>
      </c>
      <c r="AO216" s="20" t="s">
        <v>1173</v>
      </c>
      <c r="AR216" s="20">
        <v>0</v>
      </c>
      <c r="AS216" s="20">
        <v>10112</v>
      </c>
      <c r="AV216" s="20" t="s">
        <v>1174</v>
      </c>
      <c r="AX216" s="20">
        <v>62128510024</v>
      </c>
      <c r="AY216" s="20">
        <v>62035811024</v>
      </c>
      <c r="AZ216" s="20">
        <v>55187694024</v>
      </c>
      <c r="BA216" s="20" t="s">
        <v>1175</v>
      </c>
      <c r="BB216" s="20" t="s">
        <v>1176</v>
      </c>
      <c r="BC216" s="20" t="s">
        <v>1177</v>
      </c>
      <c r="BD216" s="20">
        <v>1</v>
      </c>
      <c r="BE216" s="20">
        <v>0</v>
      </c>
      <c r="BF216" s="20">
        <v>0</v>
      </c>
      <c r="BG216" s="20">
        <v>0</v>
      </c>
      <c r="BN216" s="20" t="s">
        <v>1178</v>
      </c>
      <c r="BV216" s="20">
        <v>0</v>
      </c>
      <c r="CL216" s="20">
        <v>0</v>
      </c>
      <c r="DD216" s="20" t="s">
        <v>1179</v>
      </c>
      <c r="DE216" s="20" t="s">
        <v>1179</v>
      </c>
      <c r="DI216" s="20">
        <v>0</v>
      </c>
      <c r="DP216" s="21" t="s">
        <v>1180</v>
      </c>
      <c r="DQ216" s="21" t="str">
        <f>PartsMaster!$A109</f>
        <v>HJA4582AD</v>
      </c>
      <c r="DR216" s="21" t="s">
        <v>1181</v>
      </c>
      <c r="DS216" s="21" t="str">
        <f>PartsMaster!$K110&amp;" "&amp;PartsMaster!L110&amp;" "&amp;PartsMaster!$M110</f>
        <v xml:space="preserve">Front Right </v>
      </c>
    </row>
    <row r="217" spans="1:123" ht="30" x14ac:dyDescent="0.25">
      <c r="A217" s="20" t="s">
        <v>1166</v>
      </c>
      <c r="B217" s="20" t="s">
        <v>1167</v>
      </c>
      <c r="C217" s="20" t="s">
        <v>1168</v>
      </c>
      <c r="D217" s="21" t="str">
        <f>PartsMaster!B137&amp;" "&amp;PartsMaster!$C137</f>
        <v>Jaguar XK8 XKR X100 Seal retainer</v>
      </c>
      <c r="E217" s="20">
        <v>3000</v>
      </c>
      <c r="F217" s="20" t="s">
        <v>1182</v>
      </c>
      <c r="H217" s="21" t="str">
        <f>PartsMaster!$Q137</f>
        <v>Seal retainer</v>
      </c>
      <c r="I217" s="20">
        <v>9886</v>
      </c>
      <c r="K217" s="20">
        <v>0</v>
      </c>
      <c r="L217" s="20">
        <v>0</v>
      </c>
      <c r="M217" s="21">
        <f>PartsMaster!$D137</f>
        <v>1</v>
      </c>
      <c r="O217" s="20" t="s">
        <v>1169</v>
      </c>
      <c r="P217" s="23">
        <f>PartsMaster!$S137/1.45</f>
        <v>17.241379310344829</v>
      </c>
      <c r="S217" s="20">
        <v>30</v>
      </c>
      <c r="T217" s="20">
        <v>0</v>
      </c>
      <c r="U217" s="20" t="s">
        <v>1170</v>
      </c>
      <c r="Z217" s="26" t="str">
        <f>"&lt;P&gt;"&amp;PartsMaster!$I137&amp;" "&amp;PartsMaster!$H137&amp;"&lt;/P&gt;"&amp;"&lt;P&gt;Jaguar part name "&amp;PartsMaster!$E137&amp;"&lt;/P&gt;&lt;P&gt;Product numbers "&amp;PartsMaster!R137&amp;" "&amp;DQ217&amp;"&lt;/P&gt;&lt;P&gt;Fits starting from VIN/ModelYear "&amp;PartsMaster!$F137&amp;" until VIN/ModelYear "&amp;PartsMaster!$G137&amp;"&lt;/P&gt;&lt;P&gt;Condition: "&amp;PartsMaster!AB137&amp;"&lt;/P&gt;&lt;P&gt; (part source "&amp;PartsMaster!AD137&amp;")&lt;/P&gt;&lt;P&gt;Notes: "&amp;PartsMaster!AA137&amp;"&lt;/P&gt;"</f>
        <v>&lt;P&gt;Convertible top Hood / Convertible Top&lt;/P&gt;&lt;P&gt;Jaguar part name BODY CLOSURES AND SEALING/CONVERTABLE HOOD AND SEALS&lt;/P&gt;&lt;P&gt;Product numbers HJA7740AA HJA7740AA&lt;/P&gt;&lt;P&gt;Fits starting from VIN/ModelYear  until VIN/ModelYear &lt;/P&gt;&lt;P&gt;Condition: Dismantled from bottom &amp; engine damaged MY1997 XK8 Convertible VIN 0136xx&lt;/P&gt;&lt;P&gt; (part source KK)&lt;/P&gt;&lt;P&gt;Notes: Convertable&lt;/P&gt;</v>
      </c>
      <c r="AA217" s="20" t="s">
        <v>1171</v>
      </c>
      <c r="AC217" s="20">
        <v>0</v>
      </c>
      <c r="AD217" s="20">
        <v>0</v>
      </c>
      <c r="AE217" s="20" t="s">
        <v>1172</v>
      </c>
      <c r="AF217" s="20">
        <v>7</v>
      </c>
      <c r="AG217" s="20">
        <v>0</v>
      </c>
      <c r="AH217" s="20">
        <v>0</v>
      </c>
      <c r="AI217" s="20">
        <v>0</v>
      </c>
      <c r="AJ217" s="20">
        <v>0</v>
      </c>
      <c r="AK217" s="20">
        <v>0</v>
      </c>
      <c r="AO217" s="20" t="s">
        <v>1173</v>
      </c>
      <c r="AR217" s="20">
        <v>0</v>
      </c>
      <c r="AS217" s="20">
        <v>10112</v>
      </c>
      <c r="AV217" s="20" t="s">
        <v>1174</v>
      </c>
      <c r="AX217" s="20">
        <v>62128510024</v>
      </c>
      <c r="AY217" s="20">
        <v>62035811024</v>
      </c>
      <c r="AZ217" s="20">
        <v>55187694024</v>
      </c>
      <c r="BA217" s="20" t="s">
        <v>1175</v>
      </c>
      <c r="BB217" s="20" t="s">
        <v>1176</v>
      </c>
      <c r="BC217" s="20" t="s">
        <v>1177</v>
      </c>
      <c r="BD217" s="20">
        <v>1</v>
      </c>
      <c r="BE217" s="20">
        <v>0</v>
      </c>
      <c r="BF217" s="20">
        <v>0</v>
      </c>
      <c r="BG217" s="20">
        <v>0</v>
      </c>
      <c r="BN217" s="20" t="s">
        <v>1178</v>
      </c>
      <c r="BV217" s="20">
        <v>0</v>
      </c>
      <c r="CL217" s="20">
        <v>0</v>
      </c>
      <c r="DD217" s="20" t="s">
        <v>1179</v>
      </c>
      <c r="DE217" s="20" t="s">
        <v>1179</v>
      </c>
      <c r="DI217" s="20">
        <v>0</v>
      </c>
      <c r="DP217" s="21" t="s">
        <v>1180</v>
      </c>
      <c r="DQ217" s="21" t="str">
        <f>PartsMaster!$A137</f>
        <v>HJA7740AA</v>
      </c>
      <c r="DR217" s="21" t="s">
        <v>1181</v>
      </c>
      <c r="DS217" s="21" t="str">
        <f>PartsMaster!$K138&amp;" "&amp;PartsMaster!L138&amp;" "&amp;PartsMaster!$M138</f>
        <v>Front Left Top</v>
      </c>
    </row>
    <row r="218" spans="1:123" ht="30" x14ac:dyDescent="0.25">
      <c r="A218" s="20" t="s">
        <v>1166</v>
      </c>
      <c r="B218" s="20" t="s">
        <v>1167</v>
      </c>
      <c r="C218" s="20" t="s">
        <v>1168</v>
      </c>
      <c r="D218" s="21" t="str">
        <f>PartsMaster!B138&amp;" "&amp;PartsMaster!$C138</f>
        <v>Jaguar XK8 XKR X100 Hood frame seal Convertible LH Front</v>
      </c>
      <c r="E218" s="20">
        <v>3000</v>
      </c>
      <c r="F218" s="20" t="s">
        <v>1182</v>
      </c>
      <c r="H218" s="21" t="str">
        <f>PartsMaster!$Q138</f>
        <v>Hood frame seal</v>
      </c>
      <c r="I218" s="20">
        <v>9886</v>
      </c>
      <c r="K218" s="20">
        <v>0</v>
      </c>
      <c r="L218" s="20">
        <v>0</v>
      </c>
      <c r="M218" s="21">
        <f>PartsMaster!$D138</f>
        <v>1</v>
      </c>
      <c r="O218" s="20" t="s">
        <v>1169</v>
      </c>
      <c r="P218" s="23">
        <f>PartsMaster!$S138/1.45</f>
        <v>134.48275862068965</v>
      </c>
      <c r="S218" s="20">
        <v>30</v>
      </c>
      <c r="T218" s="20">
        <v>0</v>
      </c>
      <c r="U218" s="20" t="s">
        <v>1170</v>
      </c>
      <c r="Z218" s="26" t="str">
        <f>"&lt;P&gt;"&amp;PartsMaster!$I138&amp;" "&amp;PartsMaster!$H138&amp;"&lt;/P&gt;"&amp;"&lt;P&gt;Jaguar part name "&amp;PartsMaster!$E138&amp;"&lt;/P&gt;&lt;P&gt;Product numbers "&amp;PartsMaster!R138&amp;" "&amp;DQ218&amp;"&lt;/P&gt;&lt;P&gt;Fits starting from VIN/ModelYear "&amp;PartsMaster!$F138&amp;" until VIN/ModelYear "&amp;PartsMaster!$G138&amp;"&lt;/P&gt;&lt;P&gt;Condition: "&amp;PartsMaster!AB138&amp;"&lt;/P&gt;&lt;P&gt; (part source "&amp;PartsMaster!AD138&amp;")&lt;/P&gt;&lt;P&gt;Notes: "&amp;PartsMaster!AA138&amp;"&lt;/P&gt;"</f>
        <v>&lt;P&gt;Seal Seal / Insulation&lt;/P&gt;&lt;P&gt;Jaguar part name BODY CLOSURES AND SEALING/CONVERTABLE HOOD AND SEALS - LH&lt;/P&gt;&lt;P&gt;Product numbers HJA7779BC HJG7779AA HJA7779BC&lt;/P&gt;&lt;P&gt;Fits starting from VIN/ModelYear  until VIN/ModelYear &lt;/P&gt;&lt;P&gt;Condition: Dismantled from bottom &amp; engine damaged MY1997 XK8 Convertible VIN 0136xx&lt;/P&gt;&lt;P&gt; (part source KK)&lt;/P&gt;&lt;P&gt;Notes: Convertable&lt;/P&gt;</v>
      </c>
      <c r="AA218" s="20" t="s">
        <v>1171</v>
      </c>
      <c r="AC218" s="20">
        <v>0</v>
      </c>
      <c r="AD218" s="20">
        <v>0</v>
      </c>
      <c r="AE218" s="20" t="s">
        <v>1172</v>
      </c>
      <c r="AF218" s="20">
        <v>7</v>
      </c>
      <c r="AG218" s="20">
        <v>0</v>
      </c>
      <c r="AH218" s="20">
        <v>0</v>
      </c>
      <c r="AI218" s="20">
        <v>0</v>
      </c>
      <c r="AJ218" s="20">
        <v>0</v>
      </c>
      <c r="AK218" s="20">
        <v>0</v>
      </c>
      <c r="AO218" s="20" t="s">
        <v>1173</v>
      </c>
      <c r="AR218" s="20">
        <v>0</v>
      </c>
      <c r="AS218" s="20">
        <v>10112</v>
      </c>
      <c r="AV218" s="20" t="s">
        <v>1174</v>
      </c>
      <c r="AX218" s="20">
        <v>62128510024</v>
      </c>
      <c r="AY218" s="20">
        <v>62035811024</v>
      </c>
      <c r="AZ218" s="20">
        <v>55187694024</v>
      </c>
      <c r="BA218" s="20" t="s">
        <v>1175</v>
      </c>
      <c r="BB218" s="20" t="s">
        <v>1176</v>
      </c>
      <c r="BC218" s="20" t="s">
        <v>1177</v>
      </c>
      <c r="BD218" s="20">
        <v>1</v>
      </c>
      <c r="BE218" s="20">
        <v>0</v>
      </c>
      <c r="BF218" s="20">
        <v>0</v>
      </c>
      <c r="BG218" s="20">
        <v>0</v>
      </c>
      <c r="BN218" s="20" t="s">
        <v>1178</v>
      </c>
      <c r="BV218" s="20">
        <v>0</v>
      </c>
      <c r="CL218" s="20">
        <v>0</v>
      </c>
      <c r="DD218" s="20" t="s">
        <v>1179</v>
      </c>
      <c r="DE218" s="20" t="s">
        <v>1179</v>
      </c>
      <c r="DI218" s="20">
        <v>0</v>
      </c>
      <c r="DP218" s="21" t="s">
        <v>1180</v>
      </c>
      <c r="DQ218" s="21" t="str">
        <f>PartsMaster!$A138</f>
        <v>HJA7779BC</v>
      </c>
      <c r="DR218" s="21" t="s">
        <v>1181</v>
      </c>
      <c r="DS218" s="21" t="str">
        <f>PartsMaster!$K139&amp;" "&amp;PartsMaster!L139&amp;" "&amp;PartsMaster!$M139</f>
        <v>Center Right Top</v>
      </c>
    </row>
    <row r="219" spans="1:123" ht="30" x14ac:dyDescent="0.25">
      <c r="A219" s="20" t="s">
        <v>1166</v>
      </c>
      <c r="B219" s="20" t="s">
        <v>1167</v>
      </c>
      <c r="C219" s="20" t="s">
        <v>1168</v>
      </c>
      <c r="D219" s="21" t="str">
        <f>PartsMaster!B139&amp;" "&amp;PartsMaster!$C139</f>
        <v>Jaguar XK8 XKR X100 Hood frame seal Convertible RH Center</v>
      </c>
      <c r="E219" s="20">
        <v>3000</v>
      </c>
      <c r="F219" s="20" t="s">
        <v>1182</v>
      </c>
      <c r="H219" s="21" t="str">
        <f>PartsMaster!$Q139</f>
        <v>Hood frame seal</v>
      </c>
      <c r="I219" s="20">
        <v>9886</v>
      </c>
      <c r="K219" s="20">
        <v>0</v>
      </c>
      <c r="L219" s="20">
        <v>0</v>
      </c>
      <c r="M219" s="21">
        <f>PartsMaster!$D139</f>
        <v>1</v>
      </c>
      <c r="O219" s="20" t="s">
        <v>1169</v>
      </c>
      <c r="P219" s="23">
        <f>PartsMaster!$S139/1.45</f>
        <v>51.724137931034484</v>
      </c>
      <c r="S219" s="20">
        <v>30</v>
      </c>
      <c r="T219" s="20">
        <v>0</v>
      </c>
      <c r="U219" s="20" t="s">
        <v>1170</v>
      </c>
      <c r="Z219" s="26" t="str">
        <f>"&lt;P&gt;"&amp;PartsMaster!$I139&amp;" "&amp;PartsMaster!$H139&amp;"&lt;/P&gt;"&amp;"&lt;P&gt;Jaguar part name "&amp;PartsMaster!$E139&amp;"&lt;/P&gt;&lt;P&gt;Product numbers "&amp;PartsMaster!R139&amp;" "&amp;DQ219&amp;"&lt;/P&gt;&lt;P&gt;Fits starting from VIN/ModelYear "&amp;PartsMaster!$F139&amp;" until VIN/ModelYear "&amp;PartsMaster!$G139&amp;"&lt;/P&gt;&lt;P&gt;Condition: "&amp;PartsMaster!AB139&amp;"&lt;/P&gt;&lt;P&gt; (part source "&amp;PartsMaster!AD139&amp;")&lt;/P&gt;&lt;P&gt;Notes: "&amp;PartsMaster!AA139&amp;"&lt;/P&gt;"</f>
        <v>&lt;P&gt;Seal Seal / Insulation&lt;/P&gt;&lt;P&gt;Jaguar part name BODY CLOSURES AND SEALING/CONVERTABLE HOOD AND SEALS - RH&lt;/P&gt;&lt;P&gt;Product numbers HJA7780BC HJA7780BC&lt;/P&gt;&lt;P&gt;Fits starting from VIN/ModelYear MY1996 until VIN/ModelYear 042775&lt;/P&gt;&lt;P&gt;Condition: &lt;/P&gt;&lt;P&gt; (part source KK)&lt;/P&gt;&lt;P&gt;Notes: Convertable&lt;/P&gt;</v>
      </c>
      <c r="AA219" s="20" t="s">
        <v>1171</v>
      </c>
      <c r="AC219" s="20">
        <v>0</v>
      </c>
      <c r="AD219" s="20">
        <v>0</v>
      </c>
      <c r="AE219" s="20" t="s">
        <v>1172</v>
      </c>
      <c r="AF219" s="20">
        <v>7</v>
      </c>
      <c r="AG219" s="20">
        <v>0</v>
      </c>
      <c r="AH219" s="20">
        <v>0</v>
      </c>
      <c r="AI219" s="20">
        <v>0</v>
      </c>
      <c r="AJ219" s="20">
        <v>0</v>
      </c>
      <c r="AK219" s="20">
        <v>0</v>
      </c>
      <c r="AO219" s="20" t="s">
        <v>1173</v>
      </c>
      <c r="AR219" s="20">
        <v>0</v>
      </c>
      <c r="AS219" s="20">
        <v>10112</v>
      </c>
      <c r="AV219" s="20" t="s">
        <v>1174</v>
      </c>
      <c r="AX219" s="20">
        <v>62128510024</v>
      </c>
      <c r="AY219" s="20">
        <v>62035811024</v>
      </c>
      <c r="AZ219" s="20">
        <v>55187694024</v>
      </c>
      <c r="BA219" s="20" t="s">
        <v>1175</v>
      </c>
      <c r="BB219" s="20" t="s">
        <v>1176</v>
      </c>
      <c r="BC219" s="20" t="s">
        <v>1177</v>
      </c>
      <c r="BD219" s="20">
        <v>1</v>
      </c>
      <c r="BE219" s="20">
        <v>0</v>
      </c>
      <c r="BF219" s="20">
        <v>0</v>
      </c>
      <c r="BG219" s="20">
        <v>0</v>
      </c>
      <c r="BN219" s="20" t="s">
        <v>1178</v>
      </c>
      <c r="BV219" s="20">
        <v>0</v>
      </c>
      <c r="CL219" s="20">
        <v>0</v>
      </c>
      <c r="DD219" s="20" t="s">
        <v>1179</v>
      </c>
      <c r="DE219" s="20" t="s">
        <v>1179</v>
      </c>
      <c r="DI219" s="20">
        <v>0</v>
      </c>
      <c r="DP219" s="21" t="s">
        <v>1180</v>
      </c>
      <c r="DQ219" s="21" t="str">
        <f>PartsMaster!$A139</f>
        <v>HJA7780BC</v>
      </c>
      <c r="DR219" s="21" t="s">
        <v>1181</v>
      </c>
      <c r="DS219" s="21" t="str">
        <f>PartsMaster!$K140&amp;" "&amp;PartsMaster!L140&amp;" "&amp;PartsMaster!$M140</f>
        <v>Center Left Top</v>
      </c>
    </row>
    <row r="220" spans="1:123" ht="30" x14ac:dyDescent="0.25">
      <c r="A220" s="20" t="s">
        <v>1166</v>
      </c>
      <c r="B220" s="20" t="s">
        <v>1167</v>
      </c>
      <c r="C220" s="20" t="s">
        <v>1168</v>
      </c>
      <c r="D220" s="21" t="str">
        <f>PartsMaster!B140&amp;" "&amp;PartsMaster!$C140</f>
        <v>Jaguar XK8 XKR X100 Hood frame seal Convertible LH Center</v>
      </c>
      <c r="E220" s="20">
        <v>3000</v>
      </c>
      <c r="F220" s="20" t="s">
        <v>1182</v>
      </c>
      <c r="H220" s="21" t="str">
        <f>PartsMaster!$Q140</f>
        <v>Hood frame seal</v>
      </c>
      <c r="I220" s="20">
        <v>9886</v>
      </c>
      <c r="K220" s="20">
        <v>0</v>
      </c>
      <c r="L220" s="20">
        <v>0</v>
      </c>
      <c r="M220" s="21">
        <f>PartsMaster!$D140</f>
        <v>0</v>
      </c>
      <c r="O220" s="20" t="s">
        <v>1169</v>
      </c>
      <c r="P220" s="23">
        <f>PartsMaster!$S140/1.45</f>
        <v>51.724137931034484</v>
      </c>
      <c r="S220" s="20">
        <v>30</v>
      </c>
      <c r="T220" s="20">
        <v>0</v>
      </c>
      <c r="U220" s="20" t="s">
        <v>1170</v>
      </c>
      <c r="Z220" s="26" t="str">
        <f>"&lt;P&gt;"&amp;PartsMaster!$I140&amp;" "&amp;PartsMaster!$H140&amp;"&lt;/P&gt;"&amp;"&lt;P&gt;Jaguar part name "&amp;PartsMaster!$E140&amp;"&lt;/P&gt;&lt;P&gt;Product numbers "&amp;PartsMaster!R140&amp;" "&amp;DQ220&amp;"&lt;/P&gt;&lt;P&gt;Fits starting from VIN/ModelYear "&amp;PartsMaster!$F140&amp;" until VIN/ModelYear "&amp;PartsMaster!$G140&amp;"&lt;/P&gt;&lt;P&gt;Condition: "&amp;PartsMaster!AB140&amp;"&lt;/P&gt;&lt;P&gt; (part source "&amp;PartsMaster!AD140&amp;")&lt;/P&gt;&lt;P&gt;Notes: "&amp;PartsMaster!AA140&amp;"&lt;/P&gt;"</f>
        <v>&lt;P&gt;Seal Seal / Insulation&lt;/P&gt;&lt;P&gt;Jaguar part name BODY CLOSURES AND SEALING/CONVERTABLE HOOD AND SEALS - LH&lt;/P&gt;&lt;P&gt;Product numbers HJA7781BC HJB7781AA HJA7781BC&lt;/P&gt;&lt;P&gt;Fits starting from VIN/ModelYear  until VIN/ModelYear &lt;/P&gt;&lt;P&gt;Condition: &lt;/P&gt;&lt;P&gt; (part source KK)&lt;/P&gt;&lt;P&gt;Notes: Convertable&lt;/P&gt;</v>
      </c>
      <c r="AA220" s="20" t="s">
        <v>1171</v>
      </c>
      <c r="AC220" s="20">
        <v>0</v>
      </c>
      <c r="AD220" s="20">
        <v>0</v>
      </c>
      <c r="AE220" s="20" t="s">
        <v>1172</v>
      </c>
      <c r="AF220" s="20">
        <v>7</v>
      </c>
      <c r="AG220" s="20">
        <v>0</v>
      </c>
      <c r="AH220" s="20">
        <v>0</v>
      </c>
      <c r="AI220" s="20">
        <v>0</v>
      </c>
      <c r="AJ220" s="20">
        <v>0</v>
      </c>
      <c r="AK220" s="20">
        <v>0</v>
      </c>
      <c r="AO220" s="20" t="s">
        <v>1173</v>
      </c>
      <c r="AR220" s="20">
        <v>0</v>
      </c>
      <c r="AS220" s="20">
        <v>10112</v>
      </c>
      <c r="AV220" s="20" t="s">
        <v>1174</v>
      </c>
      <c r="AX220" s="20">
        <v>62128510024</v>
      </c>
      <c r="AY220" s="20">
        <v>62035811024</v>
      </c>
      <c r="AZ220" s="20">
        <v>55187694024</v>
      </c>
      <c r="BA220" s="20" t="s">
        <v>1175</v>
      </c>
      <c r="BB220" s="20" t="s">
        <v>1176</v>
      </c>
      <c r="BC220" s="20" t="s">
        <v>1177</v>
      </c>
      <c r="BD220" s="20">
        <v>1</v>
      </c>
      <c r="BE220" s="20">
        <v>0</v>
      </c>
      <c r="BF220" s="20">
        <v>0</v>
      </c>
      <c r="BG220" s="20">
        <v>0</v>
      </c>
      <c r="BN220" s="20" t="s">
        <v>1178</v>
      </c>
      <c r="BV220" s="20">
        <v>0</v>
      </c>
      <c r="CL220" s="20">
        <v>0</v>
      </c>
      <c r="DD220" s="20" t="s">
        <v>1179</v>
      </c>
      <c r="DE220" s="20" t="s">
        <v>1179</v>
      </c>
      <c r="DI220" s="20">
        <v>0</v>
      </c>
      <c r="DP220" s="21" t="s">
        <v>1180</v>
      </c>
      <c r="DQ220" s="21" t="str">
        <f>PartsMaster!$A140</f>
        <v>HJA7781BC</v>
      </c>
      <c r="DR220" s="21" t="s">
        <v>1181</v>
      </c>
      <c r="DS220" s="21" t="str">
        <f>PartsMaster!$K141&amp;" "&amp;PartsMaster!L141&amp;" "&amp;PartsMaster!$M141</f>
        <v>Rear Right Top</v>
      </c>
    </row>
    <row r="221" spans="1:123" ht="30" hidden="1" x14ac:dyDescent="0.25">
      <c r="A221" s="20" t="s">
        <v>1166</v>
      </c>
      <c r="B221" s="20" t="s">
        <v>1167</v>
      </c>
      <c r="C221" s="20" t="s">
        <v>1168</v>
      </c>
      <c r="D221" s="21" t="str">
        <f>PartsMaster!B214&amp;" "&amp;PartsMaster!$C214</f>
        <v>Jaguar XK8 XKR X100 Fusebox</v>
      </c>
      <c r="E221" s="20">
        <v>3000</v>
      </c>
      <c r="F221" s="20" t="s">
        <v>1182</v>
      </c>
      <c r="H221" s="21" t="str">
        <f>PartsMaster!$Q214</f>
        <v>Fusebox</v>
      </c>
      <c r="I221" s="20">
        <v>9886</v>
      </c>
      <c r="K221" s="20">
        <v>0</v>
      </c>
      <c r="L221" s="20">
        <v>0</v>
      </c>
      <c r="M221" s="21">
        <f>PartsMaster!$D214</f>
        <v>1</v>
      </c>
      <c r="O221" s="20" t="s">
        <v>1169</v>
      </c>
      <c r="P221" s="23">
        <f>PartsMaster!$S214/1.45</f>
        <v>0</v>
      </c>
      <c r="S221" s="20">
        <v>30</v>
      </c>
      <c r="T221" s="20">
        <v>0</v>
      </c>
      <c r="U221" s="20" t="s">
        <v>1170</v>
      </c>
      <c r="Z221" s="26" t="str">
        <f>"&lt;P&gt;"&amp;PartsMaster!$I214&amp;" "&amp;PartsMaster!$H214&amp;"&lt;/P&gt;"&amp;"&lt;P&gt;Jaguar part name "&amp;PartsMaster!$E214&amp;"&lt;/P&gt;&lt;P&gt;Product numbers "&amp;PartsMaster!R214&amp;" "&amp;DQ221&amp;"&lt;/P&gt;&lt;P&gt;Fits starting from VIN/ModelYear "&amp;PartsMaster!$F214&amp;" until VIN/ModelYear "&amp;PartsMaster!$G214&amp;"&lt;/P&gt;&lt;P&gt;Condition: "&amp;PartsMaster!AB214&amp;"&lt;/P&gt;&lt;P&gt; (part source "&amp;PartsMaster!AD214&amp;")&lt;/P&gt;&lt;P&gt;Notes: "&amp;PartsMaster!AA214&amp;"&lt;/P&gt;"</f>
        <v>&lt;P&gt;Engine bay fusebox 18 way Fusebox&lt;/P&gt;&lt;P&gt;Jaguar part name ELECTRICAL DISTRIBUTION SYSTEM/FUSEBOXES - Engine bay fusebox&lt;/P&gt;&lt;P&gt;Product numbers LJA2800CE LJA2800CE&lt;/P&gt;&lt;P&gt;Fits starting from VIN/ModelYear MY1996 until VIN/ModelYear 018107&lt;/P&gt;&lt;P&gt;Condition: Dismantled from bottom &amp; engine damaged MY1997 XK8 Convertible VIN 0136xx&lt;/P&gt;&lt;P&gt; (part source KK)&lt;/P&gt;&lt;P&gt;Notes: &lt;/P&gt;</v>
      </c>
      <c r="AA221" s="20" t="s">
        <v>1171</v>
      </c>
      <c r="AC221" s="20">
        <v>0</v>
      </c>
      <c r="AD221" s="20">
        <v>0</v>
      </c>
      <c r="AE221" s="20" t="s">
        <v>1172</v>
      </c>
      <c r="AF221" s="20">
        <v>7</v>
      </c>
      <c r="AG221" s="20">
        <v>0</v>
      </c>
      <c r="AH221" s="20">
        <v>0</v>
      </c>
      <c r="AI221" s="20">
        <v>0</v>
      </c>
      <c r="AJ221" s="20">
        <v>0</v>
      </c>
      <c r="AK221" s="20">
        <v>0</v>
      </c>
      <c r="AO221" s="20" t="s">
        <v>1173</v>
      </c>
      <c r="AR221" s="20">
        <v>0</v>
      </c>
      <c r="AS221" s="20">
        <v>10112</v>
      </c>
      <c r="AV221" s="20" t="s">
        <v>1174</v>
      </c>
      <c r="AX221" s="20">
        <v>62128510024</v>
      </c>
      <c r="AY221" s="20">
        <v>62035811024</v>
      </c>
      <c r="AZ221" s="20">
        <v>55187694024</v>
      </c>
      <c r="BA221" s="20" t="s">
        <v>1175</v>
      </c>
      <c r="BB221" s="20" t="s">
        <v>1176</v>
      </c>
      <c r="BC221" s="20" t="s">
        <v>1177</v>
      </c>
      <c r="BD221" s="20">
        <v>1</v>
      </c>
      <c r="BE221" s="20">
        <v>0</v>
      </c>
      <c r="BF221" s="20">
        <v>0</v>
      </c>
      <c r="BG221" s="20">
        <v>0</v>
      </c>
      <c r="BN221" s="20" t="s">
        <v>1178</v>
      </c>
      <c r="BV221" s="20">
        <v>0</v>
      </c>
      <c r="CL221" s="20">
        <v>0</v>
      </c>
      <c r="DD221" s="20" t="s">
        <v>1179</v>
      </c>
      <c r="DE221" s="20" t="s">
        <v>1179</v>
      </c>
      <c r="DI221" s="20">
        <v>0</v>
      </c>
      <c r="DP221" s="21" t="s">
        <v>1180</v>
      </c>
      <c r="DQ221" s="21" t="str">
        <f>PartsMaster!$A214</f>
        <v>LJA2800CE</v>
      </c>
      <c r="DR221" s="21" t="s">
        <v>1181</v>
      </c>
      <c r="DS221" s="21" t="str">
        <f>PartsMaster!$K215&amp;" "&amp;PartsMaster!L215&amp;" "&amp;PartsMaster!$M215</f>
        <v xml:space="preserve">Rear Right </v>
      </c>
    </row>
    <row r="222" spans="1:123" hidden="1" x14ac:dyDescent="0.25">
      <c r="A222" s="20" t="s">
        <v>1166</v>
      </c>
      <c r="B222" s="20" t="s">
        <v>1167</v>
      </c>
      <c r="C222" s="20" t="s">
        <v>1168</v>
      </c>
      <c r="D222" s="21" t="str">
        <f>PartsMaster!B215&amp;" "&amp;PartsMaster!$C215</f>
        <v>Jaguar XK8 XKR X100 Fusebox Cover Trunc / Fuse guide</v>
      </c>
      <c r="E222" s="20">
        <v>3000</v>
      </c>
      <c r="F222" s="20" t="s">
        <v>1182</v>
      </c>
      <c r="H222" s="21">
        <f>PartsMaster!$Q215</f>
        <v>0</v>
      </c>
      <c r="I222" s="20">
        <v>9886</v>
      </c>
      <c r="K222" s="20">
        <v>0</v>
      </c>
      <c r="L222" s="20">
        <v>0</v>
      </c>
      <c r="M222" s="21">
        <f>PartsMaster!$D215</f>
        <v>0</v>
      </c>
      <c r="O222" s="20" t="s">
        <v>1169</v>
      </c>
      <c r="P222" s="23">
        <f>PartsMaster!$S215/1.45</f>
        <v>0</v>
      </c>
      <c r="S222" s="20">
        <v>30</v>
      </c>
      <c r="T222" s="20">
        <v>0</v>
      </c>
      <c r="U222" s="20" t="s">
        <v>1170</v>
      </c>
      <c r="Z222" s="26" t="str">
        <f>"&lt;P&gt;"&amp;PartsMaster!$I215&amp;" "&amp;PartsMaster!$H215&amp;"&lt;/P&gt;"&amp;"&lt;P&gt;Jaguar part name "&amp;PartsMaster!$E215&amp;"&lt;/P&gt;&lt;P&gt;Product numbers "&amp;PartsMaster!R215&amp;" "&amp;DQ222&amp;"&lt;/P&gt;&lt;P&gt;Fits starting from VIN/ModelYear "&amp;PartsMaster!$F215&amp;" until VIN/ModelYear "&amp;PartsMaster!$G215&amp;"&lt;/P&gt;&lt;P&gt;Condition: "&amp;PartsMaster!AB215&amp;"&lt;/P&gt;&lt;P&gt; (part source "&amp;PartsMaster!AD215&amp;")&lt;/P&gt;&lt;P&gt;Notes: "&amp;PartsMaster!AA215&amp;"&lt;/P&gt;"</f>
        <v>&lt;P&gt;Information Label&lt;/P&gt;&lt;P&gt;Jaguar part name &lt;/P&gt;&lt;P&gt;Product numbers LJA2870AC LJA2870AC&lt;/P&gt;&lt;P&gt;Fits starting from VIN/ModelYear  until VIN/ModelYear &lt;/P&gt;&lt;P&gt;Condition: &lt;/P&gt;&lt;P&gt; (part source )&lt;/P&gt;&lt;P&gt;Notes: &lt;/P&gt;</v>
      </c>
      <c r="AA222" s="20" t="s">
        <v>1171</v>
      </c>
      <c r="AC222" s="20">
        <v>0</v>
      </c>
      <c r="AD222" s="20">
        <v>0</v>
      </c>
      <c r="AE222" s="20" t="s">
        <v>1172</v>
      </c>
      <c r="AF222" s="20">
        <v>7</v>
      </c>
      <c r="AG222" s="20">
        <v>0</v>
      </c>
      <c r="AH222" s="20">
        <v>0</v>
      </c>
      <c r="AI222" s="20">
        <v>0</v>
      </c>
      <c r="AJ222" s="20">
        <v>0</v>
      </c>
      <c r="AK222" s="20">
        <v>0</v>
      </c>
      <c r="AO222" s="20" t="s">
        <v>1173</v>
      </c>
      <c r="AR222" s="20">
        <v>0</v>
      </c>
      <c r="AS222" s="20">
        <v>10112</v>
      </c>
      <c r="AV222" s="20" t="s">
        <v>1174</v>
      </c>
      <c r="AX222" s="20">
        <v>62128510024</v>
      </c>
      <c r="AY222" s="20">
        <v>62035811024</v>
      </c>
      <c r="AZ222" s="20">
        <v>55187694024</v>
      </c>
      <c r="BA222" s="20" t="s">
        <v>1175</v>
      </c>
      <c r="BB222" s="20" t="s">
        <v>1176</v>
      </c>
      <c r="BC222" s="20" t="s">
        <v>1177</v>
      </c>
      <c r="BD222" s="20">
        <v>1</v>
      </c>
      <c r="BE222" s="20">
        <v>0</v>
      </c>
      <c r="BF222" s="20">
        <v>0</v>
      </c>
      <c r="BG222" s="20">
        <v>0</v>
      </c>
      <c r="BN222" s="20" t="s">
        <v>1178</v>
      </c>
      <c r="BV222" s="20">
        <v>0</v>
      </c>
      <c r="CL222" s="20">
        <v>0</v>
      </c>
      <c r="DD222" s="20" t="s">
        <v>1179</v>
      </c>
      <c r="DE222" s="20" t="s">
        <v>1179</v>
      </c>
      <c r="DI222" s="20">
        <v>0</v>
      </c>
      <c r="DP222" s="21" t="s">
        <v>1180</v>
      </c>
      <c r="DQ222" s="21" t="str">
        <f>PartsMaster!$A215</f>
        <v>LJA2870AC</v>
      </c>
      <c r="DR222" s="21" t="s">
        <v>1181</v>
      </c>
      <c r="DS222" s="21" t="str">
        <f>PartsMaster!$K216&amp;" "&amp;PartsMaster!L216&amp;" "&amp;PartsMaster!$M216</f>
        <v>from rear to front right N/A</v>
      </c>
    </row>
    <row r="223" spans="1:123" ht="30" hidden="1" x14ac:dyDescent="0.25">
      <c r="A223" s="20" t="s">
        <v>1166</v>
      </c>
      <c r="B223" s="20" t="s">
        <v>1167</v>
      </c>
      <c r="C223" s="20" t="s">
        <v>1168</v>
      </c>
      <c r="D223" s="21" t="str">
        <f>PartsMaster!B216&amp;" "&amp;PartsMaster!$C216</f>
        <v>Jaguar XK8 XKR X100 Positive battery extension cable</v>
      </c>
      <c r="E223" s="20">
        <v>3000</v>
      </c>
      <c r="F223" s="20" t="s">
        <v>1182</v>
      </c>
      <c r="H223" s="21" t="str">
        <f>PartsMaster!$Q216</f>
        <v>Positive battery extension cable</v>
      </c>
      <c r="I223" s="20">
        <v>9886</v>
      </c>
      <c r="K223" s="20">
        <v>0</v>
      </c>
      <c r="L223" s="20">
        <v>0</v>
      </c>
      <c r="M223" s="21">
        <f>PartsMaster!$D216</f>
        <v>1</v>
      </c>
      <c r="O223" s="20" t="s">
        <v>1169</v>
      </c>
      <c r="P223" s="23">
        <f>PartsMaster!$S216/1.45</f>
        <v>24.137931034482758</v>
      </c>
      <c r="S223" s="20">
        <v>30</v>
      </c>
      <c r="T223" s="20">
        <v>0</v>
      </c>
      <c r="U223" s="20" t="s">
        <v>1170</v>
      </c>
      <c r="Z223" s="26" t="str">
        <f>"&lt;P&gt;"&amp;PartsMaster!$I216&amp;" "&amp;PartsMaster!$H216&amp;"&lt;/P&gt;"&amp;"&lt;P&gt;Jaguar part name "&amp;PartsMaster!$E216&amp;"&lt;/P&gt;&lt;P&gt;Product numbers "&amp;PartsMaster!R216&amp;" "&amp;DQ223&amp;"&lt;/P&gt;&lt;P&gt;Fits starting from VIN/ModelYear "&amp;PartsMaster!$F216&amp;" until VIN/ModelYear "&amp;PartsMaster!$G216&amp;"&lt;/P&gt;&lt;P&gt;Condition: "&amp;PartsMaster!AB216&amp;"&lt;/P&gt;&lt;P&gt; (part source "&amp;PartsMaster!AD216&amp;")&lt;/P&gt;&lt;P&gt;Notes: "&amp;PartsMaster!AA216&amp;"&lt;/P&gt;"</f>
        <v>&lt;P&gt;Electrical Harness&lt;/P&gt;&lt;P&gt;Jaguar part name ELECTRICAL DISTRIBUTION SYSTEM/FUSEBOXES - Positive battery extension cable&lt;/P&gt;&lt;P&gt;Product numbers AMP 3488812-1 Rev.11 LJA3692AB&lt;/P&gt;&lt;P&gt;Fits starting from VIN/ModelYear MY1996 until VIN/ModelYear 031302&lt;/P&gt;&lt;P&gt;Condition: Dismantled from bottom &amp; engine damaged MY1997 XK8 Convertible VIN 0136xx&lt;/P&gt;&lt;P&gt; (part source KK)&lt;/P&gt;&lt;P&gt;Notes: JEPC Part Number LJA3692AC also superceded&lt;/P&gt;</v>
      </c>
      <c r="AA223" s="20" t="s">
        <v>1171</v>
      </c>
      <c r="AC223" s="20">
        <v>0</v>
      </c>
      <c r="AD223" s="20">
        <v>0</v>
      </c>
      <c r="AE223" s="20" t="s">
        <v>1172</v>
      </c>
      <c r="AF223" s="20">
        <v>7</v>
      </c>
      <c r="AG223" s="20">
        <v>0</v>
      </c>
      <c r="AH223" s="20">
        <v>0</v>
      </c>
      <c r="AI223" s="20">
        <v>0</v>
      </c>
      <c r="AJ223" s="20">
        <v>0</v>
      </c>
      <c r="AK223" s="20">
        <v>0</v>
      </c>
      <c r="AO223" s="20" t="s">
        <v>1173</v>
      </c>
      <c r="AR223" s="20">
        <v>0</v>
      </c>
      <c r="AS223" s="20">
        <v>10112</v>
      </c>
      <c r="AV223" s="20" t="s">
        <v>1174</v>
      </c>
      <c r="AX223" s="20">
        <v>62128510024</v>
      </c>
      <c r="AY223" s="20">
        <v>62035811024</v>
      </c>
      <c r="AZ223" s="20">
        <v>55187694024</v>
      </c>
      <c r="BA223" s="20" t="s">
        <v>1175</v>
      </c>
      <c r="BB223" s="20" t="s">
        <v>1176</v>
      </c>
      <c r="BC223" s="20" t="s">
        <v>1177</v>
      </c>
      <c r="BD223" s="20">
        <v>1</v>
      </c>
      <c r="BE223" s="20">
        <v>0</v>
      </c>
      <c r="BF223" s="20">
        <v>0</v>
      </c>
      <c r="BG223" s="20">
        <v>0</v>
      </c>
      <c r="BN223" s="20" t="s">
        <v>1178</v>
      </c>
      <c r="BV223" s="20">
        <v>0</v>
      </c>
      <c r="CL223" s="20">
        <v>0</v>
      </c>
      <c r="DD223" s="20" t="s">
        <v>1179</v>
      </c>
      <c r="DE223" s="20" t="s">
        <v>1179</v>
      </c>
      <c r="DI223" s="20">
        <v>0</v>
      </c>
      <c r="DP223" s="21" t="s">
        <v>1180</v>
      </c>
      <c r="DQ223" s="21" t="str">
        <f>PartsMaster!$A216</f>
        <v>LJA3692AB</v>
      </c>
      <c r="DR223" s="21" t="s">
        <v>1181</v>
      </c>
      <c r="DS223" s="21" t="str">
        <f>PartsMaster!$K217&amp;" "&amp;PartsMaster!L217&amp;" "&amp;PartsMaster!$M217</f>
        <v>Front Right Bottom</v>
      </c>
    </row>
    <row r="224" spans="1:123" ht="30" hidden="1" x14ac:dyDescent="0.25">
      <c r="A224" s="20" t="s">
        <v>1166</v>
      </c>
      <c r="B224" s="20" t="s">
        <v>1167</v>
      </c>
      <c r="C224" s="20" t="s">
        <v>1168</v>
      </c>
      <c r="D224" s="21" t="str">
        <f>PartsMaster!B217&amp;" "&amp;PartsMaster!$C217</f>
        <v>Jaguar XK8 XKR X100 Speaker Element (Harman-Kardon Premium Audio) + Loudspeaker bracket RH</v>
      </c>
      <c r="E224" s="20">
        <v>3000</v>
      </c>
      <c r="F224" s="20" t="s">
        <v>1182</v>
      </c>
      <c r="H224" s="21" t="str">
        <f>PartsMaster!$Q217</f>
        <v>Single cone loudspeaker - Convertible 2+2 - premium sound - 6" + Loudspeaker bracket RH front door</v>
      </c>
      <c r="I224" s="20">
        <v>9886</v>
      </c>
      <c r="K224" s="20">
        <v>0</v>
      </c>
      <c r="L224" s="20">
        <v>0</v>
      </c>
      <c r="M224" s="21">
        <f>PartsMaster!$D217</f>
        <v>1</v>
      </c>
      <c r="O224" s="20" t="s">
        <v>1169</v>
      </c>
      <c r="P224" s="23">
        <f>PartsMaster!$S217/1.45</f>
        <v>51.724137931034484</v>
      </c>
      <c r="S224" s="20">
        <v>30</v>
      </c>
      <c r="T224" s="20">
        <v>0</v>
      </c>
      <c r="U224" s="20" t="s">
        <v>1170</v>
      </c>
      <c r="Z224" s="26" t="str">
        <f>"&lt;P&gt;"&amp;PartsMaster!$I217&amp;" "&amp;PartsMaster!$H217&amp;"&lt;/P&gt;"&amp;"&lt;P&gt;Jaguar part name "&amp;PartsMaster!$E217&amp;"&lt;/P&gt;&lt;P&gt;Product numbers "&amp;PartsMaster!R217&amp;" "&amp;DQ224&amp;"&lt;/P&gt;&lt;P&gt;Fits starting from VIN/ModelYear "&amp;PartsMaster!$F217&amp;" until VIN/ModelYear "&amp;PartsMaster!$G217&amp;"&lt;/P&gt;&lt;P&gt;Condition: "&amp;PartsMaster!AB217&amp;"&lt;/P&gt;&lt;P&gt; (part source "&amp;PartsMaster!AD217&amp;")&lt;/P&gt;&lt;P&gt;Notes: "&amp;PartsMaster!AA217&amp;"&lt;/P&gt;"</f>
        <v>&lt;P&gt;Audio / In car Entertainment Speaker&lt;/P&gt;&lt;P&gt;Jaguar part name IN CAR ENTERTAINMENT/AMPLIFIER/LOUDSPEAKERS - Single cone loudspeaker - Convertible 2+2 - premium sound - 6" + Loudspeaker bracket RH front door&lt;/P&gt;&lt;P&gt;Product numbers LJA4140BA+GJA1246AF LJA4140BA+GJA1246AF&lt;/P&gt;&lt;P&gt;Fits starting from VIN/ModelYear MY1996 until VIN/ModelYear 042775&lt;/P&gt;&lt;P&gt;Condition: Dismantled from bottom &amp; engine damaged MY1997 XK8 Convertible VIN 0136xx&lt;/P&gt;&lt;P&gt; (part source )&lt;/P&gt;&lt;P&gt;Notes: &lt;/P&gt;</v>
      </c>
      <c r="AA224" s="20" t="s">
        <v>1171</v>
      </c>
      <c r="AC224" s="20">
        <v>0</v>
      </c>
      <c r="AD224" s="20">
        <v>0</v>
      </c>
      <c r="AE224" s="20" t="s">
        <v>1172</v>
      </c>
      <c r="AF224" s="20">
        <v>7</v>
      </c>
      <c r="AG224" s="20">
        <v>0</v>
      </c>
      <c r="AH224" s="20">
        <v>0</v>
      </c>
      <c r="AI224" s="20">
        <v>0</v>
      </c>
      <c r="AJ224" s="20">
        <v>0</v>
      </c>
      <c r="AK224" s="20">
        <v>0</v>
      </c>
      <c r="AO224" s="20" t="s">
        <v>1173</v>
      </c>
      <c r="AR224" s="20">
        <v>0</v>
      </c>
      <c r="AS224" s="20">
        <v>10112</v>
      </c>
      <c r="AV224" s="20" t="s">
        <v>1174</v>
      </c>
      <c r="AX224" s="20">
        <v>62128510024</v>
      </c>
      <c r="AY224" s="20">
        <v>62035811024</v>
      </c>
      <c r="AZ224" s="20">
        <v>55187694024</v>
      </c>
      <c r="BA224" s="20" t="s">
        <v>1175</v>
      </c>
      <c r="BB224" s="20" t="s">
        <v>1176</v>
      </c>
      <c r="BC224" s="20" t="s">
        <v>1177</v>
      </c>
      <c r="BD224" s="20">
        <v>1</v>
      </c>
      <c r="BE224" s="20">
        <v>0</v>
      </c>
      <c r="BF224" s="20">
        <v>0</v>
      </c>
      <c r="BG224" s="20">
        <v>0</v>
      </c>
      <c r="BN224" s="20" t="s">
        <v>1178</v>
      </c>
      <c r="BV224" s="20">
        <v>0</v>
      </c>
      <c r="CL224" s="20">
        <v>0</v>
      </c>
      <c r="DD224" s="20" t="s">
        <v>1179</v>
      </c>
      <c r="DE224" s="20" t="s">
        <v>1179</v>
      </c>
      <c r="DI224" s="20">
        <v>0</v>
      </c>
      <c r="DP224" s="21" t="s">
        <v>1180</v>
      </c>
      <c r="DQ224" s="21" t="str">
        <f>PartsMaster!$A217</f>
        <v>LJA4140BA+GJA1246AF</v>
      </c>
      <c r="DR224" s="21" t="s">
        <v>1181</v>
      </c>
      <c r="DS224" s="21" t="str">
        <f>PartsMaster!$K218&amp;" "&amp;PartsMaster!L218&amp;" "&amp;PartsMaster!$M218</f>
        <v>Front Right Bottom</v>
      </c>
    </row>
    <row r="225" spans="1:123" ht="30" hidden="1" x14ac:dyDescent="0.25">
      <c r="A225" s="20" t="s">
        <v>1166</v>
      </c>
      <c r="B225" s="20" t="s">
        <v>1167</v>
      </c>
      <c r="C225" s="20" t="s">
        <v>1168</v>
      </c>
      <c r="D225" s="21" t="str">
        <f>PartsMaster!B218&amp;" "&amp;PartsMaster!$C218</f>
        <v>Jaguar XK8 XKR X100 Speaker Element (Harman-Kardon Premium Audio) + Loudspeaker bracket LH</v>
      </c>
      <c r="E225" s="20">
        <v>3000</v>
      </c>
      <c r="F225" s="20" t="s">
        <v>1182</v>
      </c>
      <c r="H225" s="21" t="str">
        <f>PartsMaster!$Q218</f>
        <v>Single cone loudspeaker - Convertible 2+2 - premium sound - 6" + Loudspeaker bracket LH front door</v>
      </c>
      <c r="I225" s="20">
        <v>9886</v>
      </c>
      <c r="K225" s="20">
        <v>0</v>
      </c>
      <c r="L225" s="20">
        <v>0</v>
      </c>
      <c r="M225" s="21">
        <f>PartsMaster!$D218</f>
        <v>1</v>
      </c>
      <c r="O225" s="20" t="s">
        <v>1169</v>
      </c>
      <c r="P225" s="23">
        <f>PartsMaster!$S218/1.45</f>
        <v>44.827586206896555</v>
      </c>
      <c r="S225" s="20">
        <v>30</v>
      </c>
      <c r="T225" s="20">
        <v>0</v>
      </c>
      <c r="U225" s="20" t="s">
        <v>1170</v>
      </c>
      <c r="Z225" s="26" t="str">
        <f>"&lt;P&gt;"&amp;PartsMaster!$I218&amp;" "&amp;PartsMaster!$H218&amp;"&lt;/P&gt;"&amp;"&lt;P&gt;Jaguar part name "&amp;PartsMaster!$E218&amp;"&lt;/P&gt;&lt;P&gt;Product numbers "&amp;PartsMaster!R218&amp;" "&amp;DQ225&amp;"&lt;/P&gt;&lt;P&gt;Fits starting from VIN/ModelYear "&amp;PartsMaster!$F218&amp;" until VIN/ModelYear "&amp;PartsMaster!$G218&amp;"&lt;/P&gt;&lt;P&gt;Condition: "&amp;PartsMaster!AB218&amp;"&lt;/P&gt;&lt;P&gt; (part source "&amp;PartsMaster!AD218&amp;")&lt;/P&gt;&lt;P&gt;Notes: "&amp;PartsMaster!AA218&amp;"&lt;/P&gt;"</f>
        <v>&lt;P&gt;Audio / In car Entertainment Speaker&lt;/P&gt;&lt;P&gt;Jaguar part name IN CAR ENTERTAINMENT/AMPLIFIER/LOUDSPEAKERS - Single cone loudspeaker - Convertible 2+2 - premium sound - 6" + Loudspeaker bracket LH front door&lt;/P&gt;&lt;P&gt;Product numbers LJA4140BA+GJA1247AD LJA4140BA+GJA1247AD&lt;/P&gt;&lt;P&gt;Fits starting from VIN/ModelYear MY1996 until VIN/ModelYear 042775&lt;/P&gt;&lt;P&gt;Condition: From Front crashed MY1997 VIN 0049xx&lt;/P&gt;&lt;P&gt; (part source DR)&lt;/P&gt;&lt;P&gt;Notes: &lt;/P&gt;</v>
      </c>
      <c r="AA225" s="20" t="s">
        <v>1171</v>
      </c>
      <c r="AC225" s="20">
        <v>0</v>
      </c>
      <c r="AD225" s="20">
        <v>0</v>
      </c>
      <c r="AE225" s="20" t="s">
        <v>1172</v>
      </c>
      <c r="AF225" s="20">
        <v>7</v>
      </c>
      <c r="AG225" s="20">
        <v>0</v>
      </c>
      <c r="AH225" s="20">
        <v>0</v>
      </c>
      <c r="AI225" s="20">
        <v>0</v>
      </c>
      <c r="AJ225" s="20">
        <v>0</v>
      </c>
      <c r="AK225" s="20">
        <v>0</v>
      </c>
      <c r="AO225" s="20" t="s">
        <v>1173</v>
      </c>
      <c r="AR225" s="20">
        <v>0</v>
      </c>
      <c r="AS225" s="20">
        <v>10112</v>
      </c>
      <c r="AV225" s="20" t="s">
        <v>1174</v>
      </c>
      <c r="AX225" s="20">
        <v>62128510024</v>
      </c>
      <c r="AY225" s="20">
        <v>62035811024</v>
      </c>
      <c r="AZ225" s="20">
        <v>55187694024</v>
      </c>
      <c r="BA225" s="20" t="s">
        <v>1175</v>
      </c>
      <c r="BB225" s="20" t="s">
        <v>1176</v>
      </c>
      <c r="BC225" s="20" t="s">
        <v>1177</v>
      </c>
      <c r="BD225" s="20">
        <v>1</v>
      </c>
      <c r="BE225" s="20">
        <v>0</v>
      </c>
      <c r="BF225" s="20">
        <v>0</v>
      </c>
      <c r="BG225" s="20">
        <v>0</v>
      </c>
      <c r="BN225" s="20" t="s">
        <v>1178</v>
      </c>
      <c r="BV225" s="20">
        <v>0</v>
      </c>
      <c r="CL225" s="20">
        <v>0</v>
      </c>
      <c r="DD225" s="20" t="s">
        <v>1179</v>
      </c>
      <c r="DE225" s="20" t="s">
        <v>1179</v>
      </c>
      <c r="DI225" s="20">
        <v>0</v>
      </c>
      <c r="DP225" s="21" t="s">
        <v>1180</v>
      </c>
      <c r="DQ225" s="21" t="str">
        <f>PartsMaster!$A218</f>
        <v>LJA4140BA+GJA1247AD</v>
      </c>
      <c r="DR225" s="21" t="s">
        <v>1181</v>
      </c>
      <c r="DS225" s="21" t="str">
        <f>PartsMaster!$K219&amp;" "&amp;PartsMaster!L219&amp;" "&amp;PartsMaster!$M219</f>
        <v>Rear Right N/A</v>
      </c>
    </row>
    <row r="226" spans="1:123" ht="30" hidden="1" x14ac:dyDescent="0.25">
      <c r="A226" s="20" t="s">
        <v>1166</v>
      </c>
      <c r="B226" s="20" t="s">
        <v>1167</v>
      </c>
      <c r="C226" s="20" t="s">
        <v>1168</v>
      </c>
      <c r="D226" s="21" t="str">
        <f>PartsMaster!B219&amp;" "&amp;PartsMaster!$C219</f>
        <v>Jaguar XK8 XKR X100 Tail Light Bulp Panel Right</v>
      </c>
      <c r="E226" s="20">
        <v>3000</v>
      </c>
      <c r="F226" s="20" t="s">
        <v>1182</v>
      </c>
      <c r="H226" s="21" t="str">
        <f>PartsMaster!$Q219</f>
        <v>USED CIRCUIT BOARD (BULB HOLDER) FOR EITHER SIDE TAIL LAMP CIRCUITBOARD-XK8EARLY</v>
      </c>
      <c r="I226" s="20">
        <v>9886</v>
      </c>
      <c r="K226" s="20">
        <v>0</v>
      </c>
      <c r="L226" s="20">
        <v>0</v>
      </c>
      <c r="M226" s="21">
        <f>PartsMaster!$D219</f>
        <v>1</v>
      </c>
      <c r="O226" s="20" t="s">
        <v>1169</v>
      </c>
      <c r="P226" s="23">
        <f>PartsMaster!$S219/1.45</f>
        <v>51.724137931034484</v>
      </c>
      <c r="S226" s="20">
        <v>30</v>
      </c>
      <c r="T226" s="20">
        <v>0</v>
      </c>
      <c r="U226" s="20" t="s">
        <v>1170</v>
      </c>
      <c r="Z226" s="26" t="str">
        <f>"&lt;P&gt;"&amp;PartsMaster!$I219&amp;" "&amp;PartsMaster!$H219&amp;"&lt;/P&gt;"&amp;"&lt;P&gt;Jaguar part name "&amp;PartsMaster!$E219&amp;"&lt;/P&gt;&lt;P&gt;Product numbers "&amp;PartsMaster!R219&amp;" "&amp;DQ226&amp;"&lt;/P&gt;&lt;P&gt;Fits starting from VIN/ModelYear "&amp;PartsMaster!$F219&amp;" until VIN/ModelYear "&amp;PartsMaster!$G219&amp;"&lt;/P&gt;&lt;P&gt;Condition: "&amp;PartsMaster!AB219&amp;"&lt;/P&gt;&lt;P&gt; (part source "&amp;PartsMaster!AD219&amp;")&lt;/P&gt;&lt;P&gt;Notes: "&amp;PartsMaster!AA219&amp;"&lt;/P&gt;"</f>
        <v>&lt;P&gt;Exterior Lightning Light&lt;/P&gt;&lt;P&gt;Jaguar part name N/A&lt;/P&gt;&lt;P&gt;Product numbers CIRCUITBOARD-XK8EARLY-USED LJA4900BD-Panel&lt;/P&gt;&lt;P&gt;Fits starting from VIN/ModelYear 1996 until VIN/ModelYear A11050&lt;/P&gt;&lt;P&gt;Condition: Extra working spare&lt;/P&gt;&lt;P&gt; (part source KK)&lt;/P&gt;&lt;P&gt;Notes: &lt;/P&gt;</v>
      </c>
      <c r="AA226" s="20" t="s">
        <v>1171</v>
      </c>
      <c r="AC226" s="20">
        <v>0</v>
      </c>
      <c r="AD226" s="20">
        <v>0</v>
      </c>
      <c r="AE226" s="20" t="s">
        <v>1172</v>
      </c>
      <c r="AF226" s="20">
        <v>7</v>
      </c>
      <c r="AG226" s="20">
        <v>0</v>
      </c>
      <c r="AH226" s="20">
        <v>0</v>
      </c>
      <c r="AI226" s="20">
        <v>0</v>
      </c>
      <c r="AJ226" s="20">
        <v>0</v>
      </c>
      <c r="AK226" s="20">
        <v>0</v>
      </c>
      <c r="AO226" s="20" t="s">
        <v>1173</v>
      </c>
      <c r="AR226" s="20">
        <v>0</v>
      </c>
      <c r="AS226" s="20">
        <v>10112</v>
      </c>
      <c r="AV226" s="20" t="s">
        <v>1174</v>
      </c>
      <c r="AX226" s="20">
        <v>62128510024</v>
      </c>
      <c r="AY226" s="20">
        <v>62035811024</v>
      </c>
      <c r="AZ226" s="20">
        <v>55187694024</v>
      </c>
      <c r="BA226" s="20" t="s">
        <v>1175</v>
      </c>
      <c r="BB226" s="20" t="s">
        <v>1176</v>
      </c>
      <c r="BC226" s="20" t="s">
        <v>1177</v>
      </c>
      <c r="BD226" s="20">
        <v>1</v>
      </c>
      <c r="BE226" s="20">
        <v>0</v>
      </c>
      <c r="BF226" s="20">
        <v>0</v>
      </c>
      <c r="BG226" s="20">
        <v>0</v>
      </c>
      <c r="BN226" s="20" t="s">
        <v>1178</v>
      </c>
      <c r="BV226" s="20">
        <v>0</v>
      </c>
      <c r="CL226" s="20">
        <v>0</v>
      </c>
      <c r="DD226" s="20" t="s">
        <v>1179</v>
      </c>
      <c r="DE226" s="20" t="s">
        <v>1179</v>
      </c>
      <c r="DI226" s="20">
        <v>0</v>
      </c>
      <c r="DP226" s="21" t="s">
        <v>1180</v>
      </c>
      <c r="DQ226" s="21" t="str">
        <f>PartsMaster!$A219</f>
        <v>LJA4900BD-Panel</v>
      </c>
      <c r="DR226" s="21" t="s">
        <v>1181</v>
      </c>
      <c r="DS226" s="21" t="str">
        <f>PartsMaster!$K220&amp;" "&amp;PartsMaster!L220&amp;" "&amp;PartsMaster!$M220</f>
        <v>Rear Center Top</v>
      </c>
    </row>
    <row r="227" spans="1:123" ht="30" hidden="1" x14ac:dyDescent="0.25">
      <c r="A227" s="20" t="s">
        <v>1166</v>
      </c>
      <c r="B227" s="20" t="s">
        <v>1167</v>
      </c>
      <c r="C227" s="20" t="s">
        <v>1168</v>
      </c>
      <c r="D227" s="21" t="str">
        <f>PartsMaster!B220&amp;" "&amp;PartsMaster!$C220</f>
        <v>Jaguar XK8 XKR X100 High mounted stop lamp</v>
      </c>
      <c r="E227" s="20">
        <v>3000</v>
      </c>
      <c r="F227" s="20" t="s">
        <v>1182</v>
      </c>
      <c r="H227" s="21" t="str">
        <f>PartsMaster!$Q220</f>
        <v>High mounted stop lamp</v>
      </c>
      <c r="I227" s="20">
        <v>9886</v>
      </c>
      <c r="K227" s="20">
        <v>0</v>
      </c>
      <c r="L227" s="20">
        <v>0</v>
      </c>
      <c r="M227" s="21">
        <f>PartsMaster!$D220</f>
        <v>1</v>
      </c>
      <c r="O227" s="20" t="s">
        <v>1169</v>
      </c>
      <c r="P227" s="23">
        <f>PartsMaster!$S220/1.45</f>
        <v>134.48275862068965</v>
      </c>
      <c r="S227" s="20">
        <v>30</v>
      </c>
      <c r="T227" s="20">
        <v>0</v>
      </c>
      <c r="U227" s="20" t="s">
        <v>1170</v>
      </c>
      <c r="Z227" s="26" t="str">
        <f>"&lt;P&gt;"&amp;PartsMaster!$I220&amp;" "&amp;PartsMaster!$H220&amp;"&lt;/P&gt;"&amp;"&lt;P&gt;Jaguar part name "&amp;PartsMaster!$E220&amp;"&lt;/P&gt;&lt;P&gt;Product numbers "&amp;PartsMaster!R220&amp;" "&amp;DQ227&amp;"&lt;/P&gt;&lt;P&gt;Fits starting from VIN/ModelYear "&amp;PartsMaster!$F220&amp;" until VIN/ModelYear "&amp;PartsMaster!$G220&amp;"&lt;/P&gt;&lt;P&gt;Condition: "&amp;PartsMaster!AB220&amp;"&lt;/P&gt;&lt;P&gt; (part source "&amp;PartsMaster!AD220&amp;")&lt;/P&gt;&lt;P&gt;Notes: "&amp;PartsMaster!AA220&amp;"&lt;/P&gt;"</f>
        <v>&lt;P&gt;Light Light&lt;/P&gt;&lt;P&gt;Jaguar part name LIGHTINGS - EXTERIOR/INTERIOR/REAR LIGHTS - High mounted stop lamp&lt;/P&gt;&lt;P&gt;Product numbers LJA5001AC LJA5001AC&lt;/P&gt;&lt;P&gt;Fits starting from VIN/ModelYear  until VIN/ModelYear 014328&lt;/P&gt;&lt;P&gt;Condition: From Front crashed MY1997 VIN 0049xx&lt;/P&gt;&lt;P&gt; (part source DR)&lt;/P&gt;&lt;P&gt;Notes: Convertible, includes nuts. One led not working.&lt;/P&gt;</v>
      </c>
      <c r="AA227" s="20" t="s">
        <v>1171</v>
      </c>
      <c r="AC227" s="20">
        <v>0</v>
      </c>
      <c r="AD227" s="20">
        <v>0</v>
      </c>
      <c r="AE227" s="20" t="s">
        <v>1172</v>
      </c>
      <c r="AF227" s="20">
        <v>7</v>
      </c>
      <c r="AG227" s="20">
        <v>0</v>
      </c>
      <c r="AH227" s="20">
        <v>0</v>
      </c>
      <c r="AI227" s="20">
        <v>0</v>
      </c>
      <c r="AJ227" s="20">
        <v>0</v>
      </c>
      <c r="AK227" s="20">
        <v>0</v>
      </c>
      <c r="AO227" s="20" t="s">
        <v>1173</v>
      </c>
      <c r="AR227" s="20">
        <v>0</v>
      </c>
      <c r="AS227" s="20">
        <v>10112</v>
      </c>
      <c r="AV227" s="20" t="s">
        <v>1174</v>
      </c>
      <c r="AX227" s="20">
        <v>62128510024</v>
      </c>
      <c r="AY227" s="20">
        <v>62035811024</v>
      </c>
      <c r="AZ227" s="20">
        <v>55187694024</v>
      </c>
      <c r="BA227" s="20" t="s">
        <v>1175</v>
      </c>
      <c r="BB227" s="20" t="s">
        <v>1176</v>
      </c>
      <c r="BC227" s="20" t="s">
        <v>1177</v>
      </c>
      <c r="BD227" s="20">
        <v>1</v>
      </c>
      <c r="BE227" s="20">
        <v>0</v>
      </c>
      <c r="BF227" s="20">
        <v>0</v>
      </c>
      <c r="BG227" s="20">
        <v>0</v>
      </c>
      <c r="BN227" s="20" t="s">
        <v>1178</v>
      </c>
      <c r="BV227" s="20">
        <v>0</v>
      </c>
      <c r="CL227" s="20">
        <v>0</v>
      </c>
      <c r="DD227" s="20" t="s">
        <v>1179</v>
      </c>
      <c r="DE227" s="20" t="s">
        <v>1179</v>
      </c>
      <c r="DI227" s="20">
        <v>0</v>
      </c>
      <c r="DP227" s="21" t="s">
        <v>1180</v>
      </c>
      <c r="DQ227" s="21" t="str">
        <f>PartsMaster!$A220</f>
        <v>LJA5001AC</v>
      </c>
      <c r="DR227" s="21" t="s">
        <v>1181</v>
      </c>
      <c r="DS227" s="21" t="str">
        <f>PartsMaster!$K221&amp;" "&amp;PartsMaster!L221&amp;" "&amp;PartsMaster!$M221</f>
        <v>Rear Center Top</v>
      </c>
    </row>
    <row r="228" spans="1:123" ht="135" hidden="1" x14ac:dyDescent="0.25">
      <c r="A228" s="20" t="s">
        <v>1166</v>
      </c>
      <c r="B228" s="20" t="s">
        <v>1167</v>
      </c>
      <c r="C228" s="20" t="s">
        <v>1168</v>
      </c>
      <c r="D228" s="21" t="str">
        <f>PartsMaster!B221&amp;" "&amp;PartsMaster!$C221</f>
        <v>Jaguar XK8 XKR X100 High mounted stop lamp Cover</v>
      </c>
      <c r="E228" s="20">
        <v>3000</v>
      </c>
      <c r="F228" s="20" t="s">
        <v>1182</v>
      </c>
      <c r="H228" s="21" t="str">
        <f>PartsMaster!$Q221</f>
        <v>High mounted stop lamp Cover</v>
      </c>
      <c r="I228" s="20">
        <v>9886</v>
      </c>
      <c r="K228" s="20">
        <v>0</v>
      </c>
      <c r="L228" s="20">
        <v>0</v>
      </c>
      <c r="M228" s="21">
        <f>PartsMaster!$D221</f>
        <v>0</v>
      </c>
      <c r="O228" s="20" t="s">
        <v>1169</v>
      </c>
      <c r="P228" s="23">
        <f>PartsMaster!$S221/1.45</f>
        <v>175.86206896551724</v>
      </c>
      <c r="S228" s="20">
        <v>30</v>
      </c>
      <c r="T228" s="20">
        <v>0</v>
      </c>
      <c r="U228" s="20" t="s">
        <v>1170</v>
      </c>
      <c r="Z228" s="26" t="str">
        <f>"&lt;P&gt;"&amp;PartsMaster!$I221&amp;" "&amp;PartsMaster!$H221&amp;"&lt;/P&gt;"&amp;"&lt;P&gt;Jaguar part name "&amp;PartsMaster!$E221&amp;"&lt;/P&gt;&lt;P&gt;Product numbers "&amp;PartsMaster!R221&amp;" "&amp;DQ228&amp;"&lt;/P&gt;&lt;P&gt;Fits starting from VIN/ModelYear "&amp;PartsMaster!$F221&amp;" until VIN/ModelYear "&amp;PartsMaster!$G221&amp;"&lt;/P&gt;&lt;P&gt;Condition: "&amp;PartsMaster!AB221&amp;"&lt;/P&gt;&lt;P&gt; (part source "&amp;PartsMaster!AD221&amp;")&lt;/P&gt;&lt;P&gt;Notes: "&amp;PartsMaster!AA221&amp;"&lt;/P&gt;"</f>
        <v>&lt;P&gt;Trim Cover&lt;/P&gt;&lt;P&gt;Jaguar part name LIGHTINGS - EXTERIOR/INTERIOR/REAR LIGHTS - High mounted stop lamp Cover&lt;/P&gt;&lt;P&gt;Product numbers LJA5003AB LJA5003AB&lt;/P&gt;&lt;P&gt;Fits starting from VIN/ModelYear MY1996 until VIN/ModelYear 042775&lt;/P&gt;&lt;P&gt;Condition: From Front crashed MY1997 VIN 0049xx&lt;/P&gt;&lt;P&gt; (part source DR)&lt;/P&gt;&lt;P&gt;Notes: Convertible, primered ready to paint&lt;/P&gt;</v>
      </c>
      <c r="AA228" s="20" t="s">
        <v>1171</v>
      </c>
      <c r="AC228" s="20">
        <v>0</v>
      </c>
      <c r="AD228" s="20">
        <v>0</v>
      </c>
      <c r="AE228" s="20" t="s">
        <v>1172</v>
      </c>
      <c r="AF228" s="20">
        <v>7</v>
      </c>
      <c r="AG228" s="20">
        <v>0</v>
      </c>
      <c r="AH228" s="20">
        <v>0</v>
      </c>
      <c r="AI228" s="20">
        <v>0</v>
      </c>
      <c r="AJ228" s="20">
        <v>0</v>
      </c>
      <c r="AK228" s="20">
        <v>0</v>
      </c>
      <c r="AO228" s="20" t="s">
        <v>1173</v>
      </c>
      <c r="AR228" s="20">
        <v>0</v>
      </c>
      <c r="AS228" s="20">
        <v>10112</v>
      </c>
      <c r="AV228" s="20" t="s">
        <v>1174</v>
      </c>
      <c r="AX228" s="20">
        <v>62128510024</v>
      </c>
      <c r="AY228" s="20">
        <v>62035811024</v>
      </c>
      <c r="AZ228" s="20">
        <v>55187694024</v>
      </c>
      <c r="BA228" s="20" t="s">
        <v>1175</v>
      </c>
      <c r="BB228" s="20" t="s">
        <v>1176</v>
      </c>
      <c r="BC228" s="20" t="s">
        <v>1177</v>
      </c>
      <c r="BD228" s="20">
        <v>1</v>
      </c>
      <c r="BE228" s="20">
        <v>0</v>
      </c>
      <c r="BF228" s="20">
        <v>0</v>
      </c>
      <c r="BG228" s="20">
        <v>0</v>
      </c>
      <c r="BN228" s="20" t="s">
        <v>1178</v>
      </c>
      <c r="BV228" s="20">
        <v>0</v>
      </c>
      <c r="CL228" s="20">
        <v>0</v>
      </c>
      <c r="DD228" s="20" t="s">
        <v>1179</v>
      </c>
      <c r="DE228" s="20" t="s">
        <v>1179</v>
      </c>
      <c r="DI228" s="20">
        <v>0</v>
      </c>
      <c r="DP228" s="21" t="s">
        <v>1180</v>
      </c>
      <c r="DQ228" s="21" t="str">
        <f>PartsMaster!$A221</f>
        <v>LJA5003AB</v>
      </c>
      <c r="DR228" s="21" t="s">
        <v>1181</v>
      </c>
      <c r="DS228" s="21" t="str">
        <f>PartsMaster!$K222&amp;" "&amp;PartsMaster!L222&amp;" "&amp;PartsMaster!$M222</f>
        <v xml:space="preserve">Rear/Front Left/Right </v>
      </c>
    </row>
    <row r="229" spans="1:123" ht="30" hidden="1" x14ac:dyDescent="0.25">
      <c r="A229" s="20" t="s">
        <v>1166</v>
      </c>
      <c r="B229" s="20" t="s">
        <v>1167</v>
      </c>
      <c r="C229" s="20" t="s">
        <v>1168</v>
      </c>
      <c r="D229" s="21" t="str">
        <f>PartsMaster!B222&amp;" "&amp;PartsMaster!$C222</f>
        <v>Jaguar XK8 XKR X100 Bumper Reflector with Body</v>
      </c>
      <c r="E229" s="20">
        <v>3000</v>
      </c>
      <c r="F229" s="20" t="s">
        <v>1182</v>
      </c>
      <c r="H229" s="21">
        <f>PartsMaster!$Q222</f>
        <v>0</v>
      </c>
      <c r="I229" s="20">
        <v>9886</v>
      </c>
      <c r="K229" s="20">
        <v>0</v>
      </c>
      <c r="L229" s="20">
        <v>0</v>
      </c>
      <c r="M229" s="21">
        <f>PartsMaster!$D222</f>
        <v>0</v>
      </c>
      <c r="O229" s="20" t="s">
        <v>1169</v>
      </c>
      <c r="P229" s="23">
        <f>PartsMaster!$S222/1.45</f>
        <v>0</v>
      </c>
      <c r="S229" s="20">
        <v>30</v>
      </c>
      <c r="T229" s="20">
        <v>0</v>
      </c>
      <c r="U229" s="20" t="s">
        <v>1170</v>
      </c>
      <c r="Z229" s="26" t="str">
        <f>"&lt;P&gt;"&amp;PartsMaster!$I222&amp;" "&amp;PartsMaster!$H222&amp;"&lt;/P&gt;"&amp;"&lt;P&gt;Jaguar part name "&amp;PartsMaster!$E222&amp;"&lt;/P&gt;&lt;P&gt;Product numbers "&amp;PartsMaster!R222&amp;" "&amp;DQ229&amp;"&lt;/P&gt;&lt;P&gt;Fits starting from VIN/ModelYear "&amp;PartsMaster!$F222&amp;" until VIN/ModelYear "&amp;PartsMaster!$G222&amp;"&lt;/P&gt;&lt;P&gt;Condition: "&amp;PartsMaster!AB222&amp;"&lt;/P&gt;&lt;P&gt; (part source "&amp;PartsMaster!AD222&amp;")&lt;/P&gt;&lt;P&gt;Notes: "&amp;PartsMaster!AA222&amp;"&lt;/P&gt;"</f>
        <v>&lt;P&gt;Trim Bulp / Light&lt;/P&gt;&lt;P&gt;Jaguar part name &lt;/P&gt;&lt;P&gt;Product numbers  LJA5024AC&lt;/P&gt;&lt;P&gt;Fits starting from VIN/ModelYear  until VIN/ModelYear &lt;/P&gt;&lt;P&gt;Condition: jaguxkr@gmail.com&lt;/P&gt;&lt;P&gt; (part source )&lt;/P&gt;&lt;P&gt;Notes: &lt;/P&gt;</v>
      </c>
      <c r="AA229" s="20" t="s">
        <v>1171</v>
      </c>
      <c r="AC229" s="20">
        <v>0</v>
      </c>
      <c r="AD229" s="20">
        <v>0</v>
      </c>
      <c r="AE229" s="20" t="s">
        <v>1172</v>
      </c>
      <c r="AF229" s="20">
        <v>7</v>
      </c>
      <c r="AG229" s="20">
        <v>0</v>
      </c>
      <c r="AH229" s="20">
        <v>0</v>
      </c>
      <c r="AI229" s="20">
        <v>0</v>
      </c>
      <c r="AJ229" s="20">
        <v>0</v>
      </c>
      <c r="AK229" s="20">
        <v>0</v>
      </c>
      <c r="AO229" s="20" t="s">
        <v>1173</v>
      </c>
      <c r="AR229" s="20">
        <v>0</v>
      </c>
      <c r="AS229" s="20">
        <v>10112</v>
      </c>
      <c r="AV229" s="20" t="s">
        <v>1174</v>
      </c>
      <c r="AX229" s="20">
        <v>62128510024</v>
      </c>
      <c r="AY229" s="20">
        <v>62035811024</v>
      </c>
      <c r="AZ229" s="20">
        <v>55187694024</v>
      </c>
      <c r="BA229" s="20" t="s">
        <v>1175</v>
      </c>
      <c r="BB229" s="20" t="s">
        <v>1176</v>
      </c>
      <c r="BC229" s="20" t="s">
        <v>1177</v>
      </c>
      <c r="BD229" s="20">
        <v>1</v>
      </c>
      <c r="BE229" s="20">
        <v>0</v>
      </c>
      <c r="BF229" s="20">
        <v>0</v>
      </c>
      <c r="BG229" s="20">
        <v>0</v>
      </c>
      <c r="BN229" s="20" t="s">
        <v>1178</v>
      </c>
      <c r="BV229" s="20">
        <v>0</v>
      </c>
      <c r="CL229" s="20">
        <v>0</v>
      </c>
      <c r="DD229" s="20" t="s">
        <v>1179</v>
      </c>
      <c r="DE229" s="20" t="s">
        <v>1179</v>
      </c>
      <c r="DI229" s="20">
        <v>0</v>
      </c>
      <c r="DP229" s="21" t="s">
        <v>1180</v>
      </c>
      <c r="DQ229" s="21" t="str">
        <f>PartsMaster!$A222</f>
        <v>LJA5024AC</v>
      </c>
      <c r="DR229" s="21" t="s">
        <v>1181</v>
      </c>
      <c r="DS229" s="21" t="str">
        <f>PartsMaster!$K223&amp;" "&amp;PartsMaster!L223&amp;" "&amp;PartsMaster!$M223</f>
        <v>Front / Rear Left /right NA</v>
      </c>
    </row>
    <row r="230" spans="1:123" ht="30" hidden="1" x14ac:dyDescent="0.25">
      <c r="A230" s="20" t="s">
        <v>1166</v>
      </c>
      <c r="B230" s="20" t="s">
        <v>1167</v>
      </c>
      <c r="C230" s="20" t="s">
        <v>1168</v>
      </c>
      <c r="D230" s="21" t="str">
        <f>PartsMaster!B223&amp;" "&amp;PartsMaster!$C223</f>
        <v>Jaguar XK8 XKR X100 Relay 12V 40Amp</v>
      </c>
      <c r="E230" s="20">
        <v>3000</v>
      </c>
      <c r="F230" s="20" t="s">
        <v>1182</v>
      </c>
      <c r="H230" s="21">
        <f>PartsMaster!$Q223</f>
        <v>0</v>
      </c>
      <c r="I230" s="20">
        <v>9886</v>
      </c>
      <c r="K230" s="20">
        <v>0</v>
      </c>
      <c r="L230" s="20">
        <v>0</v>
      </c>
      <c r="M230" s="21">
        <f>PartsMaster!$D223</f>
        <v>10</v>
      </c>
      <c r="O230" s="20" t="s">
        <v>1169</v>
      </c>
      <c r="P230" s="23">
        <f>PartsMaster!$S223/1.45</f>
        <v>6.8965517241379315</v>
      </c>
      <c r="S230" s="20">
        <v>30</v>
      </c>
      <c r="T230" s="20">
        <v>0</v>
      </c>
      <c r="U230" s="20" t="s">
        <v>1170</v>
      </c>
      <c r="Z230" s="26" t="str">
        <f>"&lt;P&gt;"&amp;PartsMaster!$I223&amp;" "&amp;PartsMaster!$H223&amp;"&lt;/P&gt;"&amp;"&lt;P&gt;Jaguar part name "&amp;PartsMaster!$E223&amp;"&lt;/P&gt;&lt;P&gt;Product numbers "&amp;PartsMaster!R223&amp;" "&amp;DQ230&amp;"&lt;/P&gt;&lt;P&gt;Fits starting from VIN/ModelYear "&amp;PartsMaster!$F223&amp;" until VIN/ModelYear "&amp;PartsMaster!$G223&amp;"&lt;/P&gt;&lt;P&gt;Condition: "&amp;PartsMaster!AB223&amp;"&lt;/P&gt;&lt;P&gt; (part source "&amp;PartsMaster!AD223&amp;")&lt;/P&gt;&lt;P&gt;Notes: "&amp;PartsMaster!AA223&amp;"&lt;/P&gt;"</f>
        <v>&lt;P&gt;Relay Relay&lt;/P&gt;&lt;P&gt;Jaguar part name &lt;/P&gt;&lt;P&gt;Product numbers LJA6703AA LJA6703AA&lt;/P&gt;&lt;P&gt;Fits starting from VIN/ModelYear MY97 until VIN/ModelYear &lt;/P&gt;&lt;P&gt;Condition: Dismantled from bottom &amp; engine damaged MY1997 XK8 Convertible VIN 0136xx&lt;/P&gt;&lt;P&gt; (part source KK)&lt;/P&gt;&lt;P&gt;Notes: 4 Pins&lt;/P&gt;</v>
      </c>
      <c r="AA230" s="20" t="s">
        <v>1171</v>
      </c>
      <c r="AC230" s="20">
        <v>0</v>
      </c>
      <c r="AD230" s="20">
        <v>0</v>
      </c>
      <c r="AE230" s="20" t="s">
        <v>1172</v>
      </c>
      <c r="AF230" s="20">
        <v>7</v>
      </c>
      <c r="AG230" s="20">
        <v>0</v>
      </c>
      <c r="AH230" s="20">
        <v>0</v>
      </c>
      <c r="AI230" s="20">
        <v>0</v>
      </c>
      <c r="AJ230" s="20">
        <v>0</v>
      </c>
      <c r="AK230" s="20">
        <v>0</v>
      </c>
      <c r="AO230" s="20" t="s">
        <v>1173</v>
      </c>
      <c r="AR230" s="20">
        <v>0</v>
      </c>
      <c r="AS230" s="20">
        <v>10112</v>
      </c>
      <c r="AV230" s="20" t="s">
        <v>1174</v>
      </c>
      <c r="AX230" s="20">
        <v>62128510024</v>
      </c>
      <c r="AY230" s="20">
        <v>62035811024</v>
      </c>
      <c r="AZ230" s="20">
        <v>55187694024</v>
      </c>
      <c r="BA230" s="20" t="s">
        <v>1175</v>
      </c>
      <c r="BB230" s="20" t="s">
        <v>1176</v>
      </c>
      <c r="BC230" s="20" t="s">
        <v>1177</v>
      </c>
      <c r="BD230" s="20">
        <v>1</v>
      </c>
      <c r="BE230" s="20">
        <v>0</v>
      </c>
      <c r="BF230" s="20">
        <v>0</v>
      </c>
      <c r="BG230" s="20">
        <v>0</v>
      </c>
      <c r="BN230" s="20" t="s">
        <v>1178</v>
      </c>
      <c r="BV230" s="20">
        <v>0</v>
      </c>
      <c r="CL230" s="20">
        <v>0</v>
      </c>
      <c r="DD230" s="20" t="s">
        <v>1179</v>
      </c>
      <c r="DE230" s="20" t="s">
        <v>1179</v>
      </c>
      <c r="DI230" s="20">
        <v>0</v>
      </c>
      <c r="DP230" s="21" t="s">
        <v>1180</v>
      </c>
      <c r="DQ230" s="21" t="str">
        <f>PartsMaster!$A223</f>
        <v>LJA6703AA</v>
      </c>
      <c r="DR230" s="21" t="s">
        <v>1181</v>
      </c>
      <c r="DS230" s="21" t="str">
        <f>PartsMaster!$K224&amp;" "&amp;PartsMaster!L224&amp;" "&amp;PartsMaster!$M224</f>
        <v>Rear Right NA</v>
      </c>
    </row>
    <row r="231" spans="1:123" ht="30" hidden="1" x14ac:dyDescent="0.25">
      <c r="A231" s="20" t="s">
        <v>1166</v>
      </c>
      <c r="B231" s="20" t="s">
        <v>1167</v>
      </c>
      <c r="C231" s="20" t="s">
        <v>1168</v>
      </c>
      <c r="D231" s="21" t="str">
        <f>PartsMaster!B224&amp;" "&amp;PartsMaster!$C224</f>
        <v>Jaguar XK8 XKR X100 Relay 12V 40/30Amp</v>
      </c>
      <c r="E231" s="20">
        <v>3000</v>
      </c>
      <c r="F231" s="20" t="s">
        <v>1182</v>
      </c>
      <c r="H231" s="21">
        <f>PartsMaster!$Q224</f>
        <v>0</v>
      </c>
      <c r="I231" s="20">
        <v>9886</v>
      </c>
      <c r="K231" s="20">
        <v>0</v>
      </c>
      <c r="L231" s="20">
        <v>0</v>
      </c>
      <c r="M231" s="21">
        <f>PartsMaster!$D224</f>
        <v>4</v>
      </c>
      <c r="O231" s="20" t="s">
        <v>1169</v>
      </c>
      <c r="P231" s="23">
        <f>PartsMaster!$S224/1.45</f>
        <v>31.03448275862069</v>
      </c>
      <c r="S231" s="20">
        <v>30</v>
      </c>
      <c r="T231" s="20">
        <v>0</v>
      </c>
      <c r="U231" s="20" t="s">
        <v>1170</v>
      </c>
      <c r="Z231" s="26" t="str">
        <f>"&lt;P&gt;"&amp;PartsMaster!$I224&amp;" "&amp;PartsMaster!$H224&amp;"&lt;/P&gt;"&amp;"&lt;P&gt;Jaguar part name "&amp;PartsMaster!$E224&amp;"&lt;/P&gt;&lt;P&gt;Product numbers "&amp;PartsMaster!R224&amp;" "&amp;DQ231&amp;"&lt;/P&gt;&lt;P&gt;Fits starting from VIN/ModelYear "&amp;PartsMaster!$F224&amp;" until VIN/ModelYear "&amp;PartsMaster!$G224&amp;"&lt;/P&gt;&lt;P&gt;Condition: "&amp;PartsMaster!AB224&amp;"&lt;/P&gt;&lt;P&gt; (part source "&amp;PartsMaster!AD224&amp;")&lt;/P&gt;&lt;P&gt;Notes: "&amp;PartsMaster!AA224&amp;"&lt;/P&gt;"</f>
        <v>&lt;P&gt;Relay Relay&lt;/P&gt;&lt;P&gt;Jaguar part name ELECTRICAL DISTRIBUTION SYSTEM - RELAYS - Change Over Relay&lt;/P&gt;&lt;P&gt;Product numbers LJA6707AA LJA6707AA&lt;/P&gt;&lt;P&gt;Fits starting from VIN/ModelYear MY97 until VIN/ModelYear &lt;/P&gt;&lt;P&gt;Condition: Dismantled from bottom &amp; engine damaged MY1997 XK8 Convertible VIN 0136xx&lt;/P&gt;&lt;P&gt; (part source KK)&lt;/P&gt;&lt;P&gt;Notes: 5 Pins&lt;/P&gt;</v>
      </c>
      <c r="AA231" s="20" t="s">
        <v>1171</v>
      </c>
      <c r="AC231" s="20">
        <v>0</v>
      </c>
      <c r="AD231" s="20">
        <v>0</v>
      </c>
      <c r="AE231" s="20" t="s">
        <v>1172</v>
      </c>
      <c r="AF231" s="20">
        <v>7</v>
      </c>
      <c r="AG231" s="20">
        <v>0</v>
      </c>
      <c r="AH231" s="20">
        <v>0</v>
      </c>
      <c r="AI231" s="20">
        <v>0</v>
      </c>
      <c r="AJ231" s="20">
        <v>0</v>
      </c>
      <c r="AK231" s="20">
        <v>0</v>
      </c>
      <c r="AO231" s="20" t="s">
        <v>1173</v>
      </c>
      <c r="AR231" s="20">
        <v>0</v>
      </c>
      <c r="AS231" s="20">
        <v>10112</v>
      </c>
      <c r="AV231" s="20" t="s">
        <v>1174</v>
      </c>
      <c r="AX231" s="20">
        <v>62128510024</v>
      </c>
      <c r="AY231" s="20">
        <v>62035811024</v>
      </c>
      <c r="AZ231" s="20">
        <v>55187694024</v>
      </c>
      <c r="BA231" s="20" t="s">
        <v>1175</v>
      </c>
      <c r="BB231" s="20" t="s">
        <v>1176</v>
      </c>
      <c r="BC231" s="20" t="s">
        <v>1177</v>
      </c>
      <c r="BD231" s="20">
        <v>1</v>
      </c>
      <c r="BE231" s="20">
        <v>0</v>
      </c>
      <c r="BF231" s="20">
        <v>0</v>
      </c>
      <c r="BG231" s="20">
        <v>0</v>
      </c>
      <c r="BN231" s="20" t="s">
        <v>1178</v>
      </c>
      <c r="BV231" s="20">
        <v>0</v>
      </c>
      <c r="CL231" s="20">
        <v>0</v>
      </c>
      <c r="DD231" s="20" t="s">
        <v>1179</v>
      </c>
      <c r="DE231" s="20" t="s">
        <v>1179</v>
      </c>
      <c r="DI231" s="20">
        <v>0</v>
      </c>
      <c r="DP231" s="21" t="s">
        <v>1180</v>
      </c>
      <c r="DQ231" s="21" t="str">
        <f>PartsMaster!$A224</f>
        <v>LJA6707AA</v>
      </c>
      <c r="DR231" s="21" t="s">
        <v>1181</v>
      </c>
      <c r="DS231" s="21" t="str">
        <f>PartsMaster!$K225&amp;" "&amp;PartsMaster!L225&amp;" "&amp;PartsMaster!$M225</f>
        <v>Rear Left /right NA</v>
      </c>
    </row>
    <row r="232" spans="1:123" ht="30" hidden="1" x14ac:dyDescent="0.25">
      <c r="A232" s="20" t="s">
        <v>1166</v>
      </c>
      <c r="B232" s="20" t="s">
        <v>1167</v>
      </c>
      <c r="C232" s="20" t="s">
        <v>1168</v>
      </c>
      <c r="D232" s="21" t="str">
        <f>PartsMaster!B225&amp;" "&amp;PartsMaster!$C225</f>
        <v>Jaguar XK8 XKR X100 Relay Cover</v>
      </c>
      <c r="E232" s="20">
        <v>3000</v>
      </c>
      <c r="F232" s="20" t="s">
        <v>1182</v>
      </c>
      <c r="H232" s="21">
        <f>PartsMaster!$Q225</f>
        <v>0</v>
      </c>
      <c r="I232" s="20">
        <v>9886</v>
      </c>
      <c r="K232" s="20">
        <v>0</v>
      </c>
      <c r="L232" s="20">
        <v>0</v>
      </c>
      <c r="M232" s="21">
        <f>PartsMaster!$D225</f>
        <v>3</v>
      </c>
      <c r="O232" s="20" t="s">
        <v>1169</v>
      </c>
      <c r="P232" s="23">
        <f>PartsMaster!$S225/1.45</f>
        <v>10.344827586206897</v>
      </c>
      <c r="S232" s="20">
        <v>30</v>
      </c>
      <c r="T232" s="20">
        <v>0</v>
      </c>
      <c r="U232" s="20" t="s">
        <v>1170</v>
      </c>
      <c r="Z232" s="26" t="str">
        <f>"&lt;P&gt;"&amp;PartsMaster!$I225&amp;" "&amp;PartsMaster!$H225&amp;"&lt;/P&gt;"&amp;"&lt;P&gt;Jaguar part name "&amp;PartsMaster!$E225&amp;"&lt;/P&gt;&lt;P&gt;Product numbers "&amp;PartsMaster!R225&amp;" "&amp;DQ232&amp;"&lt;/P&gt;&lt;P&gt;Fits starting from VIN/ModelYear "&amp;PartsMaster!$F225&amp;" until VIN/ModelYear "&amp;PartsMaster!$G225&amp;"&lt;/P&gt;&lt;P&gt;Condition: "&amp;PartsMaster!AB225&amp;"&lt;/P&gt;&lt;P&gt; (part source "&amp;PartsMaster!AD225&amp;")&lt;/P&gt;&lt;P&gt;Notes: "&amp;PartsMaster!AA225&amp;"&lt;/P&gt;"</f>
        <v>&lt;P&gt;Cap / Cover Cap / Cover / Trim&lt;/P&gt;&lt;P&gt;Jaguar part name ELECTRICAL DISTRIBUTION SYSTEM /RELAYS 
Relay Cover&lt;/P&gt;&lt;P&gt;Product numbers LJA6735AB  LJA6735AB &lt;/P&gt;&lt;P&gt;Fits starting from VIN/ModelYear MY97 until VIN/ModelYear 042755&lt;/P&gt;&lt;P&gt;Condition: Dismantled from bottom &amp; engine damaged MY1997 XK8 Convertible VIN 0136xx&lt;/P&gt;&lt;P&gt; (part source KK)&lt;/P&gt;&lt;P&gt;Notes: &lt;/P&gt;</v>
      </c>
      <c r="AA232" s="20" t="s">
        <v>1171</v>
      </c>
      <c r="AC232" s="20">
        <v>0</v>
      </c>
      <c r="AD232" s="20">
        <v>0</v>
      </c>
      <c r="AE232" s="20" t="s">
        <v>1172</v>
      </c>
      <c r="AF232" s="20">
        <v>7</v>
      </c>
      <c r="AG232" s="20">
        <v>0</v>
      </c>
      <c r="AH232" s="20">
        <v>0</v>
      </c>
      <c r="AI232" s="20">
        <v>0</v>
      </c>
      <c r="AJ232" s="20">
        <v>0</v>
      </c>
      <c r="AK232" s="20">
        <v>0</v>
      </c>
      <c r="AO232" s="20" t="s">
        <v>1173</v>
      </c>
      <c r="AR232" s="20">
        <v>0</v>
      </c>
      <c r="AS232" s="20">
        <v>10112</v>
      </c>
      <c r="AV232" s="20" t="s">
        <v>1174</v>
      </c>
      <c r="AX232" s="20">
        <v>62128510024</v>
      </c>
      <c r="AY232" s="20">
        <v>62035811024</v>
      </c>
      <c r="AZ232" s="20">
        <v>55187694024</v>
      </c>
      <c r="BA232" s="20" t="s">
        <v>1175</v>
      </c>
      <c r="BB232" s="20" t="s">
        <v>1176</v>
      </c>
      <c r="BC232" s="20" t="s">
        <v>1177</v>
      </c>
      <c r="BD232" s="20">
        <v>1</v>
      </c>
      <c r="BE232" s="20">
        <v>0</v>
      </c>
      <c r="BF232" s="20">
        <v>0</v>
      </c>
      <c r="BG232" s="20">
        <v>0</v>
      </c>
      <c r="BN232" s="20" t="s">
        <v>1178</v>
      </c>
      <c r="BV232" s="20">
        <v>0</v>
      </c>
      <c r="CL232" s="20">
        <v>0</v>
      </c>
      <c r="DD232" s="20" t="s">
        <v>1179</v>
      </c>
      <c r="DE232" s="20" t="s">
        <v>1179</v>
      </c>
      <c r="DI232" s="20">
        <v>0</v>
      </c>
      <c r="DP232" s="21" t="s">
        <v>1180</v>
      </c>
      <c r="DQ232" s="21" t="str">
        <f>PartsMaster!$A225</f>
        <v xml:space="preserve">LJA6735AB </v>
      </c>
      <c r="DR232" s="21" t="s">
        <v>1181</v>
      </c>
      <c r="DS232" s="21" t="str">
        <f>PartsMaster!$K226&amp;" "&amp;PartsMaster!L226&amp;" "&amp;PartsMaster!$M226</f>
        <v xml:space="preserve"> Center </v>
      </c>
    </row>
    <row r="233" spans="1:123" hidden="1" x14ac:dyDescent="0.25">
      <c r="A233" s="20" t="s">
        <v>1166</v>
      </c>
      <c r="B233" s="20" t="s">
        <v>1167</v>
      </c>
      <c r="C233" s="20" t="s">
        <v>1168</v>
      </c>
      <c r="D233" s="21" t="str">
        <f>PartsMaster!B226&amp;" "&amp;PartsMaster!$C226</f>
        <v>Jaguar XK8 XKR X100 Radio Casette Player Unit</v>
      </c>
      <c r="E233" s="20">
        <v>3000</v>
      </c>
      <c r="F233" s="20" t="s">
        <v>1182</v>
      </c>
      <c r="H233" s="21" t="str">
        <f>PartsMaster!$Q226</f>
        <v>Radio/Casette Player</v>
      </c>
      <c r="I233" s="20">
        <v>9886</v>
      </c>
      <c r="K233" s="20">
        <v>0</v>
      </c>
      <c r="L233" s="20">
        <v>0</v>
      </c>
      <c r="M233" s="21">
        <f>PartsMaster!$D226</f>
        <v>0</v>
      </c>
      <c r="O233" s="20" t="s">
        <v>1169</v>
      </c>
      <c r="P233" s="23">
        <f>PartsMaster!$S226/1.45</f>
        <v>31.03448275862069</v>
      </c>
      <c r="S233" s="20">
        <v>30</v>
      </c>
      <c r="T233" s="20">
        <v>0</v>
      </c>
      <c r="U233" s="20" t="s">
        <v>1170</v>
      </c>
      <c r="Z233" s="26" t="str">
        <f>"&lt;P&gt;"&amp;PartsMaster!$I226&amp;" "&amp;PartsMaster!$H226&amp;"&lt;/P&gt;"&amp;"&lt;P&gt;Jaguar part name "&amp;PartsMaster!$E226&amp;"&lt;/P&gt;&lt;P&gt;Product numbers "&amp;PartsMaster!R226&amp;" "&amp;DQ233&amp;"&lt;/P&gt;&lt;P&gt;Fits starting from VIN/ModelYear "&amp;PartsMaster!$F226&amp;" until VIN/ModelYear "&amp;PartsMaster!$G226&amp;"&lt;/P&gt;&lt;P&gt;Condition: "&amp;PartsMaster!AB226&amp;"&lt;/P&gt;&lt;P&gt; (part source "&amp;PartsMaster!AD226&amp;")&lt;/P&gt;&lt;P&gt;Notes: "&amp;PartsMaster!AA226&amp;"&lt;/P&gt;"</f>
        <v>&lt;P&gt;In Car Entertainment Radio&lt;/P&gt;&lt;P&gt;Jaguar part name IN CAR ENTERTAINMENT/RADIO - Radio/cassette player&lt;/P&gt;&lt;P&gt;Product numbers AJ9850A LJB4100BA&lt;/P&gt;&lt;P&gt;Fits starting from VIN/ModelYear 018108 until VIN/ModelYear 042775&lt;/P&gt;&lt;P&gt;Condition: Extra used spare. &lt;/P&gt;&lt;P&gt; (part source JP)&lt;/P&gt;&lt;P&gt;Notes: USA model.&lt;/P&gt;</v>
      </c>
      <c r="AA233" s="20" t="s">
        <v>1171</v>
      </c>
      <c r="AC233" s="20">
        <v>0</v>
      </c>
      <c r="AD233" s="20">
        <v>0</v>
      </c>
      <c r="AE233" s="20" t="s">
        <v>1172</v>
      </c>
      <c r="AF233" s="20">
        <v>7</v>
      </c>
      <c r="AG233" s="20">
        <v>0</v>
      </c>
      <c r="AH233" s="20">
        <v>0</v>
      </c>
      <c r="AI233" s="20">
        <v>0</v>
      </c>
      <c r="AJ233" s="20">
        <v>0</v>
      </c>
      <c r="AK233" s="20">
        <v>0</v>
      </c>
      <c r="AO233" s="20" t="s">
        <v>1173</v>
      </c>
      <c r="AR233" s="20">
        <v>0</v>
      </c>
      <c r="AS233" s="20">
        <v>10112</v>
      </c>
      <c r="AV233" s="20" t="s">
        <v>1174</v>
      </c>
      <c r="AX233" s="20">
        <v>62128510024</v>
      </c>
      <c r="AY233" s="20">
        <v>62035811024</v>
      </c>
      <c r="AZ233" s="20">
        <v>55187694024</v>
      </c>
      <c r="BA233" s="20" t="s">
        <v>1175</v>
      </c>
      <c r="BB233" s="20" t="s">
        <v>1176</v>
      </c>
      <c r="BC233" s="20" t="s">
        <v>1177</v>
      </c>
      <c r="BD233" s="20">
        <v>1</v>
      </c>
      <c r="BE233" s="20">
        <v>0</v>
      </c>
      <c r="BF233" s="20">
        <v>0</v>
      </c>
      <c r="BG233" s="20">
        <v>0</v>
      </c>
      <c r="BN233" s="20" t="s">
        <v>1178</v>
      </c>
      <c r="BV233" s="20">
        <v>0</v>
      </c>
      <c r="CL233" s="20">
        <v>0</v>
      </c>
      <c r="DD233" s="20" t="s">
        <v>1179</v>
      </c>
      <c r="DE233" s="20" t="s">
        <v>1179</v>
      </c>
      <c r="DI233" s="20">
        <v>0</v>
      </c>
      <c r="DP233" s="21" t="s">
        <v>1180</v>
      </c>
      <c r="DQ233" s="21" t="str">
        <f>PartsMaster!$A226</f>
        <v>LJB4100BA</v>
      </c>
      <c r="DR233" s="21" t="s">
        <v>1181</v>
      </c>
      <c r="DS233" s="21" t="str">
        <f>PartsMaster!$K227&amp;" "&amp;PartsMaster!L227&amp;" "&amp;PartsMaster!$M227</f>
        <v xml:space="preserve">Front Left </v>
      </c>
    </row>
    <row r="234" spans="1:123" ht="30" hidden="1" x14ac:dyDescent="0.25">
      <c r="A234" s="20" t="s">
        <v>1166</v>
      </c>
      <c r="B234" s="20" t="s">
        <v>1167</v>
      </c>
      <c r="C234" s="20" t="s">
        <v>1168</v>
      </c>
      <c r="D234" s="21" t="str">
        <f>PartsMaster!B227&amp;" "&amp;PartsMaster!$C227</f>
        <v>Jaguar XK8 XKR X100 XJ8 XJR X308 Major Instrument Pack</v>
      </c>
      <c r="E234" s="20">
        <v>3000</v>
      </c>
      <c r="F234" s="20" t="s">
        <v>1182</v>
      </c>
      <c r="H234" s="21">
        <f>PartsMaster!$Q227</f>
        <v>0</v>
      </c>
      <c r="I234" s="20">
        <v>9886</v>
      </c>
      <c r="K234" s="20">
        <v>0</v>
      </c>
      <c r="L234" s="20">
        <v>0</v>
      </c>
      <c r="M234" s="21">
        <f>PartsMaster!$D227</f>
        <v>1</v>
      </c>
      <c r="O234" s="20" t="s">
        <v>1169</v>
      </c>
      <c r="P234" s="23">
        <f>PartsMaster!$S227/1.45</f>
        <v>120.68965517241379</v>
      </c>
      <c r="S234" s="20">
        <v>30</v>
      </c>
      <c r="T234" s="20">
        <v>0</v>
      </c>
      <c r="U234" s="20" t="s">
        <v>1170</v>
      </c>
      <c r="Z234" s="26" t="str">
        <f>"&lt;P&gt;"&amp;PartsMaster!$I227&amp;" "&amp;PartsMaster!$H227&amp;"&lt;/P&gt;"&amp;"&lt;P&gt;Jaguar part name "&amp;PartsMaster!$E227&amp;"&lt;/P&gt;&lt;P&gt;Product numbers "&amp;PartsMaster!R227&amp;" "&amp;DQ234&amp;"&lt;/P&gt;&lt;P&gt;Fits starting from VIN/ModelYear "&amp;PartsMaster!$F227&amp;" until VIN/ModelYear "&amp;PartsMaster!$G227&amp;"&lt;/P&gt;&lt;P&gt;Condition: "&amp;PartsMaster!AB227&amp;"&lt;/P&gt;&lt;P&gt; (part source "&amp;PartsMaster!AD227&amp;")&lt;/P&gt;&lt;P&gt;Notes: "&amp;PartsMaster!AA227&amp;"&lt;/P&gt;"</f>
        <v>&lt;P&gt;Instrumentatiton Instrumentation&lt;/P&gt;&lt;P&gt;Jaguar part name INFORMATION SYSTEMS AND CONTROLS/SPEEDOMETER/TACHOMETER AND GAUGES - Major instrument pack - Except 4.0 Litre supercharged - KPH - From VIN (A11051)&lt;/P&gt;&lt;P&gt;Product numbers  LJE4300BB-106&lt;/P&gt;&lt;P&gt;Fits starting from VIN/ModelYear X100 A11051 - X308 F20645 until VIN/ModelYear X100 A30644 - X308 F59525&lt;/P&gt;&lt;P&gt;Condition: X100 VIN 1NA15132&lt;/P&gt;&lt;P&gt; (part source )&lt;/P&gt;&lt;P&gt;Notes: &lt;/P&gt;</v>
      </c>
      <c r="AA234" s="20" t="s">
        <v>1171</v>
      </c>
      <c r="AC234" s="20">
        <v>0</v>
      </c>
      <c r="AD234" s="20">
        <v>0</v>
      </c>
      <c r="AE234" s="20" t="s">
        <v>1172</v>
      </c>
      <c r="AF234" s="20">
        <v>7</v>
      </c>
      <c r="AG234" s="20">
        <v>0</v>
      </c>
      <c r="AH234" s="20">
        <v>0</v>
      </c>
      <c r="AI234" s="20">
        <v>0</v>
      </c>
      <c r="AJ234" s="20">
        <v>0</v>
      </c>
      <c r="AK234" s="20">
        <v>0</v>
      </c>
      <c r="AO234" s="20" t="s">
        <v>1173</v>
      </c>
      <c r="AR234" s="20">
        <v>0</v>
      </c>
      <c r="AS234" s="20">
        <v>10112</v>
      </c>
      <c r="AV234" s="20" t="s">
        <v>1174</v>
      </c>
      <c r="AX234" s="20">
        <v>62128510024</v>
      </c>
      <c r="AY234" s="20">
        <v>62035811024</v>
      </c>
      <c r="AZ234" s="20">
        <v>55187694024</v>
      </c>
      <c r="BA234" s="20" t="s">
        <v>1175</v>
      </c>
      <c r="BB234" s="20" t="s">
        <v>1176</v>
      </c>
      <c r="BC234" s="20" t="s">
        <v>1177</v>
      </c>
      <c r="BD234" s="20">
        <v>1</v>
      </c>
      <c r="BE234" s="20">
        <v>0</v>
      </c>
      <c r="BF234" s="20">
        <v>0</v>
      </c>
      <c r="BG234" s="20">
        <v>0</v>
      </c>
      <c r="BN234" s="20" t="s">
        <v>1178</v>
      </c>
      <c r="BV234" s="20">
        <v>0</v>
      </c>
      <c r="CL234" s="20">
        <v>0</v>
      </c>
      <c r="DD234" s="20" t="s">
        <v>1179</v>
      </c>
      <c r="DE234" s="20" t="s">
        <v>1179</v>
      </c>
      <c r="DI234" s="20">
        <v>0</v>
      </c>
      <c r="DP234" s="21" t="s">
        <v>1180</v>
      </c>
      <c r="DQ234" s="21" t="str">
        <f>PartsMaster!$A227</f>
        <v>LJE4300BB-106</v>
      </c>
      <c r="DR234" s="21" t="s">
        <v>1181</v>
      </c>
      <c r="DS234" s="21" t="str">
        <f>PartsMaster!$K228&amp;" "&amp;PartsMaster!L228&amp;" "&amp;PartsMaster!$M228</f>
        <v>Rear Right NA</v>
      </c>
    </row>
    <row r="235" spans="1:123" ht="30" hidden="1" x14ac:dyDescent="0.25">
      <c r="A235" s="20" t="s">
        <v>1166</v>
      </c>
      <c r="B235" s="20" t="s">
        <v>1167</v>
      </c>
      <c r="C235" s="20" t="s">
        <v>1168</v>
      </c>
      <c r="D235" s="21" t="str">
        <f>PartsMaster!B228&amp;" "&amp;PartsMaster!$C228</f>
        <v xml:space="preserve">Jaguar XK8 XKR X100 Aerial Mast </v>
      </c>
      <c r="E235" s="20">
        <v>3000</v>
      </c>
      <c r="F235" s="20" t="s">
        <v>1182</v>
      </c>
      <c r="H235" s="21" t="str">
        <f>PartsMaster!$Q228</f>
        <v xml:space="preserve">Aerial Mast </v>
      </c>
      <c r="I235" s="20">
        <v>9886</v>
      </c>
      <c r="K235" s="20">
        <v>0</v>
      </c>
      <c r="L235" s="20">
        <v>0</v>
      </c>
      <c r="M235" s="21">
        <f>PartsMaster!$D228</f>
        <v>0</v>
      </c>
      <c r="O235" s="20" t="s">
        <v>1169</v>
      </c>
      <c r="P235" s="23">
        <f>PartsMaster!$S228/1.45</f>
        <v>0</v>
      </c>
      <c r="S235" s="20">
        <v>30</v>
      </c>
      <c r="T235" s="20">
        <v>0</v>
      </c>
      <c r="U235" s="20" t="s">
        <v>1170</v>
      </c>
      <c r="Z235" s="26" t="str">
        <f>"&lt;P&gt;"&amp;PartsMaster!$I228&amp;" "&amp;PartsMaster!$H228&amp;"&lt;/P&gt;"&amp;"&lt;P&gt;Jaguar part name "&amp;PartsMaster!$E228&amp;"&lt;/P&gt;&lt;P&gt;Product numbers "&amp;PartsMaster!R228&amp;" "&amp;DQ235&amp;"&lt;/P&gt;&lt;P&gt;Fits starting from VIN/ModelYear "&amp;PartsMaster!$F228&amp;" until VIN/ModelYear "&amp;PartsMaster!$G228&amp;"&lt;/P&gt;&lt;P&gt;Condition: "&amp;PartsMaster!AB228&amp;"&lt;/P&gt;&lt;P&gt; (part source "&amp;PartsMaster!AD228&amp;")&lt;/P&gt;&lt;P&gt;Notes: "&amp;PartsMaster!AA228&amp;"&lt;/P&gt;"</f>
        <v>&lt;P&gt; &lt;/P&gt;&lt;P&gt;Jaguar part name Antenna Aerial Mast &lt;/P&gt;&lt;P&gt;Product numbers LNA4134AA LNA4134AA&lt;/P&gt;&lt;P&gt;Fits starting from VIN/ModelYear Jaguar X308 XJ8 &amp; XJR 1997 To 2002 
XK8 &amp;XKR 1996 To 2006 
X300 XJ6 XJ12 &amp; XJR 1995 To 1997 
XJ40 XJ6 &amp; XJ12 1994 From Vin 687219 
XJS 1993 To 1996 From Vin 190528 until VIN/ModelYear Jaguar X308 XJ8 &amp; XJR 2002 
XK8 &amp;XKR 2006 
X300 XJ6 XJ12 &amp; XJR 1997 
XJ40 XJ6 &amp; XJ12 -&gt;
XJS 1996 &lt;/P&gt;&lt;P&gt;Condition: British Parts&lt;/P&gt;&lt;P&gt; (part source )&lt;/P&gt;&lt;P&gt;Notes: &lt;/P&gt;</v>
      </c>
      <c r="AA235" s="20" t="s">
        <v>1171</v>
      </c>
      <c r="AC235" s="20">
        <v>0</v>
      </c>
      <c r="AD235" s="20">
        <v>0</v>
      </c>
      <c r="AE235" s="20" t="s">
        <v>1172</v>
      </c>
      <c r="AF235" s="20">
        <v>7</v>
      </c>
      <c r="AG235" s="20">
        <v>0</v>
      </c>
      <c r="AH235" s="20">
        <v>0</v>
      </c>
      <c r="AI235" s="20">
        <v>0</v>
      </c>
      <c r="AJ235" s="20">
        <v>0</v>
      </c>
      <c r="AK235" s="20">
        <v>0</v>
      </c>
      <c r="AO235" s="20" t="s">
        <v>1173</v>
      </c>
      <c r="AR235" s="20">
        <v>0</v>
      </c>
      <c r="AS235" s="20">
        <v>10112</v>
      </c>
      <c r="AV235" s="20" t="s">
        <v>1174</v>
      </c>
      <c r="AX235" s="20">
        <v>62128510024</v>
      </c>
      <c r="AY235" s="20">
        <v>62035811024</v>
      </c>
      <c r="AZ235" s="20">
        <v>55187694024</v>
      </c>
      <c r="BA235" s="20" t="s">
        <v>1175</v>
      </c>
      <c r="BB235" s="20" t="s">
        <v>1176</v>
      </c>
      <c r="BC235" s="20" t="s">
        <v>1177</v>
      </c>
      <c r="BD235" s="20">
        <v>1</v>
      </c>
      <c r="BE235" s="20">
        <v>0</v>
      </c>
      <c r="BF235" s="20">
        <v>0</v>
      </c>
      <c r="BG235" s="20">
        <v>0</v>
      </c>
      <c r="BN235" s="20" t="s">
        <v>1178</v>
      </c>
      <c r="BV235" s="20">
        <v>0</v>
      </c>
      <c r="CL235" s="20">
        <v>0</v>
      </c>
      <c r="DD235" s="20" t="s">
        <v>1179</v>
      </c>
      <c r="DE235" s="20" t="s">
        <v>1179</v>
      </c>
      <c r="DI235" s="20">
        <v>0</v>
      </c>
      <c r="DP235" s="21" t="s">
        <v>1180</v>
      </c>
      <c r="DQ235" s="21" t="str">
        <f>PartsMaster!$A228</f>
        <v>LNA4134AA</v>
      </c>
      <c r="DR235" s="21" t="s">
        <v>1181</v>
      </c>
      <c r="DS235" s="21" t="str">
        <f>PartsMaster!$K229&amp;" "&amp;PartsMaster!L229&amp;" "&amp;PartsMaster!$M229</f>
        <v>Front Left NA</v>
      </c>
    </row>
    <row r="236" spans="1:123" ht="30" hidden="1" x14ac:dyDescent="0.25">
      <c r="A236" s="20" t="s">
        <v>1166</v>
      </c>
      <c r="B236" s="20" t="s">
        <v>1167</v>
      </c>
      <c r="C236" s="20" t="s">
        <v>1168</v>
      </c>
      <c r="D236" s="21" t="str">
        <f>PartsMaster!B229&amp;" "&amp;PartsMaster!$C229</f>
        <v>Jaguar XK8 XKR X100 ABS Pump Controller</v>
      </c>
      <c r="E236" s="20">
        <v>3000</v>
      </c>
      <c r="F236" s="20" t="s">
        <v>1182</v>
      </c>
      <c r="H236" s="21">
        <f>PartsMaster!$Q229</f>
        <v>0</v>
      </c>
      <c r="I236" s="20">
        <v>9886</v>
      </c>
      <c r="K236" s="20">
        <v>0</v>
      </c>
      <c r="L236" s="20">
        <v>0</v>
      </c>
      <c r="M236" s="21">
        <f>PartsMaster!$D229</f>
        <v>0</v>
      </c>
      <c r="O236" s="20" t="s">
        <v>1169</v>
      </c>
      <c r="P236" s="23">
        <f>PartsMaster!$S229/1.45</f>
        <v>0</v>
      </c>
      <c r="S236" s="20">
        <v>30</v>
      </c>
      <c r="T236" s="20">
        <v>0</v>
      </c>
      <c r="U236" s="20" t="s">
        <v>1170</v>
      </c>
      <c r="Z236" s="26" t="str">
        <f>"&lt;P&gt;"&amp;PartsMaster!$I229&amp;" "&amp;PartsMaster!$H229&amp;"&lt;/P&gt;"&amp;"&lt;P&gt;Jaguar part name "&amp;PartsMaster!$E229&amp;"&lt;/P&gt;&lt;P&gt;Product numbers "&amp;PartsMaster!R229&amp;" "&amp;DQ236&amp;"&lt;/P&gt;&lt;P&gt;Fits starting from VIN/ModelYear "&amp;PartsMaster!$F229&amp;" until VIN/ModelYear "&amp;PartsMaster!$G229&amp;"&lt;/P&gt;&lt;P&gt;Condition: "&amp;PartsMaster!AB229&amp;"&lt;/P&gt;&lt;P&gt; (part source "&amp;PartsMaster!AD229&amp;")&lt;/P&gt;&lt;P&gt;Notes: "&amp;PartsMaster!AA229&amp;"&lt;/P&gt;"</f>
        <v>&lt;P&gt;Brakes Controller&lt;/P&gt;&lt;P&gt;Jaguar part name BRAKING SYSTEM/ANTI LOCK BRAKING SYSTEM - Electronic control module - 9 valve  - 6 pipes&lt;/P&gt;&lt;P&gt;Product numbers LNC2210AD LNC2210AD&lt;/P&gt;&lt;P&gt;Fits starting from VIN/ModelYear  until VIN/ModelYear &lt;/P&gt;&lt;P&gt;Condition: &lt;/P&gt;&lt;P&gt; (part source SH)&lt;/P&gt;&lt;P&gt;Notes: &lt;/P&gt;</v>
      </c>
      <c r="AA236" s="20" t="s">
        <v>1171</v>
      </c>
      <c r="AC236" s="20">
        <v>0</v>
      </c>
      <c r="AD236" s="20">
        <v>0</v>
      </c>
      <c r="AE236" s="20" t="s">
        <v>1172</v>
      </c>
      <c r="AF236" s="20">
        <v>7</v>
      </c>
      <c r="AG236" s="20">
        <v>0</v>
      </c>
      <c r="AH236" s="20">
        <v>0</v>
      </c>
      <c r="AI236" s="20">
        <v>0</v>
      </c>
      <c r="AJ236" s="20">
        <v>0</v>
      </c>
      <c r="AK236" s="20">
        <v>0</v>
      </c>
      <c r="AO236" s="20" t="s">
        <v>1173</v>
      </c>
      <c r="AR236" s="20">
        <v>0</v>
      </c>
      <c r="AS236" s="20">
        <v>10112</v>
      </c>
      <c r="AV236" s="20" t="s">
        <v>1174</v>
      </c>
      <c r="AX236" s="20">
        <v>62128510024</v>
      </c>
      <c r="AY236" s="20">
        <v>62035811024</v>
      </c>
      <c r="AZ236" s="20">
        <v>55187694024</v>
      </c>
      <c r="BA236" s="20" t="s">
        <v>1175</v>
      </c>
      <c r="BB236" s="20" t="s">
        <v>1176</v>
      </c>
      <c r="BC236" s="20" t="s">
        <v>1177</v>
      </c>
      <c r="BD236" s="20">
        <v>1</v>
      </c>
      <c r="BE236" s="20">
        <v>0</v>
      </c>
      <c r="BF236" s="20">
        <v>0</v>
      </c>
      <c r="BG236" s="20">
        <v>0</v>
      </c>
      <c r="BN236" s="20" t="s">
        <v>1178</v>
      </c>
      <c r="BV236" s="20">
        <v>0</v>
      </c>
      <c r="CL236" s="20">
        <v>0</v>
      </c>
      <c r="DD236" s="20" t="s">
        <v>1179</v>
      </c>
      <c r="DE236" s="20" t="s">
        <v>1179</v>
      </c>
      <c r="DI236" s="20">
        <v>0</v>
      </c>
      <c r="DP236" s="21" t="s">
        <v>1180</v>
      </c>
      <c r="DQ236" s="21" t="str">
        <f>PartsMaster!$A229</f>
        <v>LNC2210AD</v>
      </c>
      <c r="DR236" s="21" t="s">
        <v>1181</v>
      </c>
      <c r="DS236" s="21" t="str">
        <f>PartsMaster!$K230&amp;" "&amp;PartsMaster!L230&amp;" "&amp;PartsMaster!$M230</f>
        <v xml:space="preserve">  </v>
      </c>
    </row>
    <row r="237" spans="1:123" ht="30" hidden="1" x14ac:dyDescent="0.25">
      <c r="A237" s="20" t="s">
        <v>1166</v>
      </c>
      <c r="B237" s="20" t="s">
        <v>1167</v>
      </c>
      <c r="C237" s="20" t="s">
        <v>1168</v>
      </c>
      <c r="D237" s="21" t="str">
        <f>PartsMaster!B230&amp;" "&amp;PartsMaster!$C230</f>
        <v>Jaguar XK8 XKR X100 CD Cartridge Magazine (EU)</v>
      </c>
      <c r="E237" s="20">
        <v>3000</v>
      </c>
      <c r="F237" s="20" t="s">
        <v>1182</v>
      </c>
      <c r="H237" s="21">
        <f>PartsMaster!$Q230</f>
        <v>0</v>
      </c>
      <c r="I237" s="20">
        <v>9886</v>
      </c>
      <c r="K237" s="20">
        <v>0</v>
      </c>
      <c r="L237" s="20">
        <v>0</v>
      </c>
      <c r="M237" s="21">
        <f>PartsMaster!$D230</f>
        <v>0</v>
      </c>
      <c r="O237" s="20" t="s">
        <v>1169</v>
      </c>
      <c r="P237" s="23">
        <f>PartsMaster!$S230/1.45</f>
        <v>0</v>
      </c>
      <c r="S237" s="20">
        <v>30</v>
      </c>
      <c r="T237" s="20">
        <v>0</v>
      </c>
      <c r="U237" s="20" t="s">
        <v>1170</v>
      </c>
      <c r="Z237" s="26" t="str">
        <f>"&lt;P&gt;"&amp;PartsMaster!$I230&amp;" "&amp;PartsMaster!$H230&amp;"&lt;/P&gt;"&amp;"&lt;P&gt;Jaguar part name "&amp;PartsMaster!$E230&amp;"&lt;/P&gt;&lt;P&gt;Product numbers "&amp;PartsMaster!R230&amp;" "&amp;DQ237&amp;"&lt;/P&gt;&lt;P&gt;Fits starting from VIN/ModelYear "&amp;PartsMaster!$F230&amp;" until VIN/ModelYear "&amp;PartsMaster!$G230&amp;"&lt;/P&gt;&lt;P&gt;Condition: "&amp;PartsMaster!AB230&amp;"&lt;/P&gt;&lt;P&gt; (part source "&amp;PartsMaster!AD230&amp;")&lt;/P&gt;&lt;P&gt;Notes: "&amp;PartsMaster!AA230&amp;"&lt;/P&gt;"</f>
        <v>&lt;P&gt;Audio / In car Entertainment &lt;/P&gt;&lt;P&gt;Jaguar part name &lt;/P&gt;&lt;P&gt;Product numbers  LNC4161AA
C2S14403&lt;/P&gt;&lt;P&gt;Fits starting from VIN/ModelYear  until VIN/ModelYear &lt;/P&gt;&lt;P&gt;Condition: &lt;/P&gt;&lt;P&gt; (part source )&lt;/P&gt;&lt;P&gt;Notes: &lt;/P&gt;</v>
      </c>
      <c r="AA237" s="20" t="s">
        <v>1171</v>
      </c>
      <c r="AC237" s="20">
        <v>0</v>
      </c>
      <c r="AD237" s="20">
        <v>0</v>
      </c>
      <c r="AE237" s="20" t="s">
        <v>1172</v>
      </c>
      <c r="AF237" s="20">
        <v>7</v>
      </c>
      <c r="AG237" s="20">
        <v>0</v>
      </c>
      <c r="AH237" s="20">
        <v>0</v>
      </c>
      <c r="AI237" s="20">
        <v>0</v>
      </c>
      <c r="AJ237" s="20">
        <v>0</v>
      </c>
      <c r="AK237" s="20">
        <v>0</v>
      </c>
      <c r="AO237" s="20" t="s">
        <v>1173</v>
      </c>
      <c r="AR237" s="20">
        <v>0</v>
      </c>
      <c r="AS237" s="20">
        <v>10112</v>
      </c>
      <c r="AV237" s="20" t="s">
        <v>1174</v>
      </c>
      <c r="AX237" s="20">
        <v>62128510024</v>
      </c>
      <c r="AY237" s="20">
        <v>62035811024</v>
      </c>
      <c r="AZ237" s="20">
        <v>55187694024</v>
      </c>
      <c r="BA237" s="20" t="s">
        <v>1175</v>
      </c>
      <c r="BB237" s="20" t="s">
        <v>1176</v>
      </c>
      <c r="BC237" s="20" t="s">
        <v>1177</v>
      </c>
      <c r="BD237" s="20">
        <v>1</v>
      </c>
      <c r="BE237" s="20">
        <v>0</v>
      </c>
      <c r="BF237" s="20">
        <v>0</v>
      </c>
      <c r="BG237" s="20">
        <v>0</v>
      </c>
      <c r="BN237" s="20" t="s">
        <v>1178</v>
      </c>
      <c r="BV237" s="20">
        <v>0</v>
      </c>
      <c r="CL237" s="20">
        <v>0</v>
      </c>
      <c r="DD237" s="20" t="s">
        <v>1179</v>
      </c>
      <c r="DE237" s="20" t="s">
        <v>1179</v>
      </c>
      <c r="DI237" s="20">
        <v>0</v>
      </c>
      <c r="DP237" s="21" t="s">
        <v>1180</v>
      </c>
      <c r="DQ237" s="21" t="str">
        <f>PartsMaster!$A230</f>
        <v>LNC4161AA
C2S14403</v>
      </c>
      <c r="DR237" s="21" t="s">
        <v>1181</v>
      </c>
      <c r="DS237" s="21" t="str">
        <f>PartsMaster!$K231&amp;" "&amp;PartsMaster!L231&amp;" "&amp;PartsMaster!$M231</f>
        <v xml:space="preserve">Rear Right </v>
      </c>
    </row>
    <row r="238" spans="1:123" ht="30" hidden="1" x14ac:dyDescent="0.25">
      <c r="A238" s="20" t="s">
        <v>1166</v>
      </c>
      <c r="B238" s="20" t="s">
        <v>1167</v>
      </c>
      <c r="C238" s="20" t="s">
        <v>1168</v>
      </c>
      <c r="D238" s="21" t="str">
        <f>PartsMaster!B231&amp;" "&amp;PartsMaster!$C231</f>
        <v xml:space="preserve">Jaguar XJ8 XJR X308 Light Tail </v>
      </c>
      <c r="E238" s="20">
        <v>3000</v>
      </c>
      <c r="F238" s="20" t="s">
        <v>1182</v>
      </c>
      <c r="H238" s="21">
        <f>PartsMaster!$Q231</f>
        <v>0</v>
      </c>
      <c r="I238" s="20">
        <v>9886</v>
      </c>
      <c r="K238" s="20">
        <v>0</v>
      </c>
      <c r="L238" s="20">
        <v>0</v>
      </c>
      <c r="M238" s="21">
        <f>PartsMaster!$D231</f>
        <v>0</v>
      </c>
      <c r="O238" s="20" t="s">
        <v>1169</v>
      </c>
      <c r="P238" s="23">
        <f>PartsMaster!$S231/1.45</f>
        <v>0</v>
      </c>
      <c r="S238" s="20">
        <v>30</v>
      </c>
      <c r="T238" s="20">
        <v>0</v>
      </c>
      <c r="U238" s="20" t="s">
        <v>1170</v>
      </c>
      <c r="Z238" s="26" t="str">
        <f>"&lt;P&gt;"&amp;PartsMaster!$I231&amp;" "&amp;PartsMaster!$H231&amp;"&lt;/P&gt;"&amp;"&lt;P&gt;Jaguar part name "&amp;PartsMaster!$E231&amp;"&lt;/P&gt;&lt;P&gt;Product numbers "&amp;PartsMaster!R231&amp;" "&amp;DQ238&amp;"&lt;/P&gt;&lt;P&gt;Fits starting from VIN/ModelYear "&amp;PartsMaster!$F231&amp;" until VIN/ModelYear "&amp;PartsMaster!$G231&amp;"&lt;/P&gt;&lt;P&gt;Condition: "&amp;PartsMaster!AB231&amp;"&lt;/P&gt;&lt;P&gt; (part source "&amp;PartsMaster!AD231&amp;")&lt;/P&gt;&lt;P&gt;Notes: "&amp;PartsMaster!AA231&amp;"&lt;/P&gt;"</f>
        <v>&lt;P&gt;Light Light&lt;/P&gt;&lt;P&gt;Jaguar part name Lamp cluster - chrome bezel - with fog guard -  RH rear&lt;/P&gt;&lt;P&gt;Product numbers LNC4900CB LNC4900CB&lt;/P&gt;&lt;P&gt;Fits starting from VIN/ModelYear  until VIN/ModelYear &lt;/P&gt;&lt;P&gt;Condition: &lt;/P&gt;&lt;P&gt; (part source )&lt;/P&gt;&lt;P&gt;Notes: &lt;/P&gt;</v>
      </c>
      <c r="AA238" s="20" t="s">
        <v>1171</v>
      </c>
      <c r="AC238" s="20">
        <v>0</v>
      </c>
      <c r="AD238" s="20">
        <v>0</v>
      </c>
      <c r="AE238" s="20" t="s">
        <v>1172</v>
      </c>
      <c r="AF238" s="20">
        <v>7</v>
      </c>
      <c r="AG238" s="20">
        <v>0</v>
      </c>
      <c r="AH238" s="20">
        <v>0</v>
      </c>
      <c r="AI238" s="20">
        <v>0</v>
      </c>
      <c r="AJ238" s="20">
        <v>0</v>
      </c>
      <c r="AK238" s="20">
        <v>0</v>
      </c>
      <c r="AO238" s="20" t="s">
        <v>1173</v>
      </c>
      <c r="AR238" s="20">
        <v>0</v>
      </c>
      <c r="AS238" s="20">
        <v>10112</v>
      </c>
      <c r="AV238" s="20" t="s">
        <v>1174</v>
      </c>
      <c r="AX238" s="20">
        <v>62128510024</v>
      </c>
      <c r="AY238" s="20">
        <v>62035811024</v>
      </c>
      <c r="AZ238" s="20">
        <v>55187694024</v>
      </c>
      <c r="BA238" s="20" t="s">
        <v>1175</v>
      </c>
      <c r="BB238" s="20" t="s">
        <v>1176</v>
      </c>
      <c r="BC238" s="20" t="s">
        <v>1177</v>
      </c>
      <c r="BD238" s="20">
        <v>1</v>
      </c>
      <c r="BE238" s="20">
        <v>0</v>
      </c>
      <c r="BF238" s="20">
        <v>0</v>
      </c>
      <c r="BG238" s="20">
        <v>0</v>
      </c>
      <c r="BN238" s="20" t="s">
        <v>1178</v>
      </c>
      <c r="BV238" s="20">
        <v>0</v>
      </c>
      <c r="CL238" s="20">
        <v>0</v>
      </c>
      <c r="DD238" s="20" t="s">
        <v>1179</v>
      </c>
      <c r="DE238" s="20" t="s">
        <v>1179</v>
      </c>
      <c r="DI238" s="20">
        <v>0</v>
      </c>
      <c r="DP238" s="21" t="s">
        <v>1180</v>
      </c>
      <c r="DQ238" s="21" t="str">
        <f>PartsMaster!$A231</f>
        <v>LNC4900CB</v>
      </c>
      <c r="DR238" s="21" t="s">
        <v>1181</v>
      </c>
      <c r="DS238" s="21" t="str">
        <f>PartsMaster!$K232&amp;" "&amp;PartsMaster!L232&amp;" "&amp;PartsMaster!$M232</f>
        <v xml:space="preserve">Rear Left </v>
      </c>
    </row>
    <row r="239" spans="1:123" ht="30" hidden="1" x14ac:dyDescent="0.25">
      <c r="A239" s="20" t="s">
        <v>1166</v>
      </c>
      <c r="B239" s="20" t="s">
        <v>1167</v>
      </c>
      <c r="C239" s="20" t="s">
        <v>1168</v>
      </c>
      <c r="D239" s="21" t="str">
        <f>PartsMaster!B232&amp;" "&amp;PartsMaster!$C232</f>
        <v xml:space="preserve">Jaguar XJ8 XJR X308 Light Tail </v>
      </c>
      <c r="E239" s="20">
        <v>3000</v>
      </c>
      <c r="F239" s="20" t="s">
        <v>1182</v>
      </c>
      <c r="H239" s="21">
        <f>PartsMaster!$Q232</f>
        <v>0</v>
      </c>
      <c r="I239" s="20">
        <v>9886</v>
      </c>
      <c r="K239" s="20">
        <v>0</v>
      </c>
      <c r="L239" s="20">
        <v>0</v>
      </c>
      <c r="M239" s="21">
        <f>PartsMaster!$D232</f>
        <v>0</v>
      </c>
      <c r="O239" s="20" t="s">
        <v>1169</v>
      </c>
      <c r="P239" s="23">
        <f>PartsMaster!$S232/1.45</f>
        <v>0</v>
      </c>
      <c r="S239" s="20">
        <v>30</v>
      </c>
      <c r="T239" s="20">
        <v>0</v>
      </c>
      <c r="U239" s="20" t="s">
        <v>1170</v>
      </c>
      <c r="Z239" s="26" t="str">
        <f>"&lt;P&gt;"&amp;PartsMaster!$I232&amp;" "&amp;PartsMaster!$H232&amp;"&lt;/P&gt;"&amp;"&lt;P&gt;Jaguar part name "&amp;PartsMaster!$E232&amp;"&lt;/P&gt;&lt;P&gt;Product numbers "&amp;PartsMaster!R232&amp;" "&amp;DQ239&amp;"&lt;/P&gt;&lt;P&gt;Fits starting from VIN/ModelYear "&amp;PartsMaster!$F232&amp;" until VIN/ModelYear "&amp;PartsMaster!$G232&amp;"&lt;/P&gt;&lt;P&gt;Condition: "&amp;PartsMaster!AB232&amp;"&lt;/P&gt;&lt;P&gt; (part source "&amp;PartsMaster!AD232&amp;")&lt;/P&gt;&lt;P&gt;Notes: "&amp;PartsMaster!AA232&amp;"&lt;/P&gt;"</f>
        <v>&lt;P&gt;Light Light&lt;/P&gt;&lt;P&gt;Jaguar part name Lamp cluster - chrome bezel - with fog guard -  LH rear&lt;/P&gt;&lt;P&gt;Product numbers LNC4901CB  LNC4901CB &lt;/P&gt;&lt;P&gt;Fits starting from VIN/ModelYear  until VIN/ModelYear &lt;/P&gt;&lt;P&gt;Condition: &lt;/P&gt;&lt;P&gt; (part source )&lt;/P&gt;&lt;P&gt;Notes: &lt;/P&gt;</v>
      </c>
      <c r="AA239" s="20" t="s">
        <v>1171</v>
      </c>
      <c r="AC239" s="20">
        <v>0</v>
      </c>
      <c r="AD239" s="20">
        <v>0</v>
      </c>
      <c r="AE239" s="20" t="s">
        <v>1172</v>
      </c>
      <c r="AF239" s="20">
        <v>7</v>
      </c>
      <c r="AG239" s="20">
        <v>0</v>
      </c>
      <c r="AH239" s="20">
        <v>0</v>
      </c>
      <c r="AI239" s="20">
        <v>0</v>
      </c>
      <c r="AJ239" s="20">
        <v>0</v>
      </c>
      <c r="AK239" s="20">
        <v>0</v>
      </c>
      <c r="AO239" s="20" t="s">
        <v>1173</v>
      </c>
      <c r="AR239" s="20">
        <v>0</v>
      </c>
      <c r="AS239" s="20">
        <v>10112</v>
      </c>
      <c r="AV239" s="20" t="s">
        <v>1174</v>
      </c>
      <c r="AX239" s="20">
        <v>62128510024</v>
      </c>
      <c r="AY239" s="20">
        <v>62035811024</v>
      </c>
      <c r="AZ239" s="20">
        <v>55187694024</v>
      </c>
      <c r="BA239" s="20" t="s">
        <v>1175</v>
      </c>
      <c r="BB239" s="20" t="s">
        <v>1176</v>
      </c>
      <c r="BC239" s="20" t="s">
        <v>1177</v>
      </c>
      <c r="BD239" s="20">
        <v>1</v>
      </c>
      <c r="BE239" s="20">
        <v>0</v>
      </c>
      <c r="BF239" s="20">
        <v>0</v>
      </c>
      <c r="BG239" s="20">
        <v>0</v>
      </c>
      <c r="BN239" s="20" t="s">
        <v>1178</v>
      </c>
      <c r="BV239" s="20">
        <v>0</v>
      </c>
      <c r="CL239" s="20">
        <v>0</v>
      </c>
      <c r="DD239" s="20" t="s">
        <v>1179</v>
      </c>
      <c r="DE239" s="20" t="s">
        <v>1179</v>
      </c>
      <c r="DI239" s="20">
        <v>0</v>
      </c>
      <c r="DP239" s="21" t="s">
        <v>1180</v>
      </c>
      <c r="DQ239" s="21" t="str">
        <f>PartsMaster!$A232</f>
        <v xml:space="preserve">LNC4901CB </v>
      </c>
      <c r="DR239" s="21" t="s">
        <v>1181</v>
      </c>
      <c r="DS239" s="21" t="str">
        <f>PartsMaster!$K233&amp;" "&amp;PartsMaster!L233&amp;" "&amp;PartsMaster!$M233</f>
        <v>Front Center Top</v>
      </c>
    </row>
    <row r="240" spans="1:123" ht="30" hidden="1" x14ac:dyDescent="0.25">
      <c r="A240" s="20" t="s">
        <v>1166</v>
      </c>
      <c r="B240" s="20" t="s">
        <v>1167</v>
      </c>
      <c r="C240" s="20" t="s">
        <v>1168</v>
      </c>
      <c r="D240" s="21" t="str">
        <f>PartsMaster!B233&amp;" "&amp;PartsMaster!$C233</f>
        <v>Jaguar XK8 XKR X100 XJ8 XJR X308 Throttle Body</v>
      </c>
      <c r="E240" s="20">
        <v>3000</v>
      </c>
      <c r="F240" s="20" t="s">
        <v>1182</v>
      </c>
      <c r="H240" s="21" t="str">
        <f>PartsMaster!$Q233</f>
        <v>Throttle Body</v>
      </c>
      <c r="I240" s="20">
        <v>9886</v>
      </c>
      <c r="K240" s="20">
        <v>0</v>
      </c>
      <c r="L240" s="20">
        <v>0</v>
      </c>
      <c r="M240" s="21">
        <f>PartsMaster!$D233</f>
        <v>1</v>
      </c>
      <c r="O240" s="20" t="s">
        <v>1169</v>
      </c>
      <c r="P240" s="23">
        <f>PartsMaster!$S233/1.45</f>
        <v>172.41379310344828</v>
      </c>
      <c r="S240" s="20">
        <v>30</v>
      </c>
      <c r="T240" s="20">
        <v>0</v>
      </c>
      <c r="U240" s="20" t="s">
        <v>1170</v>
      </c>
      <c r="Z240" s="26" t="str">
        <f>"&lt;P&gt;"&amp;PartsMaster!$I233&amp;" "&amp;PartsMaster!$H233&amp;"&lt;/P&gt;"&amp;"&lt;P&gt;Jaguar part name "&amp;PartsMaster!$E233&amp;"&lt;/P&gt;&lt;P&gt;Product numbers "&amp;PartsMaster!R233&amp;" "&amp;DQ240&amp;"&lt;/P&gt;&lt;P&gt;Fits starting from VIN/ModelYear "&amp;PartsMaster!$F233&amp;" until VIN/ModelYear "&amp;PartsMaster!$G233&amp;"&lt;/P&gt;&lt;P&gt;Condition: "&amp;PartsMaster!AB233&amp;"&lt;/P&gt;&lt;P&gt; (part source "&amp;PartsMaster!AD233&amp;")&lt;/P&gt;&lt;P&gt;Notes: "&amp;PartsMaster!AA233&amp;"&lt;/P&gt;"</f>
        <v>&lt;P&gt;Engine Inlet Engine parts&lt;/P&gt;&lt;P&gt;Jaguar part name AIR AND FUEL DELIVERY SYSTEMS/AIR DELIVERY SYSTEM COMPONENTS - AIR DELIVERY SYSTEM COMPONENTS  - Throttle body&lt;/P&gt;&lt;P&gt;Product numbers XW93-9E926-AE LNE1560AE&lt;/P&gt;&lt;P&gt;Fits starting from VIN/ModelYear X100-A00083 until VIN/ModelYear X100-A30644&lt;/P&gt;&lt;P&gt;Condition: X100 VIN 1NA15132&lt;/P&gt;&lt;P&gt; (part source JP)&lt;/P&gt;&lt;P&gt;Notes: &lt;/P&gt;</v>
      </c>
      <c r="AA240" s="20" t="s">
        <v>1171</v>
      </c>
      <c r="AC240" s="20">
        <v>0</v>
      </c>
      <c r="AD240" s="20">
        <v>0</v>
      </c>
      <c r="AE240" s="20" t="s">
        <v>1172</v>
      </c>
      <c r="AF240" s="20">
        <v>7</v>
      </c>
      <c r="AG240" s="20">
        <v>0</v>
      </c>
      <c r="AH240" s="20">
        <v>0</v>
      </c>
      <c r="AI240" s="20">
        <v>0</v>
      </c>
      <c r="AJ240" s="20">
        <v>0</v>
      </c>
      <c r="AK240" s="20">
        <v>0</v>
      </c>
      <c r="AO240" s="20" t="s">
        <v>1173</v>
      </c>
      <c r="AR240" s="20">
        <v>0</v>
      </c>
      <c r="AS240" s="20">
        <v>10112</v>
      </c>
      <c r="AV240" s="20" t="s">
        <v>1174</v>
      </c>
      <c r="AX240" s="20">
        <v>62128510024</v>
      </c>
      <c r="AY240" s="20">
        <v>62035811024</v>
      </c>
      <c r="AZ240" s="20">
        <v>55187694024</v>
      </c>
      <c r="BA240" s="20" t="s">
        <v>1175</v>
      </c>
      <c r="BB240" s="20" t="s">
        <v>1176</v>
      </c>
      <c r="BC240" s="20" t="s">
        <v>1177</v>
      </c>
      <c r="BD240" s="20">
        <v>1</v>
      </c>
      <c r="BE240" s="20">
        <v>0</v>
      </c>
      <c r="BF240" s="20">
        <v>0</v>
      </c>
      <c r="BG240" s="20">
        <v>0</v>
      </c>
      <c r="BN240" s="20" t="s">
        <v>1178</v>
      </c>
      <c r="BV240" s="20">
        <v>0</v>
      </c>
      <c r="CL240" s="20">
        <v>0</v>
      </c>
      <c r="DD240" s="20" t="s">
        <v>1179</v>
      </c>
      <c r="DE240" s="20" t="s">
        <v>1179</v>
      </c>
      <c r="DI240" s="20">
        <v>0</v>
      </c>
      <c r="DP240" s="21" t="s">
        <v>1180</v>
      </c>
      <c r="DQ240" s="21" t="str">
        <f>PartsMaster!$A233</f>
        <v>LNE1560AE</v>
      </c>
      <c r="DR240" s="21" t="s">
        <v>1181</v>
      </c>
      <c r="DS240" s="21" t="str">
        <f>PartsMaster!$K234&amp;" "&amp;PartsMaster!L234&amp;" "&amp;PartsMaster!$M234</f>
        <v>Front Left NA</v>
      </c>
    </row>
    <row r="241" spans="1:123" ht="30" hidden="1" x14ac:dyDescent="0.25">
      <c r="A241" s="20" t="s">
        <v>1166</v>
      </c>
      <c r="B241" s="20" t="s">
        <v>1167</v>
      </c>
      <c r="C241" s="20" t="s">
        <v>1168</v>
      </c>
      <c r="D241" s="21" t="str">
        <f>PartsMaster!B234&amp;" "&amp;PartsMaster!$C234</f>
        <v>Jaguar XK8 XKR X100 ABS Pump Controller</v>
      </c>
      <c r="E241" s="20">
        <v>3000</v>
      </c>
      <c r="F241" s="20" t="s">
        <v>1182</v>
      </c>
      <c r="H241" s="21">
        <f>PartsMaster!$Q234</f>
        <v>0</v>
      </c>
      <c r="I241" s="20">
        <v>9886</v>
      </c>
      <c r="K241" s="20">
        <v>0</v>
      </c>
      <c r="L241" s="20">
        <v>0</v>
      </c>
      <c r="M241" s="21">
        <f>PartsMaster!$D234</f>
        <v>1</v>
      </c>
      <c r="O241" s="20" t="s">
        <v>1169</v>
      </c>
      <c r="P241" s="23">
        <f>PartsMaster!$S234/1.45</f>
        <v>86.206896551724142</v>
      </c>
      <c r="S241" s="20">
        <v>30</v>
      </c>
      <c r="T241" s="20">
        <v>0</v>
      </c>
      <c r="U241" s="20" t="s">
        <v>1170</v>
      </c>
      <c r="Z241" s="26" t="str">
        <f>"&lt;P&gt;"&amp;PartsMaster!$I234&amp;" "&amp;PartsMaster!$H234&amp;"&lt;/P&gt;"&amp;"&lt;P&gt;Jaguar part name "&amp;PartsMaster!$E234&amp;"&lt;/P&gt;&lt;P&gt;Product numbers "&amp;PartsMaster!R234&amp;" "&amp;DQ241&amp;"&lt;/P&gt;&lt;P&gt;Fits starting from VIN/ModelYear "&amp;PartsMaster!$F234&amp;" until VIN/ModelYear "&amp;PartsMaster!$G234&amp;"&lt;/P&gt;&lt;P&gt;Condition: "&amp;PartsMaster!AB234&amp;"&lt;/P&gt;&lt;P&gt; (part source "&amp;PartsMaster!AD234&amp;")&lt;/P&gt;&lt;P&gt;Notes: "&amp;PartsMaster!AA234&amp;"&lt;/P&gt;"</f>
        <v>&lt;P&gt;Brakes Controller&lt;/P&gt;&lt;P&gt;Jaguar part name BRAKING SYSTEM/ANTI LOCK BRAKING SYSTEM - Electronic control module - 9 valve  - 6 pipes&lt;/P&gt;&lt;P&gt;Product numbers LNC2210AD LNF2210AC&lt;/P&gt;&lt;P&gt;Fits starting from VIN/ModelYear  until VIN/ModelYear &lt;/P&gt;&lt;P&gt;Condition: X308&lt;/P&gt;&lt;P&gt; (part source SJ)&lt;/P&gt;&lt;P&gt;Notes: ABS+TSC&lt;/P&gt;</v>
      </c>
      <c r="AA241" s="20" t="s">
        <v>1171</v>
      </c>
      <c r="AC241" s="20">
        <v>0</v>
      </c>
      <c r="AD241" s="20">
        <v>0</v>
      </c>
      <c r="AE241" s="20" t="s">
        <v>1172</v>
      </c>
      <c r="AF241" s="20">
        <v>7</v>
      </c>
      <c r="AG241" s="20">
        <v>0</v>
      </c>
      <c r="AH241" s="20">
        <v>0</v>
      </c>
      <c r="AI241" s="20">
        <v>0</v>
      </c>
      <c r="AJ241" s="20">
        <v>0</v>
      </c>
      <c r="AK241" s="20">
        <v>0</v>
      </c>
      <c r="AO241" s="20" t="s">
        <v>1173</v>
      </c>
      <c r="AR241" s="20">
        <v>0</v>
      </c>
      <c r="AS241" s="20">
        <v>10112</v>
      </c>
      <c r="AV241" s="20" t="s">
        <v>1174</v>
      </c>
      <c r="AX241" s="20">
        <v>62128510024</v>
      </c>
      <c r="AY241" s="20">
        <v>62035811024</v>
      </c>
      <c r="AZ241" s="20">
        <v>55187694024</v>
      </c>
      <c r="BA241" s="20" t="s">
        <v>1175</v>
      </c>
      <c r="BB241" s="20" t="s">
        <v>1176</v>
      </c>
      <c r="BC241" s="20" t="s">
        <v>1177</v>
      </c>
      <c r="BD241" s="20">
        <v>1</v>
      </c>
      <c r="BE241" s="20">
        <v>0</v>
      </c>
      <c r="BF241" s="20">
        <v>0</v>
      </c>
      <c r="BG241" s="20">
        <v>0</v>
      </c>
      <c r="BN241" s="20" t="s">
        <v>1178</v>
      </c>
      <c r="BV241" s="20">
        <v>0</v>
      </c>
      <c r="CL241" s="20">
        <v>0</v>
      </c>
      <c r="DD241" s="20" t="s">
        <v>1179</v>
      </c>
      <c r="DE241" s="20" t="s">
        <v>1179</v>
      </c>
      <c r="DI241" s="20">
        <v>0</v>
      </c>
      <c r="DP241" s="21" t="s">
        <v>1180</v>
      </c>
      <c r="DQ241" s="21" t="str">
        <f>PartsMaster!$A234</f>
        <v>LNF2210AC</v>
      </c>
      <c r="DR241" s="21" t="s">
        <v>1181</v>
      </c>
      <c r="DS241" s="21" t="str">
        <f>PartsMaster!$K235&amp;" "&amp;PartsMaster!L235&amp;" "&amp;PartsMaster!$M235</f>
        <v xml:space="preserve">Rear Left/Right </v>
      </c>
    </row>
    <row r="242" spans="1:123" ht="30" hidden="1" x14ac:dyDescent="0.25">
      <c r="A242" s="20" t="s">
        <v>1166</v>
      </c>
      <c r="B242" s="20" t="s">
        <v>1167</v>
      </c>
      <c r="C242" s="20" t="s">
        <v>1168</v>
      </c>
      <c r="D242" s="21" t="str">
        <f>PartsMaster!B235&amp;" "&amp;PartsMaster!$C235</f>
        <v>Jaguar XK8 XKR X100 Wheel Bearing - Shim - 3.905mm</v>
      </c>
      <c r="E242" s="20">
        <v>3000</v>
      </c>
      <c r="F242" s="20" t="s">
        <v>1182</v>
      </c>
      <c r="H242" s="21" t="str">
        <f>PartsMaster!$Q235</f>
        <v>SPACER-ADJUS</v>
      </c>
      <c r="I242" s="20">
        <v>9886</v>
      </c>
      <c r="K242" s="20">
        <v>0</v>
      </c>
      <c r="L242" s="20">
        <v>0</v>
      </c>
      <c r="M242" s="21">
        <f>PartsMaster!$D235</f>
        <v>0</v>
      </c>
      <c r="O242" s="20" t="s">
        <v>1169</v>
      </c>
      <c r="P242" s="23">
        <f>PartsMaster!$S235/1.45</f>
        <v>0</v>
      </c>
      <c r="S242" s="20">
        <v>30</v>
      </c>
      <c r="T242" s="20">
        <v>0</v>
      </c>
      <c r="U242" s="20" t="s">
        <v>1170</v>
      </c>
      <c r="Z242" s="26" t="str">
        <f>"&lt;P&gt;"&amp;PartsMaster!$I235&amp;" "&amp;PartsMaster!$H235&amp;"&lt;/P&gt;"&amp;"&lt;P&gt;Jaguar part name "&amp;PartsMaster!$E235&amp;"&lt;/P&gt;&lt;P&gt;Product numbers "&amp;PartsMaster!R235&amp;" "&amp;DQ242&amp;"&lt;/P&gt;&lt;P&gt;Fits starting from VIN/ModelYear "&amp;PartsMaster!$F235&amp;" until VIN/ModelYear "&amp;PartsMaster!$G235&amp;"&lt;/P&gt;&lt;P&gt;Condition: "&amp;PartsMaster!AB235&amp;"&lt;/P&gt;&lt;P&gt; (part source "&amp;PartsMaster!AD235&amp;")&lt;/P&gt;&lt;P&gt;Notes: "&amp;PartsMaster!AA235&amp;"&lt;/P&gt;"</f>
        <v>&lt;P&gt;Bearing Shim&lt;/P&gt;&lt;P&gt;Jaguar part name STEERING AND SUSPENSION/HUB AND CARRIER-REAR - Adjustable spacer&lt;/P&gt;&lt;P&gt;Product numbers MHC3397AA1 MHC3397AA1&lt;/P&gt;&lt;P&gt;Fits starting from VIN/ModelYear 0 until VIN/ModelYear 042775&lt;/P&gt;&lt;P&gt;Condition: SNG&lt;/P&gt;&lt;P&gt; (part source )&lt;/P&gt;&lt;P&gt;Notes: &lt;/P&gt;</v>
      </c>
      <c r="AA242" s="20" t="s">
        <v>1171</v>
      </c>
      <c r="AC242" s="20">
        <v>0</v>
      </c>
      <c r="AD242" s="20">
        <v>0</v>
      </c>
      <c r="AE242" s="20" t="s">
        <v>1172</v>
      </c>
      <c r="AF242" s="20">
        <v>7</v>
      </c>
      <c r="AG242" s="20">
        <v>0</v>
      </c>
      <c r="AH242" s="20">
        <v>0</v>
      </c>
      <c r="AI242" s="20">
        <v>0</v>
      </c>
      <c r="AJ242" s="20">
        <v>0</v>
      </c>
      <c r="AK242" s="20">
        <v>0</v>
      </c>
      <c r="AO242" s="20" t="s">
        <v>1173</v>
      </c>
      <c r="AR242" s="20">
        <v>0</v>
      </c>
      <c r="AS242" s="20">
        <v>10112</v>
      </c>
      <c r="AV242" s="20" t="s">
        <v>1174</v>
      </c>
      <c r="AX242" s="20">
        <v>62128510024</v>
      </c>
      <c r="AY242" s="20">
        <v>62035811024</v>
      </c>
      <c r="AZ242" s="20">
        <v>55187694024</v>
      </c>
      <c r="BA242" s="20" t="s">
        <v>1175</v>
      </c>
      <c r="BB242" s="20" t="s">
        <v>1176</v>
      </c>
      <c r="BC242" s="20" t="s">
        <v>1177</v>
      </c>
      <c r="BD242" s="20">
        <v>1</v>
      </c>
      <c r="BE242" s="20">
        <v>0</v>
      </c>
      <c r="BF242" s="20">
        <v>0</v>
      </c>
      <c r="BG242" s="20">
        <v>0</v>
      </c>
      <c r="BN242" s="20" t="s">
        <v>1178</v>
      </c>
      <c r="BV242" s="20">
        <v>0</v>
      </c>
      <c r="CL242" s="20">
        <v>0</v>
      </c>
      <c r="DD242" s="20" t="s">
        <v>1179</v>
      </c>
      <c r="DE242" s="20" t="s">
        <v>1179</v>
      </c>
      <c r="DI242" s="20">
        <v>0</v>
      </c>
      <c r="DP242" s="21" t="s">
        <v>1180</v>
      </c>
      <c r="DQ242" s="21" t="str">
        <f>PartsMaster!$A235</f>
        <v>MHC3397AA1</v>
      </c>
      <c r="DR242" s="21" t="s">
        <v>1181</v>
      </c>
      <c r="DS242" s="21" t="str">
        <f>PartsMaster!$K236&amp;" "&amp;PartsMaster!L236&amp;" "&amp;PartsMaster!$M236</f>
        <v xml:space="preserve">Rear Left/Right </v>
      </c>
    </row>
    <row r="243" spans="1:123" ht="30" hidden="1" x14ac:dyDescent="0.25">
      <c r="A243" s="20" t="s">
        <v>1166</v>
      </c>
      <c r="B243" s="20" t="s">
        <v>1167</v>
      </c>
      <c r="C243" s="20" t="s">
        <v>1168</v>
      </c>
      <c r="D243" s="21" t="str">
        <f>PartsMaster!B236&amp;" "&amp;PartsMaster!$C236</f>
        <v>Jaguar XK8 XKR X100 Wheel Bearing - Shim - 4.355mm</v>
      </c>
      <c r="E243" s="20">
        <v>3000</v>
      </c>
      <c r="F243" s="20" t="s">
        <v>1182</v>
      </c>
      <c r="H243" s="21">
        <f>PartsMaster!$Q236</f>
        <v>0</v>
      </c>
      <c r="I243" s="20">
        <v>9886</v>
      </c>
      <c r="K243" s="20">
        <v>0</v>
      </c>
      <c r="L243" s="20">
        <v>0</v>
      </c>
      <c r="M243" s="21">
        <f>PartsMaster!$D236</f>
        <v>0</v>
      </c>
      <c r="O243" s="20" t="s">
        <v>1169</v>
      </c>
      <c r="P243" s="23">
        <f>PartsMaster!$S236/1.45</f>
        <v>0</v>
      </c>
      <c r="S243" s="20">
        <v>30</v>
      </c>
      <c r="T243" s="20">
        <v>0</v>
      </c>
      <c r="U243" s="20" t="s">
        <v>1170</v>
      </c>
      <c r="Z243" s="26" t="str">
        <f>"&lt;P&gt;"&amp;PartsMaster!$I236&amp;" "&amp;PartsMaster!$H236&amp;"&lt;/P&gt;"&amp;"&lt;P&gt;Jaguar part name "&amp;PartsMaster!$E236&amp;"&lt;/P&gt;&lt;P&gt;Product numbers "&amp;PartsMaster!R236&amp;" "&amp;DQ243&amp;"&lt;/P&gt;&lt;P&gt;Fits starting from VIN/ModelYear "&amp;PartsMaster!$F236&amp;" until VIN/ModelYear "&amp;PartsMaster!$G236&amp;"&lt;/P&gt;&lt;P&gt;Condition: "&amp;PartsMaster!AB236&amp;"&lt;/P&gt;&lt;P&gt; (part source "&amp;PartsMaster!AD236&amp;")&lt;/P&gt;&lt;P&gt;Notes: "&amp;PartsMaster!AA236&amp;"&lt;/P&gt;"</f>
        <v>&lt;P&gt;Bearing Shim&lt;/P&gt;&lt;P&gt;Jaguar part name STEERING AND SUSPENSION/HUB AND CARRIER-REAR - Adjustable spacer&lt;/P&gt;&lt;P&gt;Product numbers MHC3397AA10 MHC3397AA10&lt;/P&gt;&lt;P&gt;Fits starting from VIN/ModelYear 0 until VIN/ModelYear 042775&lt;/P&gt;&lt;P&gt;Condition: SNG&lt;/P&gt;&lt;P&gt; (part source )&lt;/P&gt;&lt;P&gt;Notes: &lt;/P&gt;</v>
      </c>
      <c r="AA243" s="20" t="s">
        <v>1171</v>
      </c>
      <c r="AC243" s="20">
        <v>0</v>
      </c>
      <c r="AD243" s="20">
        <v>0</v>
      </c>
      <c r="AE243" s="20" t="s">
        <v>1172</v>
      </c>
      <c r="AF243" s="20">
        <v>7</v>
      </c>
      <c r="AG243" s="20">
        <v>0</v>
      </c>
      <c r="AH243" s="20">
        <v>0</v>
      </c>
      <c r="AI243" s="20">
        <v>0</v>
      </c>
      <c r="AJ243" s="20">
        <v>0</v>
      </c>
      <c r="AK243" s="20">
        <v>0</v>
      </c>
      <c r="AO243" s="20" t="s">
        <v>1173</v>
      </c>
      <c r="AR243" s="20">
        <v>0</v>
      </c>
      <c r="AS243" s="20">
        <v>10112</v>
      </c>
      <c r="AV243" s="20" t="s">
        <v>1174</v>
      </c>
      <c r="AX243" s="20">
        <v>62128510024</v>
      </c>
      <c r="AY243" s="20">
        <v>62035811024</v>
      </c>
      <c r="AZ243" s="20">
        <v>55187694024</v>
      </c>
      <c r="BA243" s="20" t="s">
        <v>1175</v>
      </c>
      <c r="BB243" s="20" t="s">
        <v>1176</v>
      </c>
      <c r="BC243" s="20" t="s">
        <v>1177</v>
      </c>
      <c r="BD243" s="20">
        <v>1</v>
      </c>
      <c r="BE243" s="20">
        <v>0</v>
      </c>
      <c r="BF243" s="20">
        <v>0</v>
      </c>
      <c r="BG243" s="20">
        <v>0</v>
      </c>
      <c r="BN243" s="20" t="s">
        <v>1178</v>
      </c>
      <c r="BV243" s="20">
        <v>0</v>
      </c>
      <c r="CL243" s="20">
        <v>0</v>
      </c>
      <c r="DD243" s="20" t="s">
        <v>1179</v>
      </c>
      <c r="DE243" s="20" t="s">
        <v>1179</v>
      </c>
      <c r="DI243" s="20">
        <v>0</v>
      </c>
      <c r="DP243" s="21" t="s">
        <v>1180</v>
      </c>
      <c r="DQ243" s="21" t="str">
        <f>PartsMaster!$A236</f>
        <v>MHC3397AA10</v>
      </c>
      <c r="DR243" s="21" t="s">
        <v>1181</v>
      </c>
      <c r="DS243" s="21" t="str">
        <f>PartsMaster!$K237&amp;" "&amp;PartsMaster!L237&amp;" "&amp;PartsMaster!$M237</f>
        <v xml:space="preserve">Rear Left/Right </v>
      </c>
    </row>
    <row r="244" spans="1:123" ht="30" hidden="1" x14ac:dyDescent="0.25">
      <c r="A244" s="20" t="s">
        <v>1166</v>
      </c>
      <c r="B244" s="20" t="s">
        <v>1167</v>
      </c>
      <c r="C244" s="20" t="s">
        <v>1168</v>
      </c>
      <c r="D244" s="21" t="str">
        <f>PartsMaster!B237&amp;" "&amp;PartsMaster!$C237</f>
        <v>Jaguar XK8 XKR X100 Wheel Bearing - Shim - 4.405mm</v>
      </c>
      <c r="E244" s="20">
        <v>3000</v>
      </c>
      <c r="F244" s="20" t="s">
        <v>1182</v>
      </c>
      <c r="H244" s="21">
        <f>PartsMaster!$Q237</f>
        <v>0</v>
      </c>
      <c r="I244" s="20">
        <v>9886</v>
      </c>
      <c r="K244" s="20">
        <v>0</v>
      </c>
      <c r="L244" s="20">
        <v>0</v>
      </c>
      <c r="M244" s="21">
        <f>PartsMaster!$D237</f>
        <v>0</v>
      </c>
      <c r="O244" s="20" t="s">
        <v>1169</v>
      </c>
      <c r="P244" s="23">
        <f>PartsMaster!$S237/1.45</f>
        <v>0</v>
      </c>
      <c r="S244" s="20">
        <v>30</v>
      </c>
      <c r="T244" s="20">
        <v>0</v>
      </c>
      <c r="U244" s="20" t="s">
        <v>1170</v>
      </c>
      <c r="Z244" s="26" t="str">
        <f>"&lt;P&gt;"&amp;PartsMaster!$I237&amp;" "&amp;PartsMaster!$H237&amp;"&lt;/P&gt;"&amp;"&lt;P&gt;Jaguar part name "&amp;PartsMaster!$E237&amp;"&lt;/P&gt;&lt;P&gt;Product numbers "&amp;PartsMaster!R237&amp;" "&amp;DQ244&amp;"&lt;/P&gt;&lt;P&gt;Fits starting from VIN/ModelYear "&amp;PartsMaster!$F237&amp;" until VIN/ModelYear "&amp;PartsMaster!$G237&amp;"&lt;/P&gt;&lt;P&gt;Condition: "&amp;PartsMaster!AB237&amp;"&lt;/P&gt;&lt;P&gt; (part source "&amp;PartsMaster!AD237&amp;")&lt;/P&gt;&lt;P&gt;Notes: "&amp;PartsMaster!AA237&amp;"&lt;/P&gt;"</f>
        <v>&lt;P&gt;Bearing Shim&lt;/P&gt;&lt;P&gt;Jaguar part name STEERING AND SUSPENSION/HUB AND CARRIER-REAR - Adjustable spacer&lt;/P&gt;&lt;P&gt;Product numbers MHC3397AA11 MHC3397AA11&lt;/P&gt;&lt;P&gt;Fits starting from VIN/ModelYear 0 until VIN/ModelYear 042775&lt;/P&gt;&lt;P&gt;Condition: SNG&lt;/P&gt;&lt;P&gt; (part source )&lt;/P&gt;&lt;P&gt;Notes: &lt;/P&gt;</v>
      </c>
      <c r="AA244" s="20" t="s">
        <v>1171</v>
      </c>
      <c r="AC244" s="20">
        <v>0</v>
      </c>
      <c r="AD244" s="20">
        <v>0</v>
      </c>
      <c r="AE244" s="20" t="s">
        <v>1172</v>
      </c>
      <c r="AF244" s="20">
        <v>7</v>
      </c>
      <c r="AG244" s="20">
        <v>0</v>
      </c>
      <c r="AH244" s="20">
        <v>0</v>
      </c>
      <c r="AI244" s="20">
        <v>0</v>
      </c>
      <c r="AJ244" s="20">
        <v>0</v>
      </c>
      <c r="AK244" s="20">
        <v>0</v>
      </c>
      <c r="AO244" s="20" t="s">
        <v>1173</v>
      </c>
      <c r="AR244" s="20">
        <v>0</v>
      </c>
      <c r="AS244" s="20">
        <v>10112</v>
      </c>
      <c r="AV244" s="20" t="s">
        <v>1174</v>
      </c>
      <c r="AX244" s="20">
        <v>62128510024</v>
      </c>
      <c r="AY244" s="20">
        <v>62035811024</v>
      </c>
      <c r="AZ244" s="20">
        <v>55187694024</v>
      </c>
      <c r="BA244" s="20" t="s">
        <v>1175</v>
      </c>
      <c r="BB244" s="20" t="s">
        <v>1176</v>
      </c>
      <c r="BC244" s="20" t="s">
        <v>1177</v>
      </c>
      <c r="BD244" s="20">
        <v>1</v>
      </c>
      <c r="BE244" s="20">
        <v>0</v>
      </c>
      <c r="BF244" s="20">
        <v>0</v>
      </c>
      <c r="BG244" s="20">
        <v>0</v>
      </c>
      <c r="BN244" s="20" t="s">
        <v>1178</v>
      </c>
      <c r="BV244" s="20">
        <v>0</v>
      </c>
      <c r="CL244" s="20">
        <v>0</v>
      </c>
      <c r="DD244" s="20" t="s">
        <v>1179</v>
      </c>
      <c r="DE244" s="20" t="s">
        <v>1179</v>
      </c>
      <c r="DI244" s="20">
        <v>0</v>
      </c>
      <c r="DP244" s="21" t="s">
        <v>1180</v>
      </c>
      <c r="DQ244" s="21" t="str">
        <f>PartsMaster!$A237</f>
        <v>MHC3397AA11</v>
      </c>
      <c r="DR244" s="21" t="s">
        <v>1181</v>
      </c>
      <c r="DS244" s="21" t="str">
        <f>PartsMaster!$K238&amp;" "&amp;PartsMaster!L238&amp;" "&amp;PartsMaster!$M238</f>
        <v xml:space="preserve">Rear Left/Right </v>
      </c>
    </row>
    <row r="245" spans="1:123" ht="30" hidden="1" x14ac:dyDescent="0.25">
      <c r="A245" s="20" t="s">
        <v>1166</v>
      </c>
      <c r="B245" s="20" t="s">
        <v>1167</v>
      </c>
      <c r="C245" s="20" t="s">
        <v>1168</v>
      </c>
      <c r="D245" s="21" t="str">
        <f>PartsMaster!B238&amp;" "&amp;PartsMaster!$C238</f>
        <v>Jaguar XK8 XKR X100 Wheel Bearing - Shim - 4.455mm</v>
      </c>
      <c r="E245" s="20">
        <v>3000</v>
      </c>
      <c r="F245" s="20" t="s">
        <v>1182</v>
      </c>
      <c r="H245" s="21">
        <f>PartsMaster!$Q238</f>
        <v>0</v>
      </c>
      <c r="I245" s="20">
        <v>9886</v>
      </c>
      <c r="K245" s="20">
        <v>0</v>
      </c>
      <c r="L245" s="20">
        <v>0</v>
      </c>
      <c r="M245" s="21">
        <f>PartsMaster!$D238</f>
        <v>0</v>
      </c>
      <c r="O245" s="20" t="s">
        <v>1169</v>
      </c>
      <c r="P245" s="23">
        <f>PartsMaster!$S238/1.45</f>
        <v>0</v>
      </c>
      <c r="S245" s="20">
        <v>30</v>
      </c>
      <c r="T245" s="20">
        <v>0</v>
      </c>
      <c r="U245" s="20" t="s">
        <v>1170</v>
      </c>
      <c r="Z245" s="26" t="str">
        <f>"&lt;P&gt;"&amp;PartsMaster!$I238&amp;" "&amp;PartsMaster!$H238&amp;"&lt;/P&gt;"&amp;"&lt;P&gt;Jaguar part name "&amp;PartsMaster!$E238&amp;"&lt;/P&gt;&lt;P&gt;Product numbers "&amp;PartsMaster!R238&amp;" "&amp;DQ245&amp;"&lt;/P&gt;&lt;P&gt;Fits starting from VIN/ModelYear "&amp;PartsMaster!$F238&amp;" until VIN/ModelYear "&amp;PartsMaster!$G238&amp;"&lt;/P&gt;&lt;P&gt;Condition: "&amp;PartsMaster!AB238&amp;"&lt;/P&gt;&lt;P&gt; (part source "&amp;PartsMaster!AD238&amp;")&lt;/P&gt;&lt;P&gt;Notes: "&amp;PartsMaster!AA238&amp;"&lt;/P&gt;"</f>
        <v>&lt;P&gt;Bearing Shim&lt;/P&gt;&lt;P&gt;Jaguar part name STEERING AND SUSPENSION/HUB AND CARRIER-REAR - Adjustable spacer&lt;/P&gt;&lt;P&gt;Product numbers MHC3397AA12 MHC3397AA12&lt;/P&gt;&lt;P&gt;Fits starting from VIN/ModelYear 0 until VIN/ModelYear 042775&lt;/P&gt;&lt;P&gt;Condition: SNG&lt;/P&gt;&lt;P&gt; (part source )&lt;/P&gt;&lt;P&gt;Notes: &lt;/P&gt;</v>
      </c>
      <c r="AA245" s="20" t="s">
        <v>1171</v>
      </c>
      <c r="AC245" s="20">
        <v>0</v>
      </c>
      <c r="AD245" s="20">
        <v>0</v>
      </c>
      <c r="AE245" s="20" t="s">
        <v>1172</v>
      </c>
      <c r="AF245" s="20">
        <v>7</v>
      </c>
      <c r="AG245" s="20">
        <v>0</v>
      </c>
      <c r="AH245" s="20">
        <v>0</v>
      </c>
      <c r="AI245" s="20">
        <v>0</v>
      </c>
      <c r="AJ245" s="20">
        <v>0</v>
      </c>
      <c r="AK245" s="20">
        <v>0</v>
      </c>
      <c r="AO245" s="20" t="s">
        <v>1173</v>
      </c>
      <c r="AR245" s="20">
        <v>0</v>
      </c>
      <c r="AS245" s="20">
        <v>10112</v>
      </c>
      <c r="AV245" s="20" t="s">
        <v>1174</v>
      </c>
      <c r="AX245" s="20">
        <v>62128510024</v>
      </c>
      <c r="AY245" s="20">
        <v>62035811024</v>
      </c>
      <c r="AZ245" s="20">
        <v>55187694024</v>
      </c>
      <c r="BA245" s="20" t="s">
        <v>1175</v>
      </c>
      <c r="BB245" s="20" t="s">
        <v>1176</v>
      </c>
      <c r="BC245" s="20" t="s">
        <v>1177</v>
      </c>
      <c r="BD245" s="20">
        <v>1</v>
      </c>
      <c r="BE245" s="20">
        <v>0</v>
      </c>
      <c r="BF245" s="20">
        <v>0</v>
      </c>
      <c r="BG245" s="20">
        <v>0</v>
      </c>
      <c r="BN245" s="20" t="s">
        <v>1178</v>
      </c>
      <c r="BV245" s="20">
        <v>0</v>
      </c>
      <c r="CL245" s="20">
        <v>0</v>
      </c>
      <c r="DD245" s="20" t="s">
        <v>1179</v>
      </c>
      <c r="DE245" s="20" t="s">
        <v>1179</v>
      </c>
      <c r="DI245" s="20">
        <v>0</v>
      </c>
      <c r="DP245" s="21" t="s">
        <v>1180</v>
      </c>
      <c r="DQ245" s="21" t="str">
        <f>PartsMaster!$A238</f>
        <v>MHC3397AA12</v>
      </c>
      <c r="DR245" s="21" t="s">
        <v>1181</v>
      </c>
      <c r="DS245" s="21" t="str">
        <f>PartsMaster!$K239&amp;" "&amp;PartsMaster!L239&amp;" "&amp;PartsMaster!$M239</f>
        <v xml:space="preserve">Rear Left/Right </v>
      </c>
    </row>
    <row r="246" spans="1:123" ht="30" hidden="1" x14ac:dyDescent="0.25">
      <c r="A246" s="20" t="s">
        <v>1166</v>
      </c>
      <c r="B246" s="20" t="s">
        <v>1167</v>
      </c>
      <c r="C246" s="20" t="s">
        <v>1168</v>
      </c>
      <c r="D246" s="21" t="str">
        <f>PartsMaster!B239&amp;" "&amp;PartsMaster!$C239</f>
        <v>Jaguar XK8 XKR X100 Wheel Bearing - Shim - 5.505mm</v>
      </c>
      <c r="E246" s="20">
        <v>3000</v>
      </c>
      <c r="F246" s="20" t="s">
        <v>1182</v>
      </c>
      <c r="H246" s="21">
        <f>PartsMaster!$Q239</f>
        <v>0</v>
      </c>
      <c r="I246" s="20">
        <v>9886</v>
      </c>
      <c r="K246" s="20">
        <v>0</v>
      </c>
      <c r="L246" s="20">
        <v>0</v>
      </c>
      <c r="M246" s="21">
        <f>PartsMaster!$D239</f>
        <v>0</v>
      </c>
      <c r="O246" s="20" t="s">
        <v>1169</v>
      </c>
      <c r="P246" s="23">
        <f>PartsMaster!$S239/1.45</f>
        <v>0</v>
      </c>
      <c r="S246" s="20">
        <v>30</v>
      </c>
      <c r="T246" s="20">
        <v>0</v>
      </c>
      <c r="U246" s="20" t="s">
        <v>1170</v>
      </c>
      <c r="Z246" s="26" t="str">
        <f>"&lt;P&gt;"&amp;PartsMaster!$I239&amp;" "&amp;PartsMaster!$H239&amp;"&lt;/P&gt;"&amp;"&lt;P&gt;Jaguar part name "&amp;PartsMaster!$E239&amp;"&lt;/P&gt;&lt;P&gt;Product numbers "&amp;PartsMaster!R239&amp;" "&amp;DQ246&amp;"&lt;/P&gt;&lt;P&gt;Fits starting from VIN/ModelYear "&amp;PartsMaster!$F239&amp;" until VIN/ModelYear "&amp;PartsMaster!$G239&amp;"&lt;/P&gt;&lt;P&gt;Condition: "&amp;PartsMaster!AB239&amp;"&lt;/P&gt;&lt;P&gt; (part source "&amp;PartsMaster!AD239&amp;")&lt;/P&gt;&lt;P&gt;Notes: "&amp;PartsMaster!AA239&amp;"&lt;/P&gt;"</f>
        <v>&lt;P&gt;Bearing Shim&lt;/P&gt;&lt;P&gt;Jaguar part name STEERING AND SUSPENSION/HUB AND CARRIER-REAR - Adjustable spacer&lt;/P&gt;&lt;P&gt;Product numbers MHC3397AA13 MHC3397AA13&lt;/P&gt;&lt;P&gt;Fits starting from VIN/ModelYear 0 until VIN/ModelYear 042775&lt;/P&gt;&lt;P&gt;Condition: SNG&lt;/P&gt;&lt;P&gt; (part source )&lt;/P&gt;&lt;P&gt;Notes: &lt;/P&gt;</v>
      </c>
      <c r="AA246" s="20" t="s">
        <v>1171</v>
      </c>
      <c r="AC246" s="20">
        <v>0</v>
      </c>
      <c r="AD246" s="20">
        <v>0</v>
      </c>
      <c r="AE246" s="20" t="s">
        <v>1172</v>
      </c>
      <c r="AF246" s="20">
        <v>7</v>
      </c>
      <c r="AG246" s="20">
        <v>0</v>
      </c>
      <c r="AH246" s="20">
        <v>0</v>
      </c>
      <c r="AI246" s="20">
        <v>0</v>
      </c>
      <c r="AJ246" s="20">
        <v>0</v>
      </c>
      <c r="AK246" s="20">
        <v>0</v>
      </c>
      <c r="AO246" s="20" t="s">
        <v>1173</v>
      </c>
      <c r="AR246" s="20">
        <v>0</v>
      </c>
      <c r="AS246" s="20">
        <v>10112</v>
      </c>
      <c r="AV246" s="20" t="s">
        <v>1174</v>
      </c>
      <c r="AX246" s="20">
        <v>62128510024</v>
      </c>
      <c r="AY246" s="20">
        <v>62035811024</v>
      </c>
      <c r="AZ246" s="20">
        <v>55187694024</v>
      </c>
      <c r="BA246" s="20" t="s">
        <v>1175</v>
      </c>
      <c r="BB246" s="20" t="s">
        <v>1176</v>
      </c>
      <c r="BC246" s="20" t="s">
        <v>1177</v>
      </c>
      <c r="BD246" s="20">
        <v>1</v>
      </c>
      <c r="BE246" s="20">
        <v>0</v>
      </c>
      <c r="BF246" s="20">
        <v>0</v>
      </c>
      <c r="BG246" s="20">
        <v>0</v>
      </c>
      <c r="BN246" s="20" t="s">
        <v>1178</v>
      </c>
      <c r="BV246" s="20">
        <v>0</v>
      </c>
      <c r="CL246" s="20">
        <v>0</v>
      </c>
      <c r="DD246" s="20" t="s">
        <v>1179</v>
      </c>
      <c r="DE246" s="20" t="s">
        <v>1179</v>
      </c>
      <c r="DI246" s="20">
        <v>0</v>
      </c>
      <c r="DP246" s="21" t="s">
        <v>1180</v>
      </c>
      <c r="DQ246" s="21" t="str">
        <f>PartsMaster!$A239</f>
        <v>MHC3397AA13</v>
      </c>
      <c r="DR246" s="21" t="s">
        <v>1181</v>
      </c>
      <c r="DS246" s="21" t="str">
        <f>PartsMaster!$K240&amp;" "&amp;PartsMaster!L240&amp;" "&amp;PartsMaster!$M240</f>
        <v xml:space="preserve">Rear Left/Right </v>
      </c>
    </row>
    <row r="247" spans="1:123" ht="30" hidden="1" x14ac:dyDescent="0.25">
      <c r="A247" s="20" t="s">
        <v>1166</v>
      </c>
      <c r="B247" s="20" t="s">
        <v>1167</v>
      </c>
      <c r="C247" s="20" t="s">
        <v>1168</v>
      </c>
      <c r="D247" s="21" t="str">
        <f>PartsMaster!B240&amp;" "&amp;PartsMaster!$C240</f>
        <v>Jaguar XK8 XKR X100 Wheel Bearing - Shim - 3.955mm</v>
      </c>
      <c r="E247" s="20">
        <v>3000</v>
      </c>
      <c r="F247" s="20" t="s">
        <v>1182</v>
      </c>
      <c r="H247" s="21">
        <f>PartsMaster!$Q240</f>
        <v>0</v>
      </c>
      <c r="I247" s="20">
        <v>9886</v>
      </c>
      <c r="K247" s="20">
        <v>0</v>
      </c>
      <c r="L247" s="20">
        <v>0</v>
      </c>
      <c r="M247" s="21">
        <f>PartsMaster!$D240</f>
        <v>0</v>
      </c>
      <c r="O247" s="20" t="s">
        <v>1169</v>
      </c>
      <c r="P247" s="23">
        <f>PartsMaster!$S240/1.45</f>
        <v>0</v>
      </c>
      <c r="S247" s="20">
        <v>30</v>
      </c>
      <c r="T247" s="20">
        <v>0</v>
      </c>
      <c r="U247" s="20" t="s">
        <v>1170</v>
      </c>
      <c r="Z247" s="26" t="str">
        <f>"&lt;P&gt;"&amp;PartsMaster!$I240&amp;" "&amp;PartsMaster!$H240&amp;"&lt;/P&gt;"&amp;"&lt;P&gt;Jaguar part name "&amp;PartsMaster!$E240&amp;"&lt;/P&gt;&lt;P&gt;Product numbers "&amp;PartsMaster!R240&amp;" "&amp;DQ247&amp;"&lt;/P&gt;&lt;P&gt;Fits starting from VIN/ModelYear "&amp;PartsMaster!$F240&amp;" until VIN/ModelYear "&amp;PartsMaster!$G240&amp;"&lt;/P&gt;&lt;P&gt;Condition: "&amp;PartsMaster!AB240&amp;"&lt;/P&gt;&lt;P&gt; (part source "&amp;PartsMaster!AD240&amp;")&lt;/P&gt;&lt;P&gt;Notes: "&amp;PartsMaster!AA240&amp;"&lt;/P&gt;"</f>
        <v>&lt;P&gt;Bearing Shim&lt;/P&gt;&lt;P&gt;Jaguar part name STEERING AND SUSPENSION/HUB AND CARRIER-REAR - Adjustable spacer&lt;/P&gt;&lt;P&gt;Product numbers MHC3397AA2 MHC3397AA2&lt;/P&gt;&lt;P&gt;Fits starting from VIN/ModelYear 0 until VIN/ModelYear 042775&lt;/P&gt;&lt;P&gt;Condition: SNG&lt;/P&gt;&lt;P&gt; (part source )&lt;/P&gt;&lt;P&gt;Notes: &lt;/P&gt;</v>
      </c>
      <c r="AA247" s="20" t="s">
        <v>1171</v>
      </c>
      <c r="AC247" s="20">
        <v>0</v>
      </c>
      <c r="AD247" s="20">
        <v>0</v>
      </c>
      <c r="AE247" s="20" t="s">
        <v>1172</v>
      </c>
      <c r="AF247" s="20">
        <v>7</v>
      </c>
      <c r="AG247" s="20">
        <v>0</v>
      </c>
      <c r="AH247" s="20">
        <v>0</v>
      </c>
      <c r="AI247" s="20">
        <v>0</v>
      </c>
      <c r="AJ247" s="20">
        <v>0</v>
      </c>
      <c r="AK247" s="20">
        <v>0</v>
      </c>
      <c r="AO247" s="20" t="s">
        <v>1173</v>
      </c>
      <c r="AR247" s="20">
        <v>0</v>
      </c>
      <c r="AS247" s="20">
        <v>10112</v>
      </c>
      <c r="AV247" s="20" t="s">
        <v>1174</v>
      </c>
      <c r="AX247" s="20">
        <v>62128510024</v>
      </c>
      <c r="AY247" s="20">
        <v>62035811024</v>
      </c>
      <c r="AZ247" s="20">
        <v>55187694024</v>
      </c>
      <c r="BA247" s="20" t="s">
        <v>1175</v>
      </c>
      <c r="BB247" s="20" t="s">
        <v>1176</v>
      </c>
      <c r="BC247" s="20" t="s">
        <v>1177</v>
      </c>
      <c r="BD247" s="20">
        <v>1</v>
      </c>
      <c r="BE247" s="20">
        <v>0</v>
      </c>
      <c r="BF247" s="20">
        <v>0</v>
      </c>
      <c r="BG247" s="20">
        <v>0</v>
      </c>
      <c r="BN247" s="20" t="s">
        <v>1178</v>
      </c>
      <c r="BV247" s="20">
        <v>0</v>
      </c>
      <c r="CL247" s="20">
        <v>0</v>
      </c>
      <c r="DD247" s="20" t="s">
        <v>1179</v>
      </c>
      <c r="DE247" s="20" t="s">
        <v>1179</v>
      </c>
      <c r="DI247" s="20">
        <v>0</v>
      </c>
      <c r="DP247" s="21" t="s">
        <v>1180</v>
      </c>
      <c r="DQ247" s="21" t="str">
        <f>PartsMaster!$A240</f>
        <v>MHC3397AA2</v>
      </c>
      <c r="DR247" s="21" t="s">
        <v>1181</v>
      </c>
      <c r="DS247" s="21" t="str">
        <f>PartsMaster!$K241&amp;" "&amp;PartsMaster!L241&amp;" "&amp;PartsMaster!$M241</f>
        <v xml:space="preserve">Rear Left/Right </v>
      </c>
    </row>
    <row r="248" spans="1:123" hidden="1" x14ac:dyDescent="0.25">
      <c r="A248" s="20" t="s">
        <v>1166</v>
      </c>
      <c r="B248" s="20" t="s">
        <v>1167</v>
      </c>
      <c r="C248" s="20" t="s">
        <v>1168</v>
      </c>
      <c r="D248" s="21" t="str">
        <f>PartsMaster!B241&amp;" "&amp;PartsMaster!$C241</f>
        <v>Jaguar XK8 XKR X100 Wheel Bearing - Shim - 4.005mm</v>
      </c>
      <c r="E248" s="20">
        <v>3000</v>
      </c>
      <c r="F248" s="20" t="s">
        <v>1182</v>
      </c>
      <c r="H248" s="21">
        <f>PartsMaster!$Q241</f>
        <v>0</v>
      </c>
      <c r="I248" s="20">
        <v>9886</v>
      </c>
      <c r="K248" s="20">
        <v>0</v>
      </c>
      <c r="L248" s="20">
        <v>0</v>
      </c>
      <c r="M248" s="21">
        <f>PartsMaster!$D241</f>
        <v>0</v>
      </c>
      <c r="O248" s="20" t="s">
        <v>1169</v>
      </c>
      <c r="P248" s="23">
        <f>PartsMaster!$S241/1.45</f>
        <v>0</v>
      </c>
      <c r="S248" s="20">
        <v>30</v>
      </c>
      <c r="T248" s="20">
        <v>0</v>
      </c>
      <c r="U248" s="20" t="s">
        <v>1170</v>
      </c>
      <c r="Z248" s="26" t="str">
        <f>"&lt;P&gt;"&amp;PartsMaster!$I241&amp;" "&amp;PartsMaster!$H241&amp;"&lt;/P&gt;"&amp;"&lt;P&gt;Jaguar part name "&amp;PartsMaster!$E241&amp;"&lt;/P&gt;&lt;P&gt;Product numbers "&amp;PartsMaster!R241&amp;" "&amp;DQ248&amp;"&lt;/P&gt;&lt;P&gt;Fits starting from VIN/ModelYear "&amp;PartsMaster!$F241&amp;" until VIN/ModelYear "&amp;PartsMaster!$G241&amp;"&lt;/P&gt;&lt;P&gt;Condition: "&amp;PartsMaster!AB241&amp;"&lt;/P&gt;&lt;P&gt; (part source "&amp;PartsMaster!AD241&amp;")&lt;/P&gt;&lt;P&gt;Notes: "&amp;PartsMaster!AA241&amp;"&lt;/P&gt;"</f>
        <v>&lt;P&gt;Bearing Shim&lt;/P&gt;&lt;P&gt;Jaguar part name STEERING AND SUSPENSION/HUB AND CARRIER-REAR - Adjustable spacer&lt;/P&gt;&lt;P&gt;Product numbers MHC3397AA3 MHC3397AA3&lt;/P&gt;&lt;P&gt;Fits starting from VIN/ModelYear 0 until VIN/ModelYear 042775&lt;/P&gt;&lt;P&gt;Condition: SNG&lt;/P&gt;&lt;P&gt; (part source )&lt;/P&gt;&lt;P&gt;Notes: &lt;/P&gt;</v>
      </c>
      <c r="AA248" s="20" t="s">
        <v>1171</v>
      </c>
      <c r="AC248" s="20">
        <v>0</v>
      </c>
      <c r="AD248" s="20">
        <v>0</v>
      </c>
      <c r="AE248" s="20" t="s">
        <v>1172</v>
      </c>
      <c r="AF248" s="20">
        <v>7</v>
      </c>
      <c r="AG248" s="20">
        <v>0</v>
      </c>
      <c r="AH248" s="20">
        <v>0</v>
      </c>
      <c r="AI248" s="20">
        <v>0</v>
      </c>
      <c r="AJ248" s="20">
        <v>0</v>
      </c>
      <c r="AK248" s="20">
        <v>0</v>
      </c>
      <c r="AO248" s="20" t="s">
        <v>1173</v>
      </c>
      <c r="AR248" s="20">
        <v>0</v>
      </c>
      <c r="AS248" s="20">
        <v>10112</v>
      </c>
      <c r="AV248" s="20" t="s">
        <v>1174</v>
      </c>
      <c r="AX248" s="20">
        <v>62128510024</v>
      </c>
      <c r="AY248" s="20">
        <v>62035811024</v>
      </c>
      <c r="AZ248" s="20">
        <v>55187694024</v>
      </c>
      <c r="BA248" s="20" t="s">
        <v>1175</v>
      </c>
      <c r="BB248" s="20" t="s">
        <v>1176</v>
      </c>
      <c r="BC248" s="20" t="s">
        <v>1177</v>
      </c>
      <c r="BD248" s="20">
        <v>1</v>
      </c>
      <c r="BE248" s="20">
        <v>0</v>
      </c>
      <c r="BF248" s="20">
        <v>0</v>
      </c>
      <c r="BG248" s="20">
        <v>0</v>
      </c>
      <c r="BN248" s="20" t="s">
        <v>1178</v>
      </c>
      <c r="BV248" s="20">
        <v>0</v>
      </c>
      <c r="CL248" s="20">
        <v>0</v>
      </c>
      <c r="DD248" s="20" t="s">
        <v>1179</v>
      </c>
      <c r="DE248" s="20" t="s">
        <v>1179</v>
      </c>
      <c r="DI248" s="20">
        <v>0</v>
      </c>
      <c r="DP248" s="21" t="s">
        <v>1180</v>
      </c>
      <c r="DQ248" s="21" t="str">
        <f>PartsMaster!$A241</f>
        <v>MHC3397AA3</v>
      </c>
      <c r="DR248" s="21" t="s">
        <v>1181</v>
      </c>
      <c r="DS248" s="21" t="str">
        <f>PartsMaster!$K242&amp;" "&amp;PartsMaster!L242&amp;" "&amp;PartsMaster!$M242</f>
        <v xml:space="preserve">Rear Left/Right </v>
      </c>
    </row>
    <row r="249" spans="1:123" ht="30" hidden="1" x14ac:dyDescent="0.25">
      <c r="A249" s="20" t="s">
        <v>1166</v>
      </c>
      <c r="B249" s="20" t="s">
        <v>1167</v>
      </c>
      <c r="C249" s="20" t="s">
        <v>1168</v>
      </c>
      <c r="D249" s="21" t="str">
        <f>PartsMaster!B242&amp;" "&amp;PartsMaster!$C242</f>
        <v>Jaguar XK8 XKR X100 Wheel Bearing - Shim - 4.055mm</v>
      </c>
      <c r="E249" s="20">
        <v>3000</v>
      </c>
      <c r="F249" s="20" t="s">
        <v>1182</v>
      </c>
      <c r="H249" s="21">
        <f>PartsMaster!$Q242</f>
        <v>0</v>
      </c>
      <c r="I249" s="20">
        <v>9886</v>
      </c>
      <c r="K249" s="20">
        <v>0</v>
      </c>
      <c r="L249" s="20">
        <v>0</v>
      </c>
      <c r="M249" s="21">
        <f>PartsMaster!$D242</f>
        <v>0</v>
      </c>
      <c r="O249" s="20" t="s">
        <v>1169</v>
      </c>
      <c r="P249" s="23">
        <f>PartsMaster!$S242/1.45</f>
        <v>0</v>
      </c>
      <c r="S249" s="20">
        <v>30</v>
      </c>
      <c r="T249" s="20">
        <v>0</v>
      </c>
      <c r="U249" s="20" t="s">
        <v>1170</v>
      </c>
      <c r="Z249" s="26" t="str">
        <f>"&lt;P&gt;"&amp;PartsMaster!$I242&amp;" "&amp;PartsMaster!$H242&amp;"&lt;/P&gt;"&amp;"&lt;P&gt;Jaguar part name "&amp;PartsMaster!$E242&amp;"&lt;/P&gt;&lt;P&gt;Product numbers "&amp;PartsMaster!R242&amp;" "&amp;DQ249&amp;"&lt;/P&gt;&lt;P&gt;Fits starting from VIN/ModelYear "&amp;PartsMaster!$F242&amp;" until VIN/ModelYear "&amp;PartsMaster!$G242&amp;"&lt;/P&gt;&lt;P&gt;Condition: "&amp;PartsMaster!AB242&amp;"&lt;/P&gt;&lt;P&gt; (part source "&amp;PartsMaster!AD242&amp;")&lt;/P&gt;&lt;P&gt;Notes: "&amp;PartsMaster!AA242&amp;"&lt;/P&gt;"</f>
        <v>&lt;P&gt;Bearing Shim&lt;/P&gt;&lt;P&gt;Jaguar part name STEERING AND SUSPENSION/HUB AND CARRIER-REAR - Adjustable spacer&lt;/P&gt;&lt;P&gt;Product numbers MHC3397AA4 MHC3397AA4&lt;/P&gt;&lt;P&gt;Fits starting from VIN/ModelYear 0 until VIN/ModelYear 042775&lt;/P&gt;&lt;P&gt;Condition: SNG&lt;/P&gt;&lt;P&gt; (part source )&lt;/P&gt;&lt;P&gt;Notes: &lt;/P&gt;</v>
      </c>
      <c r="AA249" s="20" t="s">
        <v>1171</v>
      </c>
      <c r="AC249" s="20">
        <v>0</v>
      </c>
      <c r="AD249" s="20">
        <v>0</v>
      </c>
      <c r="AE249" s="20" t="s">
        <v>1172</v>
      </c>
      <c r="AF249" s="20">
        <v>7</v>
      </c>
      <c r="AG249" s="20">
        <v>0</v>
      </c>
      <c r="AH249" s="20">
        <v>0</v>
      </c>
      <c r="AI249" s="20">
        <v>0</v>
      </c>
      <c r="AJ249" s="20">
        <v>0</v>
      </c>
      <c r="AK249" s="20">
        <v>0</v>
      </c>
      <c r="AO249" s="20" t="s">
        <v>1173</v>
      </c>
      <c r="AR249" s="20">
        <v>0</v>
      </c>
      <c r="AS249" s="20">
        <v>10112</v>
      </c>
      <c r="AV249" s="20" t="s">
        <v>1174</v>
      </c>
      <c r="AX249" s="20">
        <v>62128510024</v>
      </c>
      <c r="AY249" s="20">
        <v>62035811024</v>
      </c>
      <c r="AZ249" s="20">
        <v>55187694024</v>
      </c>
      <c r="BA249" s="20" t="s">
        <v>1175</v>
      </c>
      <c r="BB249" s="20" t="s">
        <v>1176</v>
      </c>
      <c r="BC249" s="20" t="s">
        <v>1177</v>
      </c>
      <c r="BD249" s="20">
        <v>1</v>
      </c>
      <c r="BE249" s="20">
        <v>0</v>
      </c>
      <c r="BF249" s="20">
        <v>0</v>
      </c>
      <c r="BG249" s="20">
        <v>0</v>
      </c>
      <c r="BN249" s="20" t="s">
        <v>1178</v>
      </c>
      <c r="BV249" s="20">
        <v>0</v>
      </c>
      <c r="CL249" s="20">
        <v>0</v>
      </c>
      <c r="DD249" s="20" t="s">
        <v>1179</v>
      </c>
      <c r="DE249" s="20" t="s">
        <v>1179</v>
      </c>
      <c r="DI249" s="20">
        <v>0</v>
      </c>
      <c r="DP249" s="21" t="s">
        <v>1180</v>
      </c>
      <c r="DQ249" s="21" t="str">
        <f>PartsMaster!$A242</f>
        <v>MHC3397AA4</v>
      </c>
      <c r="DR249" s="21" t="s">
        <v>1181</v>
      </c>
      <c r="DS249" s="21" t="str">
        <f>PartsMaster!$K243&amp;" "&amp;PartsMaster!L243&amp;" "&amp;PartsMaster!$M243</f>
        <v xml:space="preserve">Rear Left/Right </v>
      </c>
    </row>
    <row r="250" spans="1:123" ht="30" hidden="1" x14ac:dyDescent="0.25">
      <c r="A250" s="20" t="s">
        <v>1166</v>
      </c>
      <c r="B250" s="20" t="s">
        <v>1167</v>
      </c>
      <c r="C250" s="20" t="s">
        <v>1168</v>
      </c>
      <c r="D250" s="21" t="str">
        <f>PartsMaster!B243&amp;" "&amp;PartsMaster!$C243</f>
        <v>Jaguar XK8 XKR X100 Wheel Bearing - Shim - 4.105mm</v>
      </c>
      <c r="E250" s="20">
        <v>3000</v>
      </c>
      <c r="F250" s="20" t="s">
        <v>1182</v>
      </c>
      <c r="H250" s="21">
        <f>PartsMaster!$Q243</f>
        <v>0</v>
      </c>
      <c r="I250" s="20">
        <v>9886</v>
      </c>
      <c r="K250" s="20">
        <v>0</v>
      </c>
      <c r="L250" s="20">
        <v>0</v>
      </c>
      <c r="M250" s="21">
        <f>PartsMaster!$D243</f>
        <v>0</v>
      </c>
      <c r="O250" s="20" t="s">
        <v>1169</v>
      </c>
      <c r="P250" s="23">
        <f>PartsMaster!$S243/1.45</f>
        <v>0</v>
      </c>
      <c r="S250" s="20">
        <v>30</v>
      </c>
      <c r="T250" s="20">
        <v>0</v>
      </c>
      <c r="U250" s="20" t="s">
        <v>1170</v>
      </c>
      <c r="Z250" s="26" t="str">
        <f>"&lt;P&gt;"&amp;PartsMaster!$I243&amp;" "&amp;PartsMaster!$H243&amp;"&lt;/P&gt;"&amp;"&lt;P&gt;Jaguar part name "&amp;PartsMaster!$E243&amp;"&lt;/P&gt;&lt;P&gt;Product numbers "&amp;PartsMaster!R243&amp;" "&amp;DQ250&amp;"&lt;/P&gt;&lt;P&gt;Fits starting from VIN/ModelYear "&amp;PartsMaster!$F243&amp;" until VIN/ModelYear "&amp;PartsMaster!$G243&amp;"&lt;/P&gt;&lt;P&gt;Condition: "&amp;PartsMaster!AB243&amp;"&lt;/P&gt;&lt;P&gt; (part source "&amp;PartsMaster!AD243&amp;")&lt;/P&gt;&lt;P&gt;Notes: "&amp;PartsMaster!AA243&amp;"&lt;/P&gt;"</f>
        <v>&lt;P&gt;Bearing Shim&lt;/P&gt;&lt;P&gt;Jaguar part name STEERING AND SUSPENSION/HUB AND CARRIER-REAR - Adjustable spacer&lt;/P&gt;&lt;P&gt;Product numbers MHC3397AA5 MHC3397AA5&lt;/P&gt;&lt;P&gt;Fits starting from VIN/ModelYear 0 until VIN/ModelYear 042775&lt;/P&gt;&lt;P&gt;Condition: SNG&lt;/P&gt;&lt;P&gt; (part source )&lt;/P&gt;&lt;P&gt;Notes: &lt;/P&gt;</v>
      </c>
      <c r="AA250" s="20" t="s">
        <v>1171</v>
      </c>
      <c r="AC250" s="20">
        <v>0</v>
      </c>
      <c r="AD250" s="20">
        <v>0</v>
      </c>
      <c r="AE250" s="20" t="s">
        <v>1172</v>
      </c>
      <c r="AF250" s="20">
        <v>7</v>
      </c>
      <c r="AG250" s="20">
        <v>0</v>
      </c>
      <c r="AH250" s="20">
        <v>0</v>
      </c>
      <c r="AI250" s="20">
        <v>0</v>
      </c>
      <c r="AJ250" s="20">
        <v>0</v>
      </c>
      <c r="AK250" s="20">
        <v>0</v>
      </c>
      <c r="AO250" s="20" t="s">
        <v>1173</v>
      </c>
      <c r="AR250" s="20">
        <v>0</v>
      </c>
      <c r="AS250" s="20">
        <v>10112</v>
      </c>
      <c r="AV250" s="20" t="s">
        <v>1174</v>
      </c>
      <c r="AX250" s="20">
        <v>62128510024</v>
      </c>
      <c r="AY250" s="20">
        <v>62035811024</v>
      </c>
      <c r="AZ250" s="20">
        <v>55187694024</v>
      </c>
      <c r="BA250" s="20" t="s">
        <v>1175</v>
      </c>
      <c r="BB250" s="20" t="s">
        <v>1176</v>
      </c>
      <c r="BC250" s="20" t="s">
        <v>1177</v>
      </c>
      <c r="BD250" s="20">
        <v>1</v>
      </c>
      <c r="BE250" s="20">
        <v>0</v>
      </c>
      <c r="BF250" s="20">
        <v>0</v>
      </c>
      <c r="BG250" s="20">
        <v>0</v>
      </c>
      <c r="BN250" s="20" t="s">
        <v>1178</v>
      </c>
      <c r="BV250" s="20">
        <v>0</v>
      </c>
      <c r="CL250" s="20">
        <v>0</v>
      </c>
      <c r="DD250" s="20" t="s">
        <v>1179</v>
      </c>
      <c r="DE250" s="20" t="s">
        <v>1179</v>
      </c>
      <c r="DI250" s="20">
        <v>0</v>
      </c>
      <c r="DP250" s="21" t="s">
        <v>1180</v>
      </c>
      <c r="DQ250" s="21" t="str">
        <f>PartsMaster!$A243</f>
        <v>MHC3397AA5</v>
      </c>
      <c r="DR250" s="21" t="s">
        <v>1181</v>
      </c>
      <c r="DS250" s="21" t="str">
        <f>PartsMaster!$K244&amp;" "&amp;PartsMaster!L244&amp;" "&amp;PartsMaster!$M244</f>
        <v xml:space="preserve">Rear Left/Right </v>
      </c>
    </row>
    <row r="251" spans="1:123" ht="30" hidden="1" x14ac:dyDescent="0.25">
      <c r="A251" s="20" t="s">
        <v>1166</v>
      </c>
      <c r="B251" s="20" t="s">
        <v>1167</v>
      </c>
      <c r="C251" s="20" t="s">
        <v>1168</v>
      </c>
      <c r="D251" s="21" t="str">
        <f>PartsMaster!B244&amp;" "&amp;PartsMaster!$C244</f>
        <v>Jaguar XK8 XKR X100 Wheel Bearing - Shim - 4.155mm</v>
      </c>
      <c r="E251" s="20">
        <v>3000</v>
      </c>
      <c r="F251" s="20" t="s">
        <v>1182</v>
      </c>
      <c r="H251" s="21">
        <f>PartsMaster!$Q244</f>
        <v>0</v>
      </c>
      <c r="I251" s="20">
        <v>9886</v>
      </c>
      <c r="K251" s="20">
        <v>0</v>
      </c>
      <c r="L251" s="20">
        <v>0</v>
      </c>
      <c r="M251" s="21">
        <f>PartsMaster!$D244</f>
        <v>0</v>
      </c>
      <c r="O251" s="20" t="s">
        <v>1169</v>
      </c>
      <c r="P251" s="23">
        <f>PartsMaster!$S244/1.45</f>
        <v>0</v>
      </c>
      <c r="S251" s="20">
        <v>30</v>
      </c>
      <c r="T251" s="20">
        <v>0</v>
      </c>
      <c r="U251" s="20" t="s">
        <v>1170</v>
      </c>
      <c r="Z251" s="26" t="str">
        <f>"&lt;P&gt;"&amp;PartsMaster!$I244&amp;" "&amp;PartsMaster!$H244&amp;"&lt;/P&gt;"&amp;"&lt;P&gt;Jaguar part name "&amp;PartsMaster!$E244&amp;"&lt;/P&gt;&lt;P&gt;Product numbers "&amp;PartsMaster!R244&amp;" "&amp;DQ251&amp;"&lt;/P&gt;&lt;P&gt;Fits starting from VIN/ModelYear "&amp;PartsMaster!$F244&amp;" until VIN/ModelYear "&amp;PartsMaster!$G244&amp;"&lt;/P&gt;&lt;P&gt;Condition: "&amp;PartsMaster!AB244&amp;"&lt;/P&gt;&lt;P&gt; (part source "&amp;PartsMaster!AD244&amp;")&lt;/P&gt;&lt;P&gt;Notes: "&amp;PartsMaster!AA244&amp;"&lt;/P&gt;"</f>
        <v>&lt;P&gt;Bearing Shim&lt;/P&gt;&lt;P&gt;Jaguar part name STEERING AND SUSPENSION/HUB AND CARRIER-REAR - Adjustable spacer&lt;/P&gt;&lt;P&gt;Product numbers MHC3397AA6 MHC3397AA6&lt;/P&gt;&lt;P&gt;Fits starting from VIN/ModelYear 0 until VIN/ModelYear 042775&lt;/P&gt;&lt;P&gt;Condition: SNG&lt;/P&gt;&lt;P&gt; (part source )&lt;/P&gt;&lt;P&gt;Notes: &lt;/P&gt;</v>
      </c>
      <c r="AA251" s="20" t="s">
        <v>1171</v>
      </c>
      <c r="AC251" s="20">
        <v>0</v>
      </c>
      <c r="AD251" s="20">
        <v>0</v>
      </c>
      <c r="AE251" s="20" t="s">
        <v>1172</v>
      </c>
      <c r="AF251" s="20">
        <v>7</v>
      </c>
      <c r="AG251" s="20">
        <v>0</v>
      </c>
      <c r="AH251" s="20">
        <v>0</v>
      </c>
      <c r="AI251" s="20">
        <v>0</v>
      </c>
      <c r="AJ251" s="20">
        <v>0</v>
      </c>
      <c r="AK251" s="20">
        <v>0</v>
      </c>
      <c r="AO251" s="20" t="s">
        <v>1173</v>
      </c>
      <c r="AR251" s="20">
        <v>0</v>
      </c>
      <c r="AS251" s="20">
        <v>10112</v>
      </c>
      <c r="AV251" s="20" t="s">
        <v>1174</v>
      </c>
      <c r="AX251" s="20">
        <v>62128510024</v>
      </c>
      <c r="AY251" s="20">
        <v>62035811024</v>
      </c>
      <c r="AZ251" s="20">
        <v>55187694024</v>
      </c>
      <c r="BA251" s="20" t="s">
        <v>1175</v>
      </c>
      <c r="BB251" s="20" t="s">
        <v>1176</v>
      </c>
      <c r="BC251" s="20" t="s">
        <v>1177</v>
      </c>
      <c r="BD251" s="20">
        <v>1</v>
      </c>
      <c r="BE251" s="20">
        <v>0</v>
      </c>
      <c r="BF251" s="20">
        <v>0</v>
      </c>
      <c r="BG251" s="20">
        <v>0</v>
      </c>
      <c r="BN251" s="20" t="s">
        <v>1178</v>
      </c>
      <c r="BV251" s="20">
        <v>0</v>
      </c>
      <c r="CL251" s="20">
        <v>0</v>
      </c>
      <c r="DD251" s="20" t="s">
        <v>1179</v>
      </c>
      <c r="DE251" s="20" t="s">
        <v>1179</v>
      </c>
      <c r="DI251" s="20">
        <v>0</v>
      </c>
      <c r="DP251" s="21" t="s">
        <v>1180</v>
      </c>
      <c r="DQ251" s="21" t="str">
        <f>PartsMaster!$A244</f>
        <v>MHC3397AA6</v>
      </c>
      <c r="DR251" s="21" t="s">
        <v>1181</v>
      </c>
      <c r="DS251" s="21" t="str">
        <f>PartsMaster!$K245&amp;" "&amp;PartsMaster!L245&amp;" "&amp;PartsMaster!$M245</f>
        <v xml:space="preserve">Rear Left/Right </v>
      </c>
    </row>
    <row r="252" spans="1:123" ht="30" hidden="1" x14ac:dyDescent="0.25">
      <c r="A252" s="20" t="s">
        <v>1166</v>
      </c>
      <c r="B252" s="20" t="s">
        <v>1167</v>
      </c>
      <c r="C252" s="20" t="s">
        <v>1168</v>
      </c>
      <c r="D252" s="21" t="str">
        <f>PartsMaster!B245&amp;" "&amp;PartsMaster!$C245</f>
        <v>Jaguar XK8 XKR X100 Wheel Bearing - Shim - 4.205mm</v>
      </c>
      <c r="E252" s="20">
        <v>3000</v>
      </c>
      <c r="F252" s="20" t="s">
        <v>1182</v>
      </c>
      <c r="H252" s="21">
        <f>PartsMaster!$Q245</f>
        <v>0</v>
      </c>
      <c r="I252" s="20">
        <v>9886</v>
      </c>
      <c r="K252" s="20">
        <v>0</v>
      </c>
      <c r="L252" s="20">
        <v>0</v>
      </c>
      <c r="M252" s="21">
        <f>PartsMaster!$D245</f>
        <v>0</v>
      </c>
      <c r="O252" s="20" t="s">
        <v>1169</v>
      </c>
      <c r="P252" s="23">
        <f>PartsMaster!$S245/1.45</f>
        <v>0</v>
      </c>
      <c r="S252" s="20">
        <v>30</v>
      </c>
      <c r="T252" s="20">
        <v>0</v>
      </c>
      <c r="U252" s="20" t="s">
        <v>1170</v>
      </c>
      <c r="Z252" s="26" t="str">
        <f>"&lt;P&gt;"&amp;PartsMaster!$I245&amp;" "&amp;PartsMaster!$H245&amp;"&lt;/P&gt;"&amp;"&lt;P&gt;Jaguar part name "&amp;PartsMaster!$E245&amp;"&lt;/P&gt;&lt;P&gt;Product numbers "&amp;PartsMaster!R245&amp;" "&amp;DQ252&amp;"&lt;/P&gt;&lt;P&gt;Fits starting from VIN/ModelYear "&amp;PartsMaster!$F245&amp;" until VIN/ModelYear "&amp;PartsMaster!$G245&amp;"&lt;/P&gt;&lt;P&gt;Condition: "&amp;PartsMaster!AB245&amp;"&lt;/P&gt;&lt;P&gt; (part source "&amp;PartsMaster!AD245&amp;")&lt;/P&gt;&lt;P&gt;Notes: "&amp;PartsMaster!AA245&amp;"&lt;/P&gt;"</f>
        <v>&lt;P&gt;Bearing Shim&lt;/P&gt;&lt;P&gt;Jaguar part name STEERING AND SUSPENSION/HUB AND CARRIER-REAR - Adjustable spacer&lt;/P&gt;&lt;P&gt;Product numbers MHC3397AA7 MHC3397AA7&lt;/P&gt;&lt;P&gt;Fits starting from VIN/ModelYear 0 until VIN/ModelYear 042775&lt;/P&gt;&lt;P&gt;Condition: SNG&lt;/P&gt;&lt;P&gt; (part source )&lt;/P&gt;&lt;P&gt;Notes: &lt;/P&gt;</v>
      </c>
      <c r="AA252" s="20" t="s">
        <v>1171</v>
      </c>
      <c r="AC252" s="20">
        <v>0</v>
      </c>
      <c r="AD252" s="20">
        <v>0</v>
      </c>
      <c r="AE252" s="20" t="s">
        <v>1172</v>
      </c>
      <c r="AF252" s="20">
        <v>7</v>
      </c>
      <c r="AG252" s="20">
        <v>0</v>
      </c>
      <c r="AH252" s="20">
        <v>0</v>
      </c>
      <c r="AI252" s="20">
        <v>0</v>
      </c>
      <c r="AJ252" s="20">
        <v>0</v>
      </c>
      <c r="AK252" s="20">
        <v>0</v>
      </c>
      <c r="AO252" s="20" t="s">
        <v>1173</v>
      </c>
      <c r="AR252" s="20">
        <v>0</v>
      </c>
      <c r="AS252" s="20">
        <v>10112</v>
      </c>
      <c r="AV252" s="20" t="s">
        <v>1174</v>
      </c>
      <c r="AX252" s="20">
        <v>62128510024</v>
      </c>
      <c r="AY252" s="20">
        <v>62035811024</v>
      </c>
      <c r="AZ252" s="20">
        <v>55187694024</v>
      </c>
      <c r="BA252" s="20" t="s">
        <v>1175</v>
      </c>
      <c r="BB252" s="20" t="s">
        <v>1176</v>
      </c>
      <c r="BC252" s="20" t="s">
        <v>1177</v>
      </c>
      <c r="BD252" s="20">
        <v>1</v>
      </c>
      <c r="BE252" s="20">
        <v>0</v>
      </c>
      <c r="BF252" s="20">
        <v>0</v>
      </c>
      <c r="BG252" s="20">
        <v>0</v>
      </c>
      <c r="BN252" s="20" t="s">
        <v>1178</v>
      </c>
      <c r="BV252" s="20">
        <v>0</v>
      </c>
      <c r="CL252" s="20">
        <v>0</v>
      </c>
      <c r="DD252" s="20" t="s">
        <v>1179</v>
      </c>
      <c r="DE252" s="20" t="s">
        <v>1179</v>
      </c>
      <c r="DI252" s="20">
        <v>0</v>
      </c>
      <c r="DP252" s="21" t="s">
        <v>1180</v>
      </c>
      <c r="DQ252" s="21" t="str">
        <f>PartsMaster!$A245</f>
        <v>MHC3397AA7</v>
      </c>
      <c r="DR252" s="21" t="s">
        <v>1181</v>
      </c>
      <c r="DS252" s="21" t="str">
        <f>PartsMaster!$K246&amp;" "&amp;PartsMaster!L246&amp;" "&amp;PartsMaster!$M246</f>
        <v xml:space="preserve">Rear Left/Right </v>
      </c>
    </row>
    <row r="253" spans="1:123" hidden="1" x14ac:dyDescent="0.25">
      <c r="A253" s="20" t="s">
        <v>1166</v>
      </c>
      <c r="B253" s="20" t="s">
        <v>1167</v>
      </c>
      <c r="C253" s="20" t="s">
        <v>1168</v>
      </c>
      <c r="D253" s="21" t="str">
        <f>PartsMaster!B246&amp;" "&amp;PartsMaster!$C246</f>
        <v>Jaguar XK8 XKR X100 Wheel Bearing - Shim - 4.255mm</v>
      </c>
      <c r="E253" s="20">
        <v>3000</v>
      </c>
      <c r="F253" s="20" t="s">
        <v>1182</v>
      </c>
      <c r="H253" s="21">
        <f>PartsMaster!$Q246</f>
        <v>0</v>
      </c>
      <c r="I253" s="20">
        <v>9886</v>
      </c>
      <c r="K253" s="20">
        <v>0</v>
      </c>
      <c r="L253" s="20">
        <v>0</v>
      </c>
      <c r="M253" s="21">
        <f>PartsMaster!$D246</f>
        <v>0</v>
      </c>
      <c r="O253" s="20" t="s">
        <v>1169</v>
      </c>
      <c r="P253" s="23">
        <f>PartsMaster!$S246/1.45</f>
        <v>0</v>
      </c>
      <c r="S253" s="20">
        <v>30</v>
      </c>
      <c r="T253" s="20">
        <v>0</v>
      </c>
      <c r="U253" s="20" t="s">
        <v>1170</v>
      </c>
      <c r="Z253" s="26" t="str">
        <f>"&lt;P&gt;"&amp;PartsMaster!$I246&amp;" "&amp;PartsMaster!$H246&amp;"&lt;/P&gt;"&amp;"&lt;P&gt;Jaguar part name "&amp;PartsMaster!$E246&amp;"&lt;/P&gt;&lt;P&gt;Product numbers "&amp;PartsMaster!R246&amp;" "&amp;DQ253&amp;"&lt;/P&gt;&lt;P&gt;Fits starting from VIN/ModelYear "&amp;PartsMaster!$F246&amp;" until VIN/ModelYear "&amp;PartsMaster!$G246&amp;"&lt;/P&gt;&lt;P&gt;Condition: "&amp;PartsMaster!AB246&amp;"&lt;/P&gt;&lt;P&gt; (part source "&amp;PartsMaster!AD246&amp;")&lt;/P&gt;&lt;P&gt;Notes: "&amp;PartsMaster!AA246&amp;"&lt;/P&gt;"</f>
        <v>&lt;P&gt;Bearing Shim&lt;/P&gt;&lt;P&gt;Jaguar part name STEERING AND SUSPENSION/HUB AND CARRIER-REAR - Adjustable spacer&lt;/P&gt;&lt;P&gt;Product numbers MHC3397AA8 MHC3397AA8&lt;/P&gt;&lt;P&gt;Fits starting from VIN/ModelYear 0 until VIN/ModelYear 042775&lt;/P&gt;&lt;P&gt;Condition: SNG&lt;/P&gt;&lt;P&gt; (part source )&lt;/P&gt;&lt;P&gt;Notes: &lt;/P&gt;</v>
      </c>
      <c r="AA253" s="20" t="s">
        <v>1171</v>
      </c>
      <c r="AC253" s="20">
        <v>0</v>
      </c>
      <c r="AD253" s="20">
        <v>0</v>
      </c>
      <c r="AE253" s="20" t="s">
        <v>1172</v>
      </c>
      <c r="AF253" s="20">
        <v>7</v>
      </c>
      <c r="AG253" s="20">
        <v>0</v>
      </c>
      <c r="AH253" s="20">
        <v>0</v>
      </c>
      <c r="AI253" s="20">
        <v>0</v>
      </c>
      <c r="AJ253" s="20">
        <v>0</v>
      </c>
      <c r="AK253" s="20">
        <v>0</v>
      </c>
      <c r="AO253" s="20" t="s">
        <v>1173</v>
      </c>
      <c r="AR253" s="20">
        <v>0</v>
      </c>
      <c r="AS253" s="20">
        <v>10112</v>
      </c>
      <c r="AV253" s="20" t="s">
        <v>1174</v>
      </c>
      <c r="AX253" s="20">
        <v>62128510024</v>
      </c>
      <c r="AY253" s="20">
        <v>62035811024</v>
      </c>
      <c r="AZ253" s="20">
        <v>55187694024</v>
      </c>
      <c r="BA253" s="20" t="s">
        <v>1175</v>
      </c>
      <c r="BB253" s="20" t="s">
        <v>1176</v>
      </c>
      <c r="BC253" s="20" t="s">
        <v>1177</v>
      </c>
      <c r="BD253" s="20">
        <v>1</v>
      </c>
      <c r="BE253" s="20">
        <v>0</v>
      </c>
      <c r="BF253" s="20">
        <v>0</v>
      </c>
      <c r="BG253" s="20">
        <v>0</v>
      </c>
      <c r="BN253" s="20" t="s">
        <v>1178</v>
      </c>
      <c r="BV253" s="20">
        <v>0</v>
      </c>
      <c r="CL253" s="20">
        <v>0</v>
      </c>
      <c r="DD253" s="20" t="s">
        <v>1179</v>
      </c>
      <c r="DE253" s="20" t="s">
        <v>1179</v>
      </c>
      <c r="DI253" s="20">
        <v>0</v>
      </c>
      <c r="DP253" s="21" t="s">
        <v>1180</v>
      </c>
      <c r="DQ253" s="21" t="str">
        <f>PartsMaster!$A246</f>
        <v>MHC3397AA8</v>
      </c>
      <c r="DR253" s="21" t="s">
        <v>1181</v>
      </c>
      <c r="DS253" s="21" t="str">
        <f>PartsMaster!$K247&amp;" "&amp;PartsMaster!L247&amp;" "&amp;PartsMaster!$M247</f>
        <v xml:space="preserve">Rear Left/Right </v>
      </c>
    </row>
    <row r="254" spans="1:123" ht="30" hidden="1" x14ac:dyDescent="0.25">
      <c r="A254" s="20" t="s">
        <v>1166</v>
      </c>
      <c r="B254" s="20" t="s">
        <v>1167</v>
      </c>
      <c r="C254" s="20" t="s">
        <v>1168</v>
      </c>
      <c r="D254" s="21" t="str">
        <f>PartsMaster!B247&amp;" "&amp;PartsMaster!$C247</f>
        <v>Jaguar XK8 XKR X100 Wheel Bearing - Shim - 4.305mm</v>
      </c>
      <c r="E254" s="20">
        <v>3000</v>
      </c>
      <c r="F254" s="20" t="s">
        <v>1182</v>
      </c>
      <c r="H254" s="21">
        <f>PartsMaster!$Q247</f>
        <v>0</v>
      </c>
      <c r="I254" s="20">
        <v>9886</v>
      </c>
      <c r="K254" s="20">
        <v>0</v>
      </c>
      <c r="L254" s="20">
        <v>0</v>
      </c>
      <c r="M254" s="21">
        <f>PartsMaster!$D247</f>
        <v>0</v>
      </c>
      <c r="O254" s="20" t="s">
        <v>1169</v>
      </c>
      <c r="P254" s="23">
        <f>PartsMaster!$S247/1.45</f>
        <v>0</v>
      </c>
      <c r="S254" s="20">
        <v>30</v>
      </c>
      <c r="T254" s="20">
        <v>0</v>
      </c>
      <c r="U254" s="20" t="s">
        <v>1170</v>
      </c>
      <c r="Z254" s="26" t="str">
        <f>"&lt;P&gt;"&amp;PartsMaster!$I247&amp;" "&amp;PartsMaster!$H247&amp;"&lt;/P&gt;"&amp;"&lt;P&gt;Jaguar part name "&amp;PartsMaster!$E247&amp;"&lt;/P&gt;&lt;P&gt;Product numbers "&amp;PartsMaster!R247&amp;" "&amp;DQ254&amp;"&lt;/P&gt;&lt;P&gt;Fits starting from VIN/ModelYear "&amp;PartsMaster!$F247&amp;" until VIN/ModelYear "&amp;PartsMaster!$G247&amp;"&lt;/P&gt;&lt;P&gt;Condition: "&amp;PartsMaster!AB247&amp;"&lt;/P&gt;&lt;P&gt; (part source "&amp;PartsMaster!AD247&amp;")&lt;/P&gt;&lt;P&gt;Notes: "&amp;PartsMaster!AA247&amp;"&lt;/P&gt;"</f>
        <v>&lt;P&gt;Bearing Shim&lt;/P&gt;&lt;P&gt;Jaguar part name STEERING AND SUSPENSION/HUB AND CARRIER-REAR - Adjustable spacer&lt;/P&gt;&lt;P&gt;Product numbers MHC3397AA9 MHC3397AA9&lt;/P&gt;&lt;P&gt;Fits starting from VIN/ModelYear 0 until VIN/ModelYear 042775&lt;/P&gt;&lt;P&gt;Condition: SNG&lt;/P&gt;&lt;P&gt; (part source )&lt;/P&gt;&lt;P&gt;Notes: &lt;/P&gt;</v>
      </c>
      <c r="AA254" s="20" t="s">
        <v>1171</v>
      </c>
      <c r="AC254" s="20">
        <v>0</v>
      </c>
      <c r="AD254" s="20">
        <v>0</v>
      </c>
      <c r="AE254" s="20" t="s">
        <v>1172</v>
      </c>
      <c r="AF254" s="20">
        <v>7</v>
      </c>
      <c r="AG254" s="20">
        <v>0</v>
      </c>
      <c r="AH254" s="20">
        <v>0</v>
      </c>
      <c r="AI254" s="20">
        <v>0</v>
      </c>
      <c r="AJ254" s="20">
        <v>0</v>
      </c>
      <c r="AK254" s="20">
        <v>0</v>
      </c>
      <c r="AO254" s="20" t="s">
        <v>1173</v>
      </c>
      <c r="AR254" s="20">
        <v>0</v>
      </c>
      <c r="AS254" s="20">
        <v>10112</v>
      </c>
      <c r="AV254" s="20" t="s">
        <v>1174</v>
      </c>
      <c r="AX254" s="20">
        <v>62128510024</v>
      </c>
      <c r="AY254" s="20">
        <v>62035811024</v>
      </c>
      <c r="AZ254" s="20">
        <v>55187694024</v>
      </c>
      <c r="BA254" s="20" t="s">
        <v>1175</v>
      </c>
      <c r="BB254" s="20" t="s">
        <v>1176</v>
      </c>
      <c r="BC254" s="20" t="s">
        <v>1177</v>
      </c>
      <c r="BD254" s="20">
        <v>1</v>
      </c>
      <c r="BE254" s="20">
        <v>0</v>
      </c>
      <c r="BF254" s="20">
        <v>0</v>
      </c>
      <c r="BG254" s="20">
        <v>0</v>
      </c>
      <c r="BN254" s="20" t="s">
        <v>1178</v>
      </c>
      <c r="BV254" s="20">
        <v>0</v>
      </c>
      <c r="CL254" s="20">
        <v>0</v>
      </c>
      <c r="DD254" s="20" t="s">
        <v>1179</v>
      </c>
      <c r="DE254" s="20" t="s">
        <v>1179</v>
      </c>
      <c r="DI254" s="20">
        <v>0</v>
      </c>
      <c r="DP254" s="21" t="s">
        <v>1180</v>
      </c>
      <c r="DQ254" s="21" t="str">
        <f>PartsMaster!$A247</f>
        <v>MHC3397AA9</v>
      </c>
      <c r="DR254" s="21" t="s">
        <v>1181</v>
      </c>
      <c r="DS254" s="21" t="str">
        <f>PartsMaster!$K248&amp;" "&amp;PartsMaster!L248&amp;" "&amp;PartsMaster!$M248</f>
        <v xml:space="preserve">Front Right </v>
      </c>
    </row>
    <row r="255" spans="1:123" ht="30" hidden="1" x14ac:dyDescent="0.25">
      <c r="A255" s="20" t="s">
        <v>1166</v>
      </c>
      <c r="B255" s="20" t="s">
        <v>1167</v>
      </c>
      <c r="C255" s="20" t="s">
        <v>1168</v>
      </c>
      <c r="D255" s="21" t="str">
        <f>PartsMaster!B248&amp;" "&amp;PartsMaster!$C248</f>
        <v>Jaguar XK8 XKR X100 Cruise control vacuum module tank</v>
      </c>
      <c r="E255" s="20">
        <v>3000</v>
      </c>
      <c r="F255" s="20" t="s">
        <v>1182</v>
      </c>
      <c r="H255" s="21" t="str">
        <f>PartsMaster!$Q248</f>
        <v>Cruise control vacuum module tank</v>
      </c>
      <c r="I255" s="20">
        <v>9886</v>
      </c>
      <c r="K255" s="20">
        <v>0</v>
      </c>
      <c r="L255" s="20">
        <v>0</v>
      </c>
      <c r="M255" s="21">
        <f>PartsMaster!$D248</f>
        <v>0</v>
      </c>
      <c r="O255" s="20" t="s">
        <v>1169</v>
      </c>
      <c r="P255" s="23">
        <f>PartsMaster!$S248/1.45</f>
        <v>0</v>
      </c>
      <c r="S255" s="20">
        <v>30</v>
      </c>
      <c r="T255" s="20">
        <v>0</v>
      </c>
      <c r="U255" s="20" t="s">
        <v>1170</v>
      </c>
      <c r="Z255" s="26" t="str">
        <f>"&lt;P&gt;"&amp;PartsMaster!$I248&amp;" "&amp;PartsMaster!$H248&amp;"&lt;/P&gt;"&amp;"&lt;P&gt;Jaguar part name "&amp;PartsMaster!$E248&amp;"&lt;/P&gt;&lt;P&gt;Product numbers "&amp;PartsMaster!R248&amp;" "&amp;DQ255&amp;"&lt;/P&gt;&lt;P&gt;Fits starting from VIN/ModelYear "&amp;PartsMaster!$F248&amp;" until VIN/ModelYear "&amp;PartsMaster!$G248&amp;"&lt;/P&gt;&lt;P&gt;Condition: "&amp;PartsMaster!AB248&amp;"&lt;/P&gt;&lt;P&gt; (part source "&amp;PartsMaster!AD248&amp;")&lt;/P&gt;&lt;P&gt;Notes: "&amp;PartsMaster!AA248&amp;"&lt;/P&gt;"</f>
        <v>&lt;P&gt;Cruise control Speed control&lt;/P&gt;&lt;P&gt;Jaguar part name AIR AND FUEL DELIVERY SYSTEM/SPEED CONTROL SYSTEM - Speed control eqipment&lt;/P&gt;&lt;P&gt;Product numbers MHF6778AA MHF6778AA&lt;/P&gt;&lt;P&gt;Fits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255" s="20" t="s">
        <v>1171</v>
      </c>
      <c r="AC255" s="20">
        <v>0</v>
      </c>
      <c r="AD255" s="20">
        <v>0</v>
      </c>
      <c r="AE255" s="20" t="s">
        <v>1172</v>
      </c>
      <c r="AF255" s="20">
        <v>7</v>
      </c>
      <c r="AG255" s="20">
        <v>0</v>
      </c>
      <c r="AH255" s="20">
        <v>0</v>
      </c>
      <c r="AI255" s="20">
        <v>0</v>
      </c>
      <c r="AJ255" s="20">
        <v>0</v>
      </c>
      <c r="AK255" s="20">
        <v>0</v>
      </c>
      <c r="AO255" s="20" t="s">
        <v>1173</v>
      </c>
      <c r="AR255" s="20">
        <v>0</v>
      </c>
      <c r="AS255" s="20">
        <v>10112</v>
      </c>
      <c r="AV255" s="20" t="s">
        <v>1174</v>
      </c>
      <c r="AX255" s="20">
        <v>62128510024</v>
      </c>
      <c r="AY255" s="20">
        <v>62035811024</v>
      </c>
      <c r="AZ255" s="20">
        <v>55187694024</v>
      </c>
      <c r="BA255" s="20" t="s">
        <v>1175</v>
      </c>
      <c r="BB255" s="20" t="s">
        <v>1176</v>
      </c>
      <c r="BC255" s="20" t="s">
        <v>1177</v>
      </c>
      <c r="BD255" s="20">
        <v>1</v>
      </c>
      <c r="BE255" s="20">
        <v>0</v>
      </c>
      <c r="BF255" s="20">
        <v>0</v>
      </c>
      <c r="BG255" s="20">
        <v>0</v>
      </c>
      <c r="BN255" s="20" t="s">
        <v>1178</v>
      </c>
      <c r="BV255" s="20">
        <v>0</v>
      </c>
      <c r="CL255" s="20">
        <v>0</v>
      </c>
      <c r="DD255" s="20" t="s">
        <v>1179</v>
      </c>
      <c r="DE255" s="20" t="s">
        <v>1179</v>
      </c>
      <c r="DI255" s="20">
        <v>0</v>
      </c>
      <c r="DP255" s="21" t="s">
        <v>1180</v>
      </c>
      <c r="DQ255" s="21" t="str">
        <f>PartsMaster!$A248</f>
        <v>MHF6778AA</v>
      </c>
      <c r="DR255" s="21" t="s">
        <v>1181</v>
      </c>
      <c r="DS255" s="21" t="str">
        <f>PartsMaster!$K249&amp;" "&amp;PartsMaster!L249&amp;" "&amp;PartsMaster!$M249</f>
        <v xml:space="preserve">Front  </v>
      </c>
    </row>
    <row r="256" spans="1:123" ht="30" hidden="1" x14ac:dyDescent="0.25">
      <c r="A256" s="20" t="s">
        <v>1166</v>
      </c>
      <c r="B256" s="20" t="s">
        <v>1167</v>
      </c>
      <c r="C256" s="20" t="s">
        <v>1168</v>
      </c>
      <c r="D256" s="21" t="str">
        <f>PartsMaster!B249&amp;" "&amp;PartsMaster!$C249</f>
        <v>Jaguar XK8 XKR X100 Wheel Bearing 76mm</v>
      </c>
      <c r="E256" s="20">
        <v>3000</v>
      </c>
      <c r="F256" s="20" t="s">
        <v>1182</v>
      </c>
      <c r="H256" s="21">
        <f>PartsMaster!$Q249</f>
        <v>0</v>
      </c>
      <c r="I256" s="20">
        <v>9886</v>
      </c>
      <c r="K256" s="20">
        <v>0</v>
      </c>
      <c r="L256" s="20">
        <v>0</v>
      </c>
      <c r="M256" s="21">
        <f>PartsMaster!$D249</f>
        <v>0</v>
      </c>
      <c r="O256" s="20" t="s">
        <v>1169</v>
      </c>
      <c r="P256" s="23">
        <f>PartsMaster!$S249/1.45</f>
        <v>0</v>
      </c>
      <c r="S256" s="20">
        <v>30</v>
      </c>
      <c r="T256" s="20">
        <v>0</v>
      </c>
      <c r="U256" s="20" t="s">
        <v>1170</v>
      </c>
      <c r="Z256" s="26" t="str">
        <f>"&lt;P&gt;"&amp;PartsMaster!$I249&amp;" "&amp;PartsMaster!$H249&amp;"&lt;/P&gt;"&amp;"&lt;P&gt;Jaguar part name "&amp;PartsMaster!$E249&amp;"&lt;/P&gt;&lt;P&gt;Product numbers "&amp;PartsMaster!R249&amp;" "&amp;DQ256&amp;"&lt;/P&gt;&lt;P&gt;Fits starting from VIN/ModelYear "&amp;PartsMaster!$F249&amp;" until VIN/ModelYear "&amp;PartsMaster!$G249&amp;"&lt;/P&gt;&lt;P&gt;Condition: "&amp;PartsMaster!AB249&amp;"&lt;/P&gt;&lt;P&gt; (part source "&amp;PartsMaster!AD249&amp;")&lt;/P&gt;&lt;P&gt;Notes: "&amp;PartsMaster!AA249&amp;"&lt;/P&gt;"</f>
        <v>&lt;P&gt;Wheels / Rims Bearing&lt;/P&gt;&lt;P&gt;Jaguar part name &lt;/P&gt;&lt;P&gt;Product numbers MJA1830AE MJA1830AE&lt;/P&gt;&lt;P&gt;Fits starting from VIN/ModelYear 0 until VIN/ModelYear 31302&lt;/P&gt;&lt;P&gt;Condition: British Parts&lt;/P&gt;&lt;P&gt; (part source )&lt;/P&gt;&lt;P&gt;Notes: 4 per side&lt;/P&gt;</v>
      </c>
      <c r="AA256" s="20" t="s">
        <v>1171</v>
      </c>
      <c r="AC256" s="20">
        <v>0</v>
      </c>
      <c r="AD256" s="20">
        <v>0</v>
      </c>
      <c r="AE256" s="20" t="s">
        <v>1172</v>
      </c>
      <c r="AF256" s="20">
        <v>7</v>
      </c>
      <c r="AG256" s="20">
        <v>0</v>
      </c>
      <c r="AH256" s="20">
        <v>0</v>
      </c>
      <c r="AI256" s="20">
        <v>0</v>
      </c>
      <c r="AJ256" s="20">
        <v>0</v>
      </c>
      <c r="AK256" s="20">
        <v>0</v>
      </c>
      <c r="AO256" s="20" t="s">
        <v>1173</v>
      </c>
      <c r="AR256" s="20">
        <v>0</v>
      </c>
      <c r="AS256" s="20">
        <v>10112</v>
      </c>
      <c r="AV256" s="20" t="s">
        <v>1174</v>
      </c>
      <c r="AX256" s="20">
        <v>62128510024</v>
      </c>
      <c r="AY256" s="20">
        <v>62035811024</v>
      </c>
      <c r="AZ256" s="20">
        <v>55187694024</v>
      </c>
      <c r="BA256" s="20" t="s">
        <v>1175</v>
      </c>
      <c r="BB256" s="20" t="s">
        <v>1176</v>
      </c>
      <c r="BC256" s="20" t="s">
        <v>1177</v>
      </c>
      <c r="BD256" s="20">
        <v>1</v>
      </c>
      <c r="BE256" s="20">
        <v>0</v>
      </c>
      <c r="BF256" s="20">
        <v>0</v>
      </c>
      <c r="BG256" s="20">
        <v>0</v>
      </c>
      <c r="BN256" s="20" t="s">
        <v>1178</v>
      </c>
      <c r="BV256" s="20">
        <v>0</v>
      </c>
      <c r="CL256" s="20">
        <v>0</v>
      </c>
      <c r="DD256" s="20" t="s">
        <v>1179</v>
      </c>
      <c r="DE256" s="20" t="s">
        <v>1179</v>
      </c>
      <c r="DI256" s="20">
        <v>0</v>
      </c>
      <c r="DP256" s="21" t="s">
        <v>1180</v>
      </c>
      <c r="DQ256" s="21" t="str">
        <f>PartsMaster!$A249</f>
        <v>MJA1830AE</v>
      </c>
      <c r="DR256" s="21" t="s">
        <v>1181</v>
      </c>
      <c r="DS256" s="21" t="str">
        <f>PartsMaster!$K250&amp;" "&amp;PartsMaster!L250&amp;" "&amp;PartsMaster!$M250</f>
        <v xml:space="preserve">Front  </v>
      </c>
    </row>
    <row r="257" spans="1:123" ht="30" hidden="1" x14ac:dyDescent="0.25">
      <c r="A257" s="20" t="s">
        <v>1166</v>
      </c>
      <c r="B257" s="20" t="s">
        <v>1167</v>
      </c>
      <c r="C257" s="20" t="s">
        <v>1168</v>
      </c>
      <c r="D257" s="21" t="str">
        <f>PartsMaster!B250&amp;" "&amp;PartsMaster!$C250</f>
        <v>Jaguar XK8 XKR X100 WHEEL BEARING GREASE THROWER</v>
      </c>
      <c r="E257" s="20">
        <v>3000</v>
      </c>
      <c r="F257" s="20" t="s">
        <v>1182</v>
      </c>
      <c r="H257" s="21" t="str">
        <f>PartsMaster!$Q250</f>
        <v>WHEEL BEARING GREASE THROWER</v>
      </c>
      <c r="I257" s="20">
        <v>9886</v>
      </c>
      <c r="K257" s="20">
        <v>0</v>
      </c>
      <c r="L257" s="20">
        <v>0</v>
      </c>
      <c r="M257" s="21">
        <f>PartsMaster!$D250</f>
        <v>0</v>
      </c>
      <c r="O257" s="20" t="s">
        <v>1169</v>
      </c>
      <c r="P257" s="23">
        <f>PartsMaster!$S250/1.45</f>
        <v>0</v>
      </c>
      <c r="S257" s="20">
        <v>30</v>
      </c>
      <c r="T257" s="20">
        <v>0</v>
      </c>
      <c r="U257" s="20" t="s">
        <v>1170</v>
      </c>
      <c r="Z257" s="26" t="str">
        <f>"&lt;P&gt;"&amp;PartsMaster!$I250&amp;" "&amp;PartsMaster!$H250&amp;"&lt;/P&gt;"&amp;"&lt;P&gt;Jaguar part name "&amp;PartsMaster!$E250&amp;"&lt;/P&gt;&lt;P&gt;Product numbers "&amp;PartsMaster!R250&amp;" "&amp;DQ257&amp;"&lt;/P&gt;&lt;P&gt;Fits starting from VIN/ModelYear "&amp;PartsMaster!$F250&amp;" until VIN/ModelYear "&amp;PartsMaster!$G250&amp;"&lt;/P&gt;&lt;P&gt;Condition: "&amp;PartsMaster!AB250&amp;"&lt;/P&gt;&lt;P&gt; (part source "&amp;PartsMaster!AD250&amp;")&lt;/P&gt;&lt;P&gt;Notes: "&amp;PartsMaster!AA250&amp;"&lt;/P&gt;"</f>
        <v>&lt;P&gt;Wheels / Rims Bearing&lt;/P&gt;&lt;P&gt;Jaguar part name &lt;/P&gt;&lt;P&gt;Product numbers MJA1846AA MJA1846AA&lt;/P&gt;&lt;P&gt;Fits starting from VIN/ModelYear  until VIN/ModelYear &lt;/P&gt;&lt;P&gt;Condition: British Parts&lt;/P&gt;&lt;P&gt; (part source )&lt;/P&gt;&lt;P&gt;Notes: &lt;/P&gt;</v>
      </c>
      <c r="AA257" s="20" t="s">
        <v>1171</v>
      </c>
      <c r="AC257" s="20">
        <v>0</v>
      </c>
      <c r="AD257" s="20">
        <v>0</v>
      </c>
      <c r="AE257" s="20" t="s">
        <v>1172</v>
      </c>
      <c r="AF257" s="20">
        <v>7</v>
      </c>
      <c r="AG257" s="20">
        <v>0</v>
      </c>
      <c r="AH257" s="20">
        <v>0</v>
      </c>
      <c r="AI257" s="20">
        <v>0</v>
      </c>
      <c r="AJ257" s="20">
        <v>0</v>
      </c>
      <c r="AK257" s="20">
        <v>0</v>
      </c>
      <c r="AO257" s="20" t="s">
        <v>1173</v>
      </c>
      <c r="AR257" s="20">
        <v>0</v>
      </c>
      <c r="AS257" s="20">
        <v>10112</v>
      </c>
      <c r="AV257" s="20" t="s">
        <v>1174</v>
      </c>
      <c r="AX257" s="20">
        <v>62128510024</v>
      </c>
      <c r="AY257" s="20">
        <v>62035811024</v>
      </c>
      <c r="AZ257" s="20">
        <v>55187694024</v>
      </c>
      <c r="BA257" s="20" t="s">
        <v>1175</v>
      </c>
      <c r="BB257" s="20" t="s">
        <v>1176</v>
      </c>
      <c r="BC257" s="20" t="s">
        <v>1177</v>
      </c>
      <c r="BD257" s="20">
        <v>1</v>
      </c>
      <c r="BE257" s="20">
        <v>0</v>
      </c>
      <c r="BF257" s="20">
        <v>0</v>
      </c>
      <c r="BG257" s="20">
        <v>0</v>
      </c>
      <c r="BN257" s="20" t="s">
        <v>1178</v>
      </c>
      <c r="BV257" s="20">
        <v>0</v>
      </c>
      <c r="CL257" s="20">
        <v>0</v>
      </c>
      <c r="DD257" s="20" t="s">
        <v>1179</v>
      </c>
      <c r="DE257" s="20" t="s">
        <v>1179</v>
      </c>
      <c r="DI257" s="20">
        <v>0</v>
      </c>
      <c r="DP257" s="21" t="s">
        <v>1180</v>
      </c>
      <c r="DQ257" s="21" t="str">
        <f>PartsMaster!$A250</f>
        <v>MJA1846AA</v>
      </c>
      <c r="DR257" s="21" t="s">
        <v>1181</v>
      </c>
      <c r="DS257" s="21" t="str">
        <f>PartsMaster!$K251&amp;" "&amp;PartsMaster!L251&amp;" "&amp;PartsMaster!$M251</f>
        <v>Front Left/Right NA</v>
      </c>
    </row>
    <row r="258" spans="1:123" ht="30" hidden="1" x14ac:dyDescent="0.25">
      <c r="A258" s="20" t="s">
        <v>1166</v>
      </c>
      <c r="B258" s="20" t="s">
        <v>1167</v>
      </c>
      <c r="C258" s="20" t="s">
        <v>1168</v>
      </c>
      <c r="D258" s="21" t="str">
        <f>PartsMaster!B251&amp;" "&amp;PartsMaster!$C251</f>
        <v>Jaguar XK8 XKR X100 ABS Sensor Ring</v>
      </c>
      <c r="E258" s="20">
        <v>3000</v>
      </c>
      <c r="F258" s="20" t="s">
        <v>1182</v>
      </c>
      <c r="H258" s="21" t="str">
        <f>PartsMaster!$Q251</f>
        <v>ABS Sensor Ring</v>
      </c>
      <c r="I258" s="20">
        <v>9886</v>
      </c>
      <c r="K258" s="20">
        <v>0</v>
      </c>
      <c r="L258" s="20">
        <v>0</v>
      </c>
      <c r="M258" s="21">
        <f>PartsMaster!$D251</f>
        <v>3</v>
      </c>
      <c r="O258" s="20" t="s">
        <v>1169</v>
      </c>
      <c r="P258" s="23">
        <f>PartsMaster!$S251/1.45</f>
        <v>0</v>
      </c>
      <c r="S258" s="20">
        <v>30</v>
      </c>
      <c r="T258" s="20">
        <v>0</v>
      </c>
      <c r="U258" s="20" t="s">
        <v>1170</v>
      </c>
      <c r="Z258" s="26" t="str">
        <f>"&lt;P&gt;"&amp;PartsMaster!$I251&amp;" "&amp;PartsMaster!$H251&amp;"&lt;/P&gt;"&amp;"&lt;P&gt;Jaguar part name "&amp;PartsMaster!$E251&amp;"&lt;/P&gt;&lt;P&gt;Product numbers "&amp;PartsMaster!R251&amp;" "&amp;DQ258&amp;"&lt;/P&gt;&lt;P&gt;Fits starting from VIN/ModelYear "&amp;PartsMaster!$F251&amp;" until VIN/ModelYear "&amp;PartsMaster!$G251&amp;"&lt;/P&gt;&lt;P&gt;Condition: "&amp;PartsMaster!AB251&amp;"&lt;/P&gt;&lt;P&gt; (part source "&amp;PartsMaster!AD251&amp;")&lt;/P&gt;&lt;P&gt;Notes: "&amp;PartsMaster!AA251&amp;"&lt;/P&gt;"</f>
        <v>&lt;P&gt;Brakes &lt;/P&gt;&lt;P&gt;Jaguar part name STEERING AND SUSPENSION/WISHBONE AND HUB ASSEMBLY-FRONT - Sensor Rotor - front axle&lt;/P&gt;&lt;P&gt;Product numbers MJA1849BE  MJA1849BE &lt;/P&gt;&lt;P&gt;Fits starting from VIN/ModelYear MY1996 until VIN/ModelYear 042775&lt;/P&gt;&lt;P&gt;Condition: Extra spare&lt;/P&gt;&lt;P&gt; (part source JP)&lt;/P&gt;&lt;P&gt;Notes: &lt;/P&gt;</v>
      </c>
      <c r="AA258" s="20" t="s">
        <v>1171</v>
      </c>
      <c r="AC258" s="20">
        <v>0</v>
      </c>
      <c r="AD258" s="20">
        <v>0</v>
      </c>
      <c r="AE258" s="20" t="s">
        <v>1172</v>
      </c>
      <c r="AF258" s="20">
        <v>7</v>
      </c>
      <c r="AG258" s="20">
        <v>0</v>
      </c>
      <c r="AH258" s="20">
        <v>0</v>
      </c>
      <c r="AI258" s="20">
        <v>0</v>
      </c>
      <c r="AJ258" s="20">
        <v>0</v>
      </c>
      <c r="AK258" s="20">
        <v>0</v>
      </c>
      <c r="AO258" s="20" t="s">
        <v>1173</v>
      </c>
      <c r="AR258" s="20">
        <v>0</v>
      </c>
      <c r="AS258" s="20">
        <v>10112</v>
      </c>
      <c r="AV258" s="20" t="s">
        <v>1174</v>
      </c>
      <c r="AX258" s="20">
        <v>62128510024</v>
      </c>
      <c r="AY258" s="20">
        <v>62035811024</v>
      </c>
      <c r="AZ258" s="20">
        <v>55187694024</v>
      </c>
      <c r="BA258" s="20" t="s">
        <v>1175</v>
      </c>
      <c r="BB258" s="20" t="s">
        <v>1176</v>
      </c>
      <c r="BC258" s="20" t="s">
        <v>1177</v>
      </c>
      <c r="BD258" s="20">
        <v>1</v>
      </c>
      <c r="BE258" s="20">
        <v>0</v>
      </c>
      <c r="BF258" s="20">
        <v>0</v>
      </c>
      <c r="BG258" s="20">
        <v>0</v>
      </c>
      <c r="BN258" s="20" t="s">
        <v>1178</v>
      </c>
      <c r="BV258" s="20">
        <v>0</v>
      </c>
      <c r="CL258" s="20">
        <v>0</v>
      </c>
      <c r="DD258" s="20" t="s">
        <v>1179</v>
      </c>
      <c r="DE258" s="20" t="s">
        <v>1179</v>
      </c>
      <c r="DI258" s="20">
        <v>0</v>
      </c>
      <c r="DP258" s="21" t="s">
        <v>1180</v>
      </c>
      <c r="DQ258" s="21" t="str">
        <f>PartsMaster!$A251</f>
        <v xml:space="preserve">MJA1849BE </v>
      </c>
      <c r="DR258" s="21" t="s">
        <v>1181</v>
      </c>
      <c r="DS258" s="21" t="str">
        <f>PartsMaster!$K252&amp;" "&amp;PartsMaster!L252&amp;" "&amp;PartsMaster!$M252</f>
        <v>Front Left/Right Low</v>
      </c>
    </row>
    <row r="259" spans="1:123" ht="30" hidden="1" x14ac:dyDescent="0.25">
      <c r="A259" s="20" t="s">
        <v>1166</v>
      </c>
      <c r="B259" s="20" t="s">
        <v>1167</v>
      </c>
      <c r="C259" s="20" t="s">
        <v>1168</v>
      </c>
      <c r="D259" s="21" t="str">
        <f>PartsMaster!B252&amp;" "&amp;PartsMaster!$C252</f>
        <v>Jaguar XK8 XKR X100 XJ8 X308 Anti Roll Bar Link</v>
      </c>
      <c r="E259" s="20">
        <v>3000</v>
      </c>
      <c r="F259" s="20" t="s">
        <v>1182</v>
      </c>
      <c r="H259" s="21" t="str">
        <f>PartsMaster!$Q252</f>
        <v>ROLL BAR LINK</v>
      </c>
      <c r="I259" s="20">
        <v>9886</v>
      </c>
      <c r="K259" s="20">
        <v>0</v>
      </c>
      <c r="L259" s="20">
        <v>0</v>
      </c>
      <c r="M259" s="21">
        <f>PartsMaster!$D252</f>
        <v>2</v>
      </c>
      <c r="O259" s="20" t="s">
        <v>1169</v>
      </c>
      <c r="P259" s="23">
        <f>PartsMaster!$S252/1.45</f>
        <v>0</v>
      </c>
      <c r="S259" s="20">
        <v>30</v>
      </c>
      <c r="T259" s="20">
        <v>0</v>
      </c>
      <c r="U259" s="20" t="s">
        <v>1170</v>
      </c>
      <c r="Z259" s="26" t="str">
        <f>"&lt;P&gt;"&amp;PartsMaster!$I252&amp;" "&amp;PartsMaster!$H252&amp;"&lt;/P&gt;"&amp;"&lt;P&gt;Jaguar part name "&amp;PartsMaster!$E252&amp;"&lt;/P&gt;&lt;P&gt;Product numbers "&amp;PartsMaster!R252&amp;" "&amp;DQ259&amp;"&lt;/P&gt;&lt;P&gt;Fits starting from VIN/ModelYear "&amp;PartsMaster!$F252&amp;" until VIN/ModelYear "&amp;PartsMaster!$G252&amp;"&lt;/P&gt;&lt;P&gt;Condition: "&amp;PartsMaster!AB252&amp;"&lt;/P&gt;&lt;P&gt; (part source "&amp;PartsMaster!AD252&amp;")&lt;/P&gt;&lt;P&gt;Notes: "&amp;PartsMaster!AA252&amp;"&lt;/P&gt;"</f>
        <v>&lt;P&gt;Suspension Suspension Link&lt;/P&gt;&lt;P&gt;Jaguar part name STEERING AND SUSPENSION/ANTI ROLL BAR - Anti roll bar link&lt;/P&gt;&lt;P&gt;Product numbers MJA2105AG MJA2105AG&lt;/P&gt;&lt;P&gt;Fits starting from VIN/ModelYear X100 MY1996 - X308 812317 until VIN/ModelYear X100 MY2006 - X308 F59525&lt;/P&gt;&lt;P&gt;Condition: British Parts&lt;/P&gt;&lt;P&gt; (part source )&lt;/P&gt;&lt;P&gt;Notes: &lt;/P&gt;</v>
      </c>
      <c r="AA259" s="20" t="s">
        <v>1171</v>
      </c>
      <c r="AC259" s="20">
        <v>0</v>
      </c>
      <c r="AD259" s="20">
        <v>0</v>
      </c>
      <c r="AE259" s="20" t="s">
        <v>1172</v>
      </c>
      <c r="AF259" s="20">
        <v>7</v>
      </c>
      <c r="AG259" s="20">
        <v>0</v>
      </c>
      <c r="AH259" s="20">
        <v>0</v>
      </c>
      <c r="AI259" s="20">
        <v>0</v>
      </c>
      <c r="AJ259" s="20">
        <v>0</v>
      </c>
      <c r="AK259" s="20">
        <v>0</v>
      </c>
      <c r="AO259" s="20" t="s">
        <v>1173</v>
      </c>
      <c r="AR259" s="20">
        <v>0</v>
      </c>
      <c r="AS259" s="20">
        <v>10112</v>
      </c>
      <c r="AV259" s="20" t="s">
        <v>1174</v>
      </c>
      <c r="AX259" s="20">
        <v>62128510024</v>
      </c>
      <c r="AY259" s="20">
        <v>62035811024</v>
      </c>
      <c r="AZ259" s="20">
        <v>55187694024</v>
      </c>
      <c r="BA259" s="20" t="s">
        <v>1175</v>
      </c>
      <c r="BB259" s="20" t="s">
        <v>1176</v>
      </c>
      <c r="BC259" s="20" t="s">
        <v>1177</v>
      </c>
      <c r="BD259" s="20">
        <v>1</v>
      </c>
      <c r="BE259" s="20">
        <v>0</v>
      </c>
      <c r="BF259" s="20">
        <v>0</v>
      </c>
      <c r="BG259" s="20">
        <v>0</v>
      </c>
      <c r="BN259" s="20" t="s">
        <v>1178</v>
      </c>
      <c r="BV259" s="20">
        <v>0</v>
      </c>
      <c r="CL259" s="20">
        <v>0</v>
      </c>
      <c r="DD259" s="20" t="s">
        <v>1179</v>
      </c>
      <c r="DE259" s="20" t="s">
        <v>1179</v>
      </c>
      <c r="DI259" s="20">
        <v>0</v>
      </c>
      <c r="DP259" s="21" t="s">
        <v>1180</v>
      </c>
      <c r="DQ259" s="21" t="str">
        <f>PartsMaster!$A252</f>
        <v>MJA2105AG</v>
      </c>
      <c r="DR259" s="21" t="s">
        <v>1181</v>
      </c>
      <c r="DS259" s="21" t="str">
        <f>PartsMaster!$K253&amp;" "&amp;PartsMaster!L253&amp;" "&amp;PartsMaster!$M253</f>
        <v>Front Left/Right Top</v>
      </c>
    </row>
    <row r="260" spans="1:123" ht="30" hidden="1" x14ac:dyDescent="0.25">
      <c r="A260" s="20" t="s">
        <v>1166</v>
      </c>
      <c r="B260" s="20" t="s">
        <v>1167</v>
      </c>
      <c r="C260" s="20" t="s">
        <v>1168</v>
      </c>
      <c r="D260" s="21" t="str">
        <f>PartsMaster!B253&amp;" "&amp;PartsMaster!$C253</f>
        <v>Jaguar XK8 XKR X100 Suspension Spring Assister</v>
      </c>
      <c r="E260" s="20">
        <v>3000</v>
      </c>
      <c r="F260" s="20" t="s">
        <v>1182</v>
      </c>
      <c r="H260" s="21" t="str">
        <f>PartsMaster!$Q253</f>
        <v>Assister-SPR</v>
      </c>
      <c r="I260" s="20">
        <v>9886</v>
      </c>
      <c r="K260" s="20">
        <v>0</v>
      </c>
      <c r="L260" s="20">
        <v>0</v>
      </c>
      <c r="M260" s="21">
        <f>PartsMaster!$D253</f>
        <v>0</v>
      </c>
      <c r="O260" s="20" t="s">
        <v>1169</v>
      </c>
      <c r="P260" s="23">
        <f>PartsMaster!$S253/1.45</f>
        <v>0</v>
      </c>
      <c r="S260" s="20">
        <v>30</v>
      </c>
      <c r="T260" s="20">
        <v>0</v>
      </c>
      <c r="U260" s="20" t="s">
        <v>1170</v>
      </c>
      <c r="Z260" s="26" t="str">
        <f>"&lt;P&gt;"&amp;PartsMaster!$I253&amp;" "&amp;PartsMaster!$H253&amp;"&lt;/P&gt;"&amp;"&lt;P&gt;Jaguar part name "&amp;PartsMaster!$E253&amp;"&lt;/P&gt;&lt;P&gt;Product numbers "&amp;PartsMaster!R253&amp;" "&amp;DQ260&amp;"&lt;/P&gt;&lt;P&gt;Fits starting from VIN/ModelYear "&amp;PartsMaster!$F253&amp;" until VIN/ModelYear "&amp;PartsMaster!$G253&amp;"&lt;/P&gt;&lt;P&gt;Condition: "&amp;PartsMaster!AB253&amp;"&lt;/P&gt;&lt;P&gt; (part source "&amp;PartsMaster!AD253&amp;")&lt;/P&gt;&lt;P&gt;Notes: "&amp;PartsMaster!AA253&amp;"&lt;/P&gt;"</f>
        <v>&lt;P&gt;Suspension Bush&lt;/P&gt;&lt;P&gt;Jaguar part name Spring Assister&lt;/P&gt;&lt;P&gt;Product numbers MJA2150BA MJA2150BA&lt;/P&gt;&lt;P&gt;Fits starting from VIN/ModelYear 00000 until VIN/ModelYear 042775&lt;/P&gt;&lt;P&gt;Condition: &lt;/P&gt;&lt;P&gt; (part source )&lt;/P&gt;&lt;P&gt;Notes: &lt;/P&gt;</v>
      </c>
      <c r="AA260" s="20" t="s">
        <v>1171</v>
      </c>
      <c r="AC260" s="20">
        <v>0</v>
      </c>
      <c r="AD260" s="20">
        <v>0</v>
      </c>
      <c r="AE260" s="20" t="s">
        <v>1172</v>
      </c>
      <c r="AF260" s="20">
        <v>7</v>
      </c>
      <c r="AG260" s="20">
        <v>0</v>
      </c>
      <c r="AH260" s="20">
        <v>0</v>
      </c>
      <c r="AI260" s="20">
        <v>0</v>
      </c>
      <c r="AJ260" s="20">
        <v>0</v>
      </c>
      <c r="AK260" s="20">
        <v>0</v>
      </c>
      <c r="AO260" s="20" t="s">
        <v>1173</v>
      </c>
      <c r="AR260" s="20">
        <v>0</v>
      </c>
      <c r="AS260" s="20">
        <v>10112</v>
      </c>
      <c r="AV260" s="20" t="s">
        <v>1174</v>
      </c>
      <c r="AX260" s="20">
        <v>62128510024</v>
      </c>
      <c r="AY260" s="20">
        <v>62035811024</v>
      </c>
      <c r="AZ260" s="20">
        <v>55187694024</v>
      </c>
      <c r="BA260" s="20" t="s">
        <v>1175</v>
      </c>
      <c r="BB260" s="20" t="s">
        <v>1176</v>
      </c>
      <c r="BC260" s="20" t="s">
        <v>1177</v>
      </c>
      <c r="BD260" s="20">
        <v>1</v>
      </c>
      <c r="BE260" s="20">
        <v>0</v>
      </c>
      <c r="BF260" s="20">
        <v>0</v>
      </c>
      <c r="BG260" s="20">
        <v>0</v>
      </c>
      <c r="BN260" s="20" t="s">
        <v>1178</v>
      </c>
      <c r="BV260" s="20">
        <v>0</v>
      </c>
      <c r="CL260" s="20">
        <v>0</v>
      </c>
      <c r="DD260" s="20" t="s">
        <v>1179</v>
      </c>
      <c r="DE260" s="20" t="s">
        <v>1179</v>
      </c>
      <c r="DI260" s="20">
        <v>0</v>
      </c>
      <c r="DP260" s="21" t="s">
        <v>1180</v>
      </c>
      <c r="DQ260" s="21" t="str">
        <f>PartsMaster!$A253</f>
        <v>MJA2150BA</v>
      </c>
      <c r="DR260" s="21" t="s">
        <v>1181</v>
      </c>
      <c r="DS260" s="21" t="str">
        <f>PartsMaster!$K254&amp;" "&amp;PartsMaster!L254&amp;" "&amp;PartsMaster!$M254</f>
        <v>Front Left/Right Middle</v>
      </c>
    </row>
    <row r="261" spans="1:123" hidden="1" x14ac:dyDescent="0.25">
      <c r="A261" s="20" t="s">
        <v>1166</v>
      </c>
      <c r="B261" s="20" t="s">
        <v>1167</v>
      </c>
      <c r="C261" s="20" t="s">
        <v>1168</v>
      </c>
      <c r="D261" s="21" t="str">
        <f>PartsMaster!B254&amp;" "&amp;PartsMaster!$C254</f>
        <v>Jaguar XK8 XKR X100 Suspension Spring Packer</v>
      </c>
      <c r="E261" s="20">
        <v>3000</v>
      </c>
      <c r="F261" s="20" t="s">
        <v>1182</v>
      </c>
      <c r="H261" s="21" t="str">
        <f>PartsMaster!$Q254</f>
        <v>Packer-SPR</v>
      </c>
      <c r="I261" s="20">
        <v>9886</v>
      </c>
      <c r="K261" s="20">
        <v>0</v>
      </c>
      <c r="L261" s="20">
        <v>0</v>
      </c>
      <c r="M261" s="21">
        <f>PartsMaster!$D254</f>
        <v>0</v>
      </c>
      <c r="O261" s="20" t="s">
        <v>1169</v>
      </c>
      <c r="P261" s="23">
        <f>PartsMaster!$S254/1.45</f>
        <v>0</v>
      </c>
      <c r="S261" s="20">
        <v>30</v>
      </c>
      <c r="T261" s="20">
        <v>0</v>
      </c>
      <c r="U261" s="20" t="s">
        <v>1170</v>
      </c>
      <c r="Z261" s="26" t="str">
        <f>"&lt;P&gt;"&amp;PartsMaster!$I254&amp;" "&amp;PartsMaster!$H254&amp;"&lt;/P&gt;"&amp;"&lt;P&gt;Jaguar part name "&amp;PartsMaster!$E254&amp;"&lt;/P&gt;&lt;P&gt;Product numbers "&amp;PartsMaster!R254&amp;" "&amp;DQ261&amp;"&lt;/P&gt;&lt;P&gt;Fits starting from VIN/ModelYear "&amp;PartsMaster!$F254&amp;" until VIN/ModelYear "&amp;PartsMaster!$G254&amp;"&lt;/P&gt;&lt;P&gt;Condition: "&amp;PartsMaster!AB254&amp;"&lt;/P&gt;&lt;P&gt; (part source "&amp;PartsMaster!AD254&amp;")&lt;/P&gt;&lt;P&gt;Notes: "&amp;PartsMaster!AA254&amp;"&lt;/P&gt;"</f>
        <v>&lt;P&gt;Suspension Shim&lt;/P&gt;&lt;P&gt;Jaguar part name Spring Packer&lt;/P&gt;&lt;P&gt;Product numbers MJA2162AA MJA2162AA&lt;/P&gt;&lt;P&gt;Fits starting from VIN/ModelYear 00000 until VIN/ModelYear 042775&lt;/P&gt;&lt;P&gt;Condition: &lt;/P&gt;&lt;P&gt; (part source )&lt;/P&gt;&lt;P&gt;Notes: &lt;/P&gt;</v>
      </c>
      <c r="AA261" s="20" t="s">
        <v>1171</v>
      </c>
      <c r="AC261" s="20">
        <v>0</v>
      </c>
      <c r="AD261" s="20">
        <v>0</v>
      </c>
      <c r="AE261" s="20" t="s">
        <v>1172</v>
      </c>
      <c r="AF261" s="20">
        <v>7</v>
      </c>
      <c r="AG261" s="20">
        <v>0</v>
      </c>
      <c r="AH261" s="20">
        <v>0</v>
      </c>
      <c r="AI261" s="20">
        <v>0</v>
      </c>
      <c r="AJ261" s="20">
        <v>0</v>
      </c>
      <c r="AK261" s="20">
        <v>0</v>
      </c>
      <c r="AO261" s="20" t="s">
        <v>1173</v>
      </c>
      <c r="AR261" s="20">
        <v>0</v>
      </c>
      <c r="AS261" s="20">
        <v>10112</v>
      </c>
      <c r="AV261" s="20" t="s">
        <v>1174</v>
      </c>
      <c r="AX261" s="20">
        <v>62128510024</v>
      </c>
      <c r="AY261" s="20">
        <v>62035811024</v>
      </c>
      <c r="AZ261" s="20">
        <v>55187694024</v>
      </c>
      <c r="BA261" s="20" t="s">
        <v>1175</v>
      </c>
      <c r="BB261" s="20" t="s">
        <v>1176</v>
      </c>
      <c r="BC261" s="20" t="s">
        <v>1177</v>
      </c>
      <c r="BD261" s="20">
        <v>1</v>
      </c>
      <c r="BE261" s="20">
        <v>0</v>
      </c>
      <c r="BF261" s="20">
        <v>0</v>
      </c>
      <c r="BG261" s="20">
        <v>0</v>
      </c>
      <c r="BN261" s="20" t="s">
        <v>1178</v>
      </c>
      <c r="BV261" s="20">
        <v>0</v>
      </c>
      <c r="CL261" s="20">
        <v>0</v>
      </c>
      <c r="DD261" s="20" t="s">
        <v>1179</v>
      </c>
      <c r="DE261" s="20" t="s">
        <v>1179</v>
      </c>
      <c r="DI261" s="20">
        <v>0</v>
      </c>
      <c r="DP261" s="21" t="s">
        <v>1180</v>
      </c>
      <c r="DQ261" s="21" t="str">
        <f>PartsMaster!$A254</f>
        <v>MJA2162AA</v>
      </c>
      <c r="DR261" s="21" t="s">
        <v>1181</v>
      </c>
      <c r="DS261" s="21" t="str">
        <f>PartsMaster!$K255&amp;" "&amp;PartsMaster!L255&amp;" "&amp;PartsMaster!$M255</f>
        <v>Front Left/Right Middle</v>
      </c>
    </row>
    <row r="262" spans="1:123" ht="30" hidden="1" x14ac:dyDescent="0.25">
      <c r="A262" s="20" t="s">
        <v>1166</v>
      </c>
      <c r="B262" s="20" t="s">
        <v>1167</v>
      </c>
      <c r="C262" s="20" t="s">
        <v>1168</v>
      </c>
      <c r="D262" s="21" t="str">
        <f>PartsMaster!B255&amp;" "&amp;PartsMaster!$C255</f>
        <v>Jaguar XK8 XKR X100 Suspension Spring Pan</v>
      </c>
      <c r="E262" s="20">
        <v>3000</v>
      </c>
      <c r="F262" s="20" t="s">
        <v>1182</v>
      </c>
      <c r="H262" s="21" t="str">
        <f>PartsMaster!$Q255</f>
        <v>PAN-SPRING</v>
      </c>
      <c r="I262" s="20">
        <v>9886</v>
      </c>
      <c r="K262" s="20">
        <v>0</v>
      </c>
      <c r="L262" s="20">
        <v>0</v>
      </c>
      <c r="M262" s="21">
        <f>PartsMaster!$D255</f>
        <v>0</v>
      </c>
      <c r="O262" s="20" t="s">
        <v>1169</v>
      </c>
      <c r="P262" s="23">
        <f>PartsMaster!$S255/1.45</f>
        <v>0</v>
      </c>
      <c r="S262" s="20">
        <v>30</v>
      </c>
      <c r="T262" s="20">
        <v>0</v>
      </c>
      <c r="U262" s="20" t="s">
        <v>1170</v>
      </c>
      <c r="Z262" s="26" t="str">
        <f>"&lt;P&gt;"&amp;PartsMaster!$I255&amp;" "&amp;PartsMaster!$H255&amp;"&lt;/P&gt;"&amp;"&lt;P&gt;Jaguar part name "&amp;PartsMaster!$E255&amp;"&lt;/P&gt;&lt;P&gt;Product numbers "&amp;PartsMaster!R255&amp;" "&amp;DQ262&amp;"&lt;/P&gt;&lt;P&gt;Fits starting from VIN/ModelYear "&amp;PartsMaster!$F255&amp;" until VIN/ModelYear "&amp;PartsMaster!$G255&amp;"&lt;/P&gt;&lt;P&gt;Condition: "&amp;PartsMaster!AB255&amp;"&lt;/P&gt;&lt;P&gt; (part source "&amp;PartsMaster!AD255&amp;")&lt;/P&gt;&lt;P&gt;Notes: "&amp;PartsMaster!AA255&amp;"&lt;/P&gt;"</f>
        <v>&lt;P&gt;Suspension Bush&lt;/P&gt;&lt;P&gt;Jaguar part name Spring Pan&lt;/P&gt;&lt;P&gt;Product numbers MJA2166BC MJA2166BC&lt;/P&gt;&lt;P&gt;Fits starting from VIN/ModelYear 024687 until VIN/ModelYear 042775&lt;/P&gt;&lt;P&gt;Condition: &lt;/P&gt;&lt;P&gt; (part source )&lt;/P&gt;&lt;P&gt;Notes: &lt;/P&gt;</v>
      </c>
      <c r="AA262" s="20" t="s">
        <v>1171</v>
      </c>
      <c r="AC262" s="20">
        <v>0</v>
      </c>
      <c r="AD262" s="20">
        <v>0</v>
      </c>
      <c r="AE262" s="20" t="s">
        <v>1172</v>
      </c>
      <c r="AF262" s="20">
        <v>7</v>
      </c>
      <c r="AG262" s="20">
        <v>0</v>
      </c>
      <c r="AH262" s="20">
        <v>0</v>
      </c>
      <c r="AI262" s="20">
        <v>0</v>
      </c>
      <c r="AJ262" s="20">
        <v>0</v>
      </c>
      <c r="AK262" s="20">
        <v>0</v>
      </c>
      <c r="AO262" s="20" t="s">
        <v>1173</v>
      </c>
      <c r="AR262" s="20">
        <v>0</v>
      </c>
      <c r="AS262" s="20">
        <v>10112</v>
      </c>
      <c r="AV262" s="20" t="s">
        <v>1174</v>
      </c>
      <c r="AX262" s="20">
        <v>62128510024</v>
      </c>
      <c r="AY262" s="20">
        <v>62035811024</v>
      </c>
      <c r="AZ262" s="20">
        <v>55187694024</v>
      </c>
      <c r="BA262" s="20" t="s">
        <v>1175</v>
      </c>
      <c r="BB262" s="20" t="s">
        <v>1176</v>
      </c>
      <c r="BC262" s="20" t="s">
        <v>1177</v>
      </c>
      <c r="BD262" s="20">
        <v>1</v>
      </c>
      <c r="BE262" s="20">
        <v>0</v>
      </c>
      <c r="BF262" s="20">
        <v>0</v>
      </c>
      <c r="BG262" s="20">
        <v>0</v>
      </c>
      <c r="BN262" s="20" t="s">
        <v>1178</v>
      </c>
      <c r="BV262" s="20">
        <v>0</v>
      </c>
      <c r="CL262" s="20">
        <v>0</v>
      </c>
      <c r="DD262" s="20" t="s">
        <v>1179</v>
      </c>
      <c r="DE262" s="20" t="s">
        <v>1179</v>
      </c>
      <c r="DI262" s="20">
        <v>0</v>
      </c>
      <c r="DP262" s="21" t="s">
        <v>1180</v>
      </c>
      <c r="DQ262" s="21" t="str">
        <f>PartsMaster!$A255</f>
        <v>MJA2166BC</v>
      </c>
      <c r="DR262" s="21" t="s">
        <v>1181</v>
      </c>
      <c r="DS262" s="21" t="str">
        <f>PartsMaster!$K256&amp;" "&amp;PartsMaster!L256&amp;" "&amp;PartsMaster!$M256</f>
        <v>Front Left/Right Top</v>
      </c>
    </row>
    <row r="263" spans="1:123" ht="60" hidden="1" x14ac:dyDescent="0.25">
      <c r="A263" s="20" t="s">
        <v>1166</v>
      </c>
      <c r="B263" s="20" t="s">
        <v>1167</v>
      </c>
      <c r="C263" s="20" t="s">
        <v>1168</v>
      </c>
      <c r="D263" s="21" t="str">
        <f>PartsMaster!B256&amp;" "&amp;PartsMaster!$C256</f>
        <v>Jaguar XK8 XKR X100 Suspension Spring Upper Mounting Plate</v>
      </c>
      <c r="E263" s="20">
        <v>3000</v>
      </c>
      <c r="F263" s="20" t="s">
        <v>1182</v>
      </c>
      <c r="H263" s="21" t="str">
        <f>PartsMaster!$Q256</f>
        <v>Upper Mounting Plate</v>
      </c>
      <c r="I263" s="20">
        <v>9886</v>
      </c>
      <c r="K263" s="20">
        <v>0</v>
      </c>
      <c r="L263" s="20">
        <v>0</v>
      </c>
      <c r="M263" s="21">
        <f>PartsMaster!$D256</f>
        <v>0</v>
      </c>
      <c r="O263" s="20" t="s">
        <v>1169</v>
      </c>
      <c r="P263" s="23">
        <f>PartsMaster!$S256/1.45</f>
        <v>0</v>
      </c>
      <c r="S263" s="20">
        <v>30</v>
      </c>
      <c r="T263" s="20">
        <v>0</v>
      </c>
      <c r="U263" s="20" t="s">
        <v>1170</v>
      </c>
      <c r="Z263" s="26" t="str">
        <f>"&lt;P&gt;"&amp;PartsMaster!$I256&amp;" "&amp;PartsMaster!$H256&amp;"&lt;/P&gt;"&amp;"&lt;P&gt;Jaguar part name "&amp;PartsMaster!$E256&amp;"&lt;/P&gt;&lt;P&gt;Product numbers "&amp;PartsMaster!R256&amp;" "&amp;DQ263&amp;"&lt;/P&gt;&lt;P&gt;Fits starting from VIN/ModelYear "&amp;PartsMaster!$F256&amp;" until VIN/ModelYear "&amp;PartsMaster!$G256&amp;"&lt;/P&gt;&lt;P&gt;Condition: "&amp;PartsMaster!AB256&amp;"&lt;/P&gt;&lt;P&gt; (part source "&amp;PartsMaster!AD256&amp;")&lt;/P&gt;&lt;P&gt;Notes: "&amp;PartsMaster!AA256&amp;"&lt;/P&gt;"</f>
        <v>&lt;P&gt;Suspension Mount&lt;/P&gt;&lt;P&gt;Jaguar part name Mounting Spring&lt;/P&gt;&lt;P&gt;Product numbers MJA2170BD* MJA2170BD&lt;/P&gt;&lt;P&gt;Fits starting from VIN/ModelYear 019632 until VIN/ModelYear 042775&lt;/P&gt;&lt;P&gt;Condition: SNG Barratt&lt;/P&gt;&lt;P&gt; (part source )&lt;/P&gt;&lt;P&gt;Notes: &lt;/P&gt;</v>
      </c>
      <c r="AA263" s="20" t="s">
        <v>1171</v>
      </c>
      <c r="AC263" s="20">
        <v>0</v>
      </c>
      <c r="AD263" s="20">
        <v>0</v>
      </c>
      <c r="AE263" s="20" t="s">
        <v>1172</v>
      </c>
      <c r="AF263" s="20">
        <v>7</v>
      </c>
      <c r="AG263" s="20">
        <v>0</v>
      </c>
      <c r="AH263" s="20">
        <v>0</v>
      </c>
      <c r="AI263" s="20">
        <v>0</v>
      </c>
      <c r="AJ263" s="20">
        <v>0</v>
      </c>
      <c r="AK263" s="20">
        <v>0</v>
      </c>
      <c r="AO263" s="20" t="s">
        <v>1173</v>
      </c>
      <c r="AR263" s="20">
        <v>0</v>
      </c>
      <c r="AS263" s="20">
        <v>10112</v>
      </c>
      <c r="AV263" s="20" t="s">
        <v>1174</v>
      </c>
      <c r="AX263" s="20">
        <v>62128510024</v>
      </c>
      <c r="AY263" s="20">
        <v>62035811024</v>
      </c>
      <c r="AZ263" s="20">
        <v>55187694024</v>
      </c>
      <c r="BA263" s="20" t="s">
        <v>1175</v>
      </c>
      <c r="BB263" s="20" t="s">
        <v>1176</v>
      </c>
      <c r="BC263" s="20" t="s">
        <v>1177</v>
      </c>
      <c r="BD263" s="20">
        <v>1</v>
      </c>
      <c r="BE263" s="20">
        <v>0</v>
      </c>
      <c r="BF263" s="20">
        <v>0</v>
      </c>
      <c r="BG263" s="20">
        <v>0</v>
      </c>
      <c r="BN263" s="20" t="s">
        <v>1178</v>
      </c>
      <c r="BV263" s="20">
        <v>0</v>
      </c>
      <c r="CL263" s="20">
        <v>0</v>
      </c>
      <c r="DD263" s="20" t="s">
        <v>1179</v>
      </c>
      <c r="DE263" s="20" t="s">
        <v>1179</v>
      </c>
      <c r="DI263" s="20">
        <v>0</v>
      </c>
      <c r="DP263" s="21" t="s">
        <v>1180</v>
      </c>
      <c r="DQ263" s="21" t="str">
        <f>PartsMaster!$A256</f>
        <v>MJA2170BD</v>
      </c>
      <c r="DR263" s="21" t="s">
        <v>1181</v>
      </c>
      <c r="DS263" s="21" t="str">
        <f>PartsMaster!$K257&amp;" "&amp;PartsMaster!L257&amp;" "&amp;PartsMaster!$M257</f>
        <v>Front Left/Right Bottom</v>
      </c>
    </row>
    <row r="264" spans="1:123" ht="30" hidden="1" x14ac:dyDescent="0.25">
      <c r="A264" s="20" t="s">
        <v>1166</v>
      </c>
      <c r="B264" s="20" t="s">
        <v>1167</v>
      </c>
      <c r="C264" s="20" t="s">
        <v>1168</v>
      </c>
      <c r="D264" s="21" t="str">
        <f>PartsMaster!B257&amp;" "&amp;PartsMaster!$C257</f>
        <v>Jaguar XK8 XKR X100 Crossbeam mounting bracket</v>
      </c>
      <c r="E264" s="20">
        <v>3000</v>
      </c>
      <c r="F264" s="20" t="s">
        <v>1182</v>
      </c>
      <c r="H264" s="21" t="str">
        <f>PartsMaster!$Q257</f>
        <v>Crossbeam mounting bracket</v>
      </c>
      <c r="I264" s="20">
        <v>9886</v>
      </c>
      <c r="K264" s="20">
        <v>0</v>
      </c>
      <c r="L264" s="20">
        <v>0</v>
      </c>
      <c r="M264" s="21">
        <f>PartsMaster!$D257</f>
        <v>2</v>
      </c>
      <c r="O264" s="20" t="s">
        <v>1169</v>
      </c>
      <c r="P264" s="23">
        <f>PartsMaster!$S257/1.45</f>
        <v>0</v>
      </c>
      <c r="S264" s="20">
        <v>30</v>
      </c>
      <c r="T264" s="20">
        <v>0</v>
      </c>
      <c r="U264" s="20" t="s">
        <v>1170</v>
      </c>
      <c r="Z264" s="26" t="str">
        <f>"&lt;P&gt;"&amp;PartsMaster!$I257&amp;" "&amp;PartsMaster!$H257&amp;"&lt;/P&gt;"&amp;"&lt;P&gt;Jaguar part name "&amp;PartsMaster!$E257&amp;"&lt;/P&gt;&lt;P&gt;Product numbers "&amp;PartsMaster!R257&amp;" "&amp;DQ264&amp;"&lt;/P&gt;&lt;P&gt;Fits starting from VIN/ModelYear "&amp;PartsMaster!$F257&amp;" until VIN/ModelYear "&amp;PartsMaster!$G257&amp;"&lt;/P&gt;&lt;P&gt;Condition: "&amp;PartsMaster!AB257&amp;"&lt;/P&gt;&lt;P&gt; (part source "&amp;PartsMaster!AD257&amp;")&lt;/P&gt;&lt;P&gt;Notes: "&amp;PartsMaster!AA257&amp;"&lt;/P&gt;"</f>
        <v>&lt;P&gt;Mount Mount&lt;/P&gt;&lt;P&gt;Jaguar part name STEERING AND SUSPENTION/CROSSBEAM AND MOUNTINGS - FRONT - Mounting bracket&lt;/P&gt;&lt;P&gt;Product numbers MJA2547AA MJA2547AA&lt;/P&gt;&lt;P&gt;Fits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264" s="20" t="s">
        <v>1171</v>
      </c>
      <c r="AC264" s="20">
        <v>0</v>
      </c>
      <c r="AD264" s="20">
        <v>0</v>
      </c>
      <c r="AE264" s="20" t="s">
        <v>1172</v>
      </c>
      <c r="AF264" s="20">
        <v>7</v>
      </c>
      <c r="AG264" s="20">
        <v>0</v>
      </c>
      <c r="AH264" s="20">
        <v>0</v>
      </c>
      <c r="AI264" s="20">
        <v>0</v>
      </c>
      <c r="AJ264" s="20">
        <v>0</v>
      </c>
      <c r="AK264" s="20">
        <v>0</v>
      </c>
      <c r="AO264" s="20" t="s">
        <v>1173</v>
      </c>
      <c r="AR264" s="20">
        <v>0</v>
      </c>
      <c r="AS264" s="20">
        <v>10112</v>
      </c>
      <c r="AV264" s="20" t="s">
        <v>1174</v>
      </c>
      <c r="AX264" s="20">
        <v>62128510024</v>
      </c>
      <c r="AY264" s="20">
        <v>62035811024</v>
      </c>
      <c r="AZ264" s="20">
        <v>55187694024</v>
      </c>
      <c r="BA264" s="20" t="s">
        <v>1175</v>
      </c>
      <c r="BB264" s="20" t="s">
        <v>1176</v>
      </c>
      <c r="BC264" s="20" t="s">
        <v>1177</v>
      </c>
      <c r="BD264" s="20">
        <v>1</v>
      </c>
      <c r="BE264" s="20">
        <v>0</v>
      </c>
      <c r="BF264" s="20">
        <v>0</v>
      </c>
      <c r="BG264" s="20">
        <v>0</v>
      </c>
      <c r="BN264" s="20" t="s">
        <v>1178</v>
      </c>
      <c r="BV264" s="20">
        <v>0</v>
      </c>
      <c r="CL264" s="20">
        <v>0</v>
      </c>
      <c r="DD264" s="20" t="s">
        <v>1179</v>
      </c>
      <c r="DE264" s="20" t="s">
        <v>1179</v>
      </c>
      <c r="DI264" s="20">
        <v>0</v>
      </c>
      <c r="DP264" s="21" t="s">
        <v>1180</v>
      </c>
      <c r="DQ264" s="21" t="str">
        <f>PartsMaster!$A257</f>
        <v>MJA2547AA</v>
      </c>
      <c r="DR264" s="21" t="s">
        <v>1181</v>
      </c>
      <c r="DS264" s="21" t="str">
        <f>PartsMaster!$K258&amp;" "&amp;PartsMaster!L258&amp;" "&amp;PartsMaster!$M258</f>
        <v>Rear Center Bottom</v>
      </c>
    </row>
    <row r="265" spans="1:123" ht="30" hidden="1" x14ac:dyDescent="0.25">
      <c r="A265" s="20" t="s">
        <v>1166</v>
      </c>
      <c r="B265" s="20" t="s">
        <v>1167</v>
      </c>
      <c r="C265" s="20" t="s">
        <v>1168</v>
      </c>
      <c r="D265" s="21" t="str">
        <f>PartsMaster!B258&amp;" "&amp;PartsMaster!$C258</f>
        <v>Jaguar XK8 XKR X100 Suspention subframe</v>
      </c>
      <c r="E265" s="20">
        <v>3000</v>
      </c>
      <c r="F265" s="20" t="s">
        <v>1182</v>
      </c>
      <c r="H265" s="21" t="str">
        <f>PartsMaster!$Q258</f>
        <v>Suspention subframe</v>
      </c>
      <c r="I265" s="20">
        <v>9886</v>
      </c>
      <c r="K265" s="20">
        <v>0</v>
      </c>
      <c r="L265" s="20">
        <v>0</v>
      </c>
      <c r="M265" s="21">
        <f>PartsMaster!$D258</f>
        <v>0</v>
      </c>
      <c r="O265" s="20" t="s">
        <v>1169</v>
      </c>
      <c r="P265" s="23">
        <f>PartsMaster!$S258/1.45</f>
        <v>134.48275862068965</v>
      </c>
      <c r="S265" s="20">
        <v>30</v>
      </c>
      <c r="T265" s="20">
        <v>0</v>
      </c>
      <c r="U265" s="20" t="s">
        <v>1170</v>
      </c>
      <c r="Z265" s="26" t="str">
        <f>"&lt;P&gt;"&amp;PartsMaster!$I258&amp;" "&amp;PartsMaster!$H258&amp;"&lt;/P&gt;"&amp;"&lt;P&gt;Jaguar part name "&amp;PartsMaster!$E258&amp;"&lt;/P&gt;&lt;P&gt;Product numbers "&amp;PartsMaster!R258&amp;" "&amp;DQ265&amp;"&lt;/P&gt;&lt;P&gt;Fits starting from VIN/ModelYear "&amp;PartsMaster!$F258&amp;" until VIN/ModelYear "&amp;PartsMaster!$G258&amp;"&lt;/P&gt;&lt;P&gt;Condition: "&amp;PartsMaster!AB258&amp;"&lt;/P&gt;&lt;P&gt; (part source "&amp;PartsMaster!AD258&amp;")&lt;/P&gt;&lt;P&gt;Notes: "&amp;PartsMaster!AA258&amp;"&lt;/P&gt;"</f>
        <v>&lt;P&gt;Frame carrier Suspention/rear&lt;/P&gt;&lt;P&gt;Jaguar part name STEERING AND SUSPENTION/SUBFRAME AND MOUNTINGS-REAR - Suspention subframe&lt;/P&gt;&lt;P&gt;Product numbers MJA2590BF MJA2590BF&lt;/P&gt;&lt;P&gt;Fits starting from VIN/ModelYear 005495 until VIN/ModelYear 022240&lt;/P&gt;&lt;P&gt;Condition: Dismantled from bottom &amp; engine damaged MY1997 XK8 Convertible VIN 0136xx&lt;/P&gt;&lt;P&gt; (part source DR)&lt;/P&gt;&lt;P&gt;Notes: &lt;/P&gt;</v>
      </c>
      <c r="AA265" s="20" t="s">
        <v>1171</v>
      </c>
      <c r="AC265" s="20">
        <v>0</v>
      </c>
      <c r="AD265" s="20">
        <v>0</v>
      </c>
      <c r="AE265" s="20" t="s">
        <v>1172</v>
      </c>
      <c r="AF265" s="20">
        <v>7</v>
      </c>
      <c r="AG265" s="20">
        <v>0</v>
      </c>
      <c r="AH265" s="20">
        <v>0</v>
      </c>
      <c r="AI265" s="20">
        <v>0</v>
      </c>
      <c r="AJ265" s="20">
        <v>0</v>
      </c>
      <c r="AK265" s="20">
        <v>0</v>
      </c>
      <c r="AO265" s="20" t="s">
        <v>1173</v>
      </c>
      <c r="AR265" s="20">
        <v>0</v>
      </c>
      <c r="AS265" s="20">
        <v>10112</v>
      </c>
      <c r="AV265" s="20" t="s">
        <v>1174</v>
      </c>
      <c r="AX265" s="20">
        <v>62128510024</v>
      </c>
      <c r="AY265" s="20">
        <v>62035811024</v>
      </c>
      <c r="AZ265" s="20">
        <v>55187694024</v>
      </c>
      <c r="BA265" s="20" t="s">
        <v>1175</v>
      </c>
      <c r="BB265" s="20" t="s">
        <v>1176</v>
      </c>
      <c r="BC265" s="20" t="s">
        <v>1177</v>
      </c>
      <c r="BD265" s="20">
        <v>1</v>
      </c>
      <c r="BE265" s="20">
        <v>0</v>
      </c>
      <c r="BF265" s="20">
        <v>0</v>
      </c>
      <c r="BG265" s="20">
        <v>0</v>
      </c>
      <c r="BN265" s="20" t="s">
        <v>1178</v>
      </c>
      <c r="BV265" s="20">
        <v>0</v>
      </c>
      <c r="CL265" s="20">
        <v>0</v>
      </c>
      <c r="DD265" s="20" t="s">
        <v>1179</v>
      </c>
      <c r="DE265" s="20" t="s">
        <v>1179</v>
      </c>
      <c r="DI265" s="20">
        <v>0</v>
      </c>
      <c r="DP265" s="21" t="s">
        <v>1180</v>
      </c>
      <c r="DQ265" s="21" t="str">
        <f>PartsMaster!$A258</f>
        <v>MJA2590BF</v>
      </c>
      <c r="DR265" s="21" t="s">
        <v>1181</v>
      </c>
      <c r="DS265" s="21" t="str">
        <f>PartsMaster!$K259&amp;" "&amp;PartsMaster!L259&amp;" "&amp;PartsMaster!$M259</f>
        <v>Rear Center Bottom</v>
      </c>
    </row>
    <row r="266" spans="1:123" hidden="1" x14ac:dyDescent="0.25">
      <c r="A266" s="20" t="s">
        <v>1166</v>
      </c>
      <c r="B266" s="20" t="s">
        <v>1167</v>
      </c>
      <c r="C266" s="20" t="s">
        <v>1168</v>
      </c>
      <c r="D266" s="21" t="str">
        <f>PartsMaster!B259&amp;" "&amp;PartsMaster!$C259</f>
        <v>Jaguar XK8 XKR X100 Mounting bracket</v>
      </c>
      <c r="E266" s="20">
        <v>3000</v>
      </c>
      <c r="F266" s="20" t="s">
        <v>1182</v>
      </c>
      <c r="H266" s="21">
        <f>PartsMaster!$Q259</f>
        <v>0</v>
      </c>
      <c r="I266" s="20">
        <v>9886</v>
      </c>
      <c r="K266" s="20">
        <v>0</v>
      </c>
      <c r="L266" s="20">
        <v>0</v>
      </c>
      <c r="M266" s="21">
        <f>PartsMaster!$D259</f>
        <v>0</v>
      </c>
      <c r="O266" s="20" t="s">
        <v>1169</v>
      </c>
      <c r="P266" s="23">
        <f>PartsMaster!$S259/1.45</f>
        <v>65.517241379310349</v>
      </c>
      <c r="S266" s="20">
        <v>30</v>
      </c>
      <c r="T266" s="20">
        <v>0</v>
      </c>
      <c r="U266" s="20" t="s">
        <v>1170</v>
      </c>
      <c r="Z266" s="26" t="str">
        <f>"&lt;P&gt;"&amp;PartsMaster!$I259&amp;" "&amp;PartsMaster!$H259&amp;"&lt;/P&gt;"&amp;"&lt;P&gt;Jaguar part name "&amp;PartsMaster!$E259&amp;"&lt;/P&gt;&lt;P&gt;Product numbers "&amp;PartsMaster!R259&amp;" "&amp;DQ266&amp;"&lt;/P&gt;&lt;P&gt;Fits starting from VIN/ModelYear "&amp;PartsMaster!$F259&amp;" until VIN/ModelYear "&amp;PartsMaster!$G259&amp;"&lt;/P&gt;&lt;P&gt;Condition: "&amp;PartsMaster!AB259&amp;"&lt;/P&gt;&lt;P&gt; (part source "&amp;PartsMaster!AD259&amp;")&lt;/P&gt;&lt;P&gt;Notes: "&amp;PartsMaster!AA259&amp;"&lt;/P&gt;"</f>
        <v>&lt;P&gt;Mounting Suspention/rear&lt;/P&gt;&lt;P&gt;Jaguar part name STEERING AND SUSPENTION/SUBFRAME AND MOUNTINGS-REAR - Mounting bracket&lt;/P&gt;&lt;P&gt;Product numbers MJA2622AA MJA2622AA&lt;/P&gt;&lt;P&gt;Fits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266" s="20" t="s">
        <v>1171</v>
      </c>
      <c r="AC266" s="20">
        <v>0</v>
      </c>
      <c r="AD266" s="20">
        <v>0</v>
      </c>
      <c r="AE266" s="20" t="s">
        <v>1172</v>
      </c>
      <c r="AF266" s="20">
        <v>7</v>
      </c>
      <c r="AG266" s="20">
        <v>0</v>
      </c>
      <c r="AH266" s="20">
        <v>0</v>
      </c>
      <c r="AI266" s="20">
        <v>0</v>
      </c>
      <c r="AJ266" s="20">
        <v>0</v>
      </c>
      <c r="AK266" s="20">
        <v>0</v>
      </c>
      <c r="AO266" s="20" t="s">
        <v>1173</v>
      </c>
      <c r="AR266" s="20">
        <v>0</v>
      </c>
      <c r="AS266" s="20">
        <v>10112</v>
      </c>
      <c r="AV266" s="20" t="s">
        <v>1174</v>
      </c>
      <c r="AX266" s="20">
        <v>62128510024</v>
      </c>
      <c r="AY266" s="20">
        <v>62035811024</v>
      </c>
      <c r="AZ266" s="20">
        <v>55187694024</v>
      </c>
      <c r="BA266" s="20" t="s">
        <v>1175</v>
      </c>
      <c r="BB266" s="20" t="s">
        <v>1176</v>
      </c>
      <c r="BC266" s="20" t="s">
        <v>1177</v>
      </c>
      <c r="BD266" s="20">
        <v>1</v>
      </c>
      <c r="BE266" s="20">
        <v>0</v>
      </c>
      <c r="BF266" s="20">
        <v>0</v>
      </c>
      <c r="BG266" s="20">
        <v>0</v>
      </c>
      <c r="BN266" s="20" t="s">
        <v>1178</v>
      </c>
      <c r="BV266" s="20">
        <v>0</v>
      </c>
      <c r="CL266" s="20">
        <v>0</v>
      </c>
      <c r="DD266" s="20" t="s">
        <v>1179</v>
      </c>
      <c r="DE266" s="20" t="s">
        <v>1179</v>
      </c>
      <c r="DI266" s="20">
        <v>0</v>
      </c>
      <c r="DP266" s="21" t="s">
        <v>1180</v>
      </c>
      <c r="DQ266" s="21" t="str">
        <f>PartsMaster!$A259</f>
        <v>MJA2622AA</v>
      </c>
      <c r="DR266" s="21" t="s">
        <v>1181</v>
      </c>
      <c r="DS266" s="21" t="str">
        <f>PartsMaster!$K260&amp;" "&amp;PartsMaster!L260&amp;" "&amp;PartsMaster!$M260</f>
        <v>Rear Center Bottom</v>
      </c>
    </row>
    <row r="267" spans="1:123" hidden="1" x14ac:dyDescent="0.25">
      <c r="A267" s="20" t="s">
        <v>1166</v>
      </c>
      <c r="B267" s="20" t="s">
        <v>1167</v>
      </c>
      <c r="C267" s="20" t="s">
        <v>1168</v>
      </c>
      <c r="D267" s="21" t="str">
        <f>PartsMaster!B260&amp;" "&amp;PartsMaster!$C260</f>
        <v>Jaguar XK8 XKR X100 Bushed differential strut</v>
      </c>
      <c r="E267" s="20">
        <v>3000</v>
      </c>
      <c r="F267" s="20" t="s">
        <v>1182</v>
      </c>
      <c r="H267" s="21" t="str">
        <f>PartsMaster!$Q260</f>
        <v>Bushed differential strut</v>
      </c>
      <c r="I267" s="20">
        <v>9886</v>
      </c>
      <c r="K267" s="20">
        <v>0</v>
      </c>
      <c r="L267" s="20">
        <v>0</v>
      </c>
      <c r="M267" s="21">
        <f>PartsMaster!$D260</f>
        <v>0</v>
      </c>
      <c r="O267" s="20" t="s">
        <v>1169</v>
      </c>
      <c r="P267" s="23">
        <f>PartsMaster!$S260/1.45</f>
        <v>24.137931034482758</v>
      </c>
      <c r="S267" s="20">
        <v>30</v>
      </c>
      <c r="T267" s="20">
        <v>0</v>
      </c>
      <c r="U267" s="20" t="s">
        <v>1170</v>
      </c>
      <c r="Z267" s="26" t="str">
        <f>"&lt;P&gt;"&amp;PartsMaster!$I260&amp;" "&amp;PartsMaster!$H260&amp;"&lt;/P&gt;"&amp;"&lt;P&gt;Jaguar part name "&amp;PartsMaster!$E260&amp;"&lt;/P&gt;&lt;P&gt;Product numbers "&amp;PartsMaster!R260&amp;" "&amp;DQ267&amp;"&lt;/P&gt;&lt;P&gt;Fits starting from VIN/ModelYear "&amp;PartsMaster!$F260&amp;" until VIN/ModelYear "&amp;PartsMaster!$G260&amp;"&lt;/P&gt;&lt;P&gt;Condition: "&amp;PartsMaster!AB260&amp;"&lt;/P&gt;&lt;P&gt; (part source "&amp;PartsMaster!AD260&amp;")&lt;/P&gt;&lt;P&gt;Notes: "&amp;PartsMaster!AA260&amp;"&lt;/P&gt;"</f>
        <v>&lt;P&gt;Strut Suspention/rear&lt;/P&gt;&lt;P&gt;Jaguar part name STEERING AND SUSPENTION/SUSPENSION WISHBONES AND ARMS-REAR - Bushed differential strut&lt;/P&gt;&lt;P&gt;Product numbers MJA3713AA MJA3713AA&lt;/P&gt;&lt;P&gt;Fits starting from VIN/ModelYear  until VIN/ModelYear 019230&lt;/P&gt;&lt;P&gt;Condition: Dismantled from bottom &amp; engine damaged MY1997 XK8 Convertible VIN 0136xx&lt;/P&gt;&lt;P&gt; (part source KK)&lt;/P&gt;&lt;P&gt;Notes: &lt;/P&gt;</v>
      </c>
      <c r="AA267" s="20" t="s">
        <v>1171</v>
      </c>
      <c r="AC267" s="20">
        <v>0</v>
      </c>
      <c r="AD267" s="20">
        <v>0</v>
      </c>
      <c r="AE267" s="20" t="s">
        <v>1172</v>
      </c>
      <c r="AF267" s="20">
        <v>7</v>
      </c>
      <c r="AG267" s="20">
        <v>0</v>
      </c>
      <c r="AH267" s="20">
        <v>0</v>
      </c>
      <c r="AI267" s="20">
        <v>0</v>
      </c>
      <c r="AJ267" s="20">
        <v>0</v>
      </c>
      <c r="AK267" s="20">
        <v>0</v>
      </c>
      <c r="AO267" s="20" t="s">
        <v>1173</v>
      </c>
      <c r="AR267" s="20">
        <v>0</v>
      </c>
      <c r="AS267" s="20">
        <v>10112</v>
      </c>
      <c r="AV267" s="20" t="s">
        <v>1174</v>
      </c>
      <c r="AX267" s="20">
        <v>62128510024</v>
      </c>
      <c r="AY267" s="20">
        <v>62035811024</v>
      </c>
      <c r="AZ267" s="20">
        <v>55187694024</v>
      </c>
      <c r="BA267" s="20" t="s">
        <v>1175</v>
      </c>
      <c r="BB267" s="20" t="s">
        <v>1176</v>
      </c>
      <c r="BC267" s="20" t="s">
        <v>1177</v>
      </c>
      <c r="BD267" s="20">
        <v>1</v>
      </c>
      <c r="BE267" s="20">
        <v>0</v>
      </c>
      <c r="BF267" s="20">
        <v>0</v>
      </c>
      <c r="BG267" s="20">
        <v>0</v>
      </c>
      <c r="BN267" s="20" t="s">
        <v>1178</v>
      </c>
      <c r="BV267" s="20">
        <v>0</v>
      </c>
      <c r="CL267" s="20">
        <v>0</v>
      </c>
      <c r="DD267" s="20" t="s">
        <v>1179</v>
      </c>
      <c r="DE267" s="20" t="s">
        <v>1179</v>
      </c>
      <c r="DI267" s="20">
        <v>0</v>
      </c>
      <c r="DP267" s="21" t="s">
        <v>1180</v>
      </c>
      <c r="DQ267" s="21" t="str">
        <f>PartsMaster!$A260</f>
        <v>MJA3713AA</v>
      </c>
      <c r="DR267" s="21" t="s">
        <v>1181</v>
      </c>
      <c r="DS267" s="21" t="str">
        <f>PartsMaster!$K261&amp;" "&amp;PartsMaster!L261&amp;" "&amp;PartsMaster!$M261</f>
        <v xml:space="preserve">Rear LeftRight </v>
      </c>
    </row>
    <row r="268" spans="1:123" hidden="1" x14ac:dyDescent="0.25">
      <c r="A268" s="20" t="s">
        <v>1166</v>
      </c>
      <c r="B268" s="20" t="s">
        <v>1167</v>
      </c>
      <c r="C268" s="20" t="s">
        <v>1168</v>
      </c>
      <c r="D268" s="21" t="str">
        <f>PartsMaster!B261&amp;" "&amp;PartsMaster!$C261</f>
        <v>Jaguar XK8 XKR X100 XJ8 X308 Suspension Bumpstop - Rear</v>
      </c>
      <c r="E268" s="20">
        <v>3000</v>
      </c>
      <c r="F268" s="20" t="s">
        <v>1182</v>
      </c>
      <c r="H268" s="21" t="str">
        <f>PartsMaster!$Q261</f>
        <v>Suspension Bumpstop - Rear</v>
      </c>
      <c r="I268" s="20">
        <v>9886</v>
      </c>
      <c r="K268" s="20">
        <v>0</v>
      </c>
      <c r="L268" s="20">
        <v>0</v>
      </c>
      <c r="M268" s="21">
        <f>PartsMaster!$D261</f>
        <v>1</v>
      </c>
      <c r="O268" s="20" t="s">
        <v>1169</v>
      </c>
      <c r="P268" s="23">
        <f>PartsMaster!$S261/1.45</f>
        <v>20.689655172413794</v>
      </c>
      <c r="S268" s="20">
        <v>30</v>
      </c>
      <c r="T268" s="20">
        <v>0</v>
      </c>
      <c r="U268" s="20" t="s">
        <v>1170</v>
      </c>
      <c r="Z268" s="26" t="str">
        <f>"&lt;P&gt;"&amp;PartsMaster!$I261&amp;" "&amp;PartsMaster!$H261&amp;"&lt;/P&gt;"&amp;"&lt;P&gt;Jaguar part name "&amp;PartsMaster!$E261&amp;"&lt;/P&gt;&lt;P&gt;Product numbers "&amp;PartsMaster!R261&amp;" "&amp;DQ268&amp;"&lt;/P&gt;&lt;P&gt;Fits starting from VIN/ModelYear "&amp;PartsMaster!$F261&amp;" until VIN/ModelYear "&amp;PartsMaster!$G261&amp;"&lt;/P&gt;&lt;P&gt;Condition: "&amp;PartsMaster!AB261&amp;"&lt;/P&gt;&lt;P&gt; (part source "&amp;PartsMaster!AD261&amp;")&lt;/P&gt;&lt;P&gt;Notes: "&amp;PartsMaster!AA261&amp;"&lt;/P&gt;"</f>
        <v>&lt;P&gt;Suspension Suspension&lt;/P&gt;&lt;P&gt;Jaguar part name STEERING AND SUSPENSION/SUSPENSION WISHBONES AND ARMS-REAR - Suspension bumpstop - Rear&lt;/P&gt;&lt;P&gt;Product numbers MJA3750AB MJA3750AB&lt;/P&gt;&lt;P&gt;Fits starting from VIN/ModelYear X100 1996 - X308 812317 XJ8 with Sports Suspension until VIN/ModelYear X100 2006 - X308 F59525 XJ8 with Sports Suspension&lt;/P&gt;&lt;P&gt;Condition: Dismantled from bottom &amp; engine damaged MY1997 XK8 Convertible VIN 0136xx&lt;/P&gt;&lt;P&gt; (part source )&lt;/P&gt;&lt;P&gt;Notes: &lt;/P&gt;</v>
      </c>
      <c r="AA268" s="20" t="s">
        <v>1171</v>
      </c>
      <c r="AC268" s="20">
        <v>0</v>
      </c>
      <c r="AD268" s="20">
        <v>0</v>
      </c>
      <c r="AE268" s="20" t="s">
        <v>1172</v>
      </c>
      <c r="AF268" s="20">
        <v>7</v>
      </c>
      <c r="AG268" s="20">
        <v>0</v>
      </c>
      <c r="AH268" s="20">
        <v>0</v>
      </c>
      <c r="AI268" s="20">
        <v>0</v>
      </c>
      <c r="AJ268" s="20">
        <v>0</v>
      </c>
      <c r="AK268" s="20">
        <v>0</v>
      </c>
      <c r="AO268" s="20" t="s">
        <v>1173</v>
      </c>
      <c r="AR268" s="20">
        <v>0</v>
      </c>
      <c r="AS268" s="20">
        <v>10112</v>
      </c>
      <c r="AV268" s="20" t="s">
        <v>1174</v>
      </c>
      <c r="AX268" s="20">
        <v>62128510024</v>
      </c>
      <c r="AY268" s="20">
        <v>62035811024</v>
      </c>
      <c r="AZ268" s="20">
        <v>55187694024</v>
      </c>
      <c r="BA268" s="20" t="s">
        <v>1175</v>
      </c>
      <c r="BB268" s="20" t="s">
        <v>1176</v>
      </c>
      <c r="BC268" s="20" t="s">
        <v>1177</v>
      </c>
      <c r="BD268" s="20">
        <v>1</v>
      </c>
      <c r="BE268" s="20">
        <v>0</v>
      </c>
      <c r="BF268" s="20">
        <v>0</v>
      </c>
      <c r="BG268" s="20">
        <v>0</v>
      </c>
      <c r="BN268" s="20" t="s">
        <v>1178</v>
      </c>
      <c r="BV268" s="20">
        <v>0</v>
      </c>
      <c r="CL268" s="20">
        <v>0</v>
      </c>
      <c r="DD268" s="20" t="s">
        <v>1179</v>
      </c>
      <c r="DE268" s="20" t="s">
        <v>1179</v>
      </c>
      <c r="DI268" s="20">
        <v>0</v>
      </c>
      <c r="DP268" s="21" t="s">
        <v>1180</v>
      </c>
      <c r="DQ268" s="21" t="str">
        <f>PartsMaster!$A261</f>
        <v>MJA3750AB</v>
      </c>
      <c r="DR268" s="21" t="s">
        <v>1181</v>
      </c>
      <c r="DS268" s="21" t="str">
        <f>PartsMaster!$K262&amp;" "&amp;PartsMaster!L262&amp;" "&amp;PartsMaster!$M262</f>
        <v xml:space="preserve">Front Center </v>
      </c>
    </row>
    <row r="269" spans="1:123" hidden="1" x14ac:dyDescent="0.25">
      <c r="A269" s="20" t="s">
        <v>1166</v>
      </c>
      <c r="B269" s="20" t="s">
        <v>1167</v>
      </c>
      <c r="C269" s="20" t="s">
        <v>1168</v>
      </c>
      <c r="D269" s="21" t="str">
        <f>PartsMaster!B262&amp;" "&amp;PartsMaster!$C262</f>
        <v>Jaguar XK8 XKR X100 Air Conditioning Evaporator Heater Matrix Core</v>
      </c>
      <c r="E269" s="20">
        <v>3000</v>
      </c>
      <c r="F269" s="20" t="s">
        <v>1182</v>
      </c>
      <c r="H269" s="21" t="str">
        <f>PartsMaster!$Q262</f>
        <v>Heater Core</v>
      </c>
      <c r="I269" s="20">
        <v>9886</v>
      </c>
      <c r="K269" s="20">
        <v>0</v>
      </c>
      <c r="L269" s="20">
        <v>0</v>
      </c>
      <c r="M269" s="21">
        <f>PartsMaster!$D262</f>
        <v>1</v>
      </c>
      <c r="O269" s="20" t="s">
        <v>1169</v>
      </c>
      <c r="P269" s="23">
        <f>PartsMaster!$S262/1.45</f>
        <v>203.44827586206898</v>
      </c>
      <c r="S269" s="20">
        <v>30</v>
      </c>
      <c r="T269" s="20">
        <v>0</v>
      </c>
      <c r="U269" s="20" t="s">
        <v>1170</v>
      </c>
      <c r="Z269" s="26" t="str">
        <f>"&lt;P&gt;"&amp;PartsMaster!$I262&amp;" "&amp;PartsMaster!$H262&amp;"&lt;/P&gt;"&amp;"&lt;P&gt;Jaguar part name "&amp;PartsMaster!$E262&amp;"&lt;/P&gt;&lt;P&gt;Product numbers "&amp;PartsMaster!R262&amp;" "&amp;DQ269&amp;"&lt;/P&gt;&lt;P&gt;Fits starting from VIN/ModelYear "&amp;PartsMaster!$F262&amp;" until VIN/ModelYear "&amp;PartsMaster!$G262&amp;"&lt;/P&gt;&lt;P&gt;Condition: "&amp;PartsMaster!AB262&amp;"&lt;/P&gt;&lt;P&gt; (part source "&amp;PartsMaster!AD262&amp;")&lt;/P&gt;&lt;P&gt;Notes: "&amp;PartsMaster!AA262&amp;"&lt;/P&gt;"</f>
        <v>&lt;P&gt;Air conditioning Evaporator&lt;/P&gt;&lt;P&gt;Jaguar part name AIR CONDITIONING/HEATING/VENTILATION/EVAPORATOR AND HEATER MATRIX - Heater core and outlet thermistor&lt;/P&gt;&lt;P&gt;Product numbers MJA6440AB (including JLM20185 + JLM11949) MJA6440AE&lt;/P&gt;&lt;P&gt;Fits starting from VIN/ModelYear MY1996 until VIN/ModelYear 042775&lt;/P&gt;&lt;P&gt;Condition: Dismantled from bottom &amp; engine damaged MY1997 XK8 Convertible VIN 0136xx&lt;/P&gt;&lt;P&gt; (part source )&lt;/P&gt;&lt;P&gt;Notes: One aluminic hose bended a bit. Fixable.&lt;/P&gt;</v>
      </c>
      <c r="AA269" s="20" t="s">
        <v>1171</v>
      </c>
      <c r="AC269" s="20">
        <v>0</v>
      </c>
      <c r="AD269" s="20">
        <v>0</v>
      </c>
      <c r="AE269" s="20" t="s">
        <v>1172</v>
      </c>
      <c r="AF269" s="20">
        <v>7</v>
      </c>
      <c r="AG269" s="20">
        <v>0</v>
      </c>
      <c r="AH269" s="20">
        <v>0</v>
      </c>
      <c r="AI269" s="20">
        <v>0</v>
      </c>
      <c r="AJ269" s="20">
        <v>0</v>
      </c>
      <c r="AK269" s="20">
        <v>0</v>
      </c>
      <c r="AO269" s="20" t="s">
        <v>1173</v>
      </c>
      <c r="AR269" s="20">
        <v>0</v>
      </c>
      <c r="AS269" s="20">
        <v>10112</v>
      </c>
      <c r="AV269" s="20" t="s">
        <v>1174</v>
      </c>
      <c r="AX269" s="20">
        <v>62128510024</v>
      </c>
      <c r="AY269" s="20">
        <v>62035811024</v>
      </c>
      <c r="AZ269" s="20">
        <v>55187694024</v>
      </c>
      <c r="BA269" s="20" t="s">
        <v>1175</v>
      </c>
      <c r="BB269" s="20" t="s">
        <v>1176</v>
      </c>
      <c r="BC269" s="20" t="s">
        <v>1177</v>
      </c>
      <c r="BD269" s="20">
        <v>1</v>
      </c>
      <c r="BE269" s="20">
        <v>0</v>
      </c>
      <c r="BF269" s="20">
        <v>0</v>
      </c>
      <c r="BG269" s="20">
        <v>0</v>
      </c>
      <c r="BN269" s="20" t="s">
        <v>1178</v>
      </c>
      <c r="BV269" s="20">
        <v>0</v>
      </c>
      <c r="CL269" s="20">
        <v>0</v>
      </c>
      <c r="DD269" s="20" t="s">
        <v>1179</v>
      </c>
      <c r="DE269" s="20" t="s">
        <v>1179</v>
      </c>
      <c r="DI269" s="20">
        <v>0</v>
      </c>
      <c r="DP269" s="21" t="s">
        <v>1180</v>
      </c>
      <c r="DQ269" s="21" t="str">
        <f>PartsMaster!$A262</f>
        <v>MJA6440AE</v>
      </c>
      <c r="DR269" s="21" t="s">
        <v>1181</v>
      </c>
      <c r="DS269" s="21" t="str">
        <f>PartsMaster!$K263&amp;" "&amp;PartsMaster!L263&amp;" "&amp;PartsMaster!$M263</f>
        <v>Center Center Bottom</v>
      </c>
    </row>
    <row r="270" spans="1:123" hidden="1" x14ac:dyDescent="0.25">
      <c r="A270" s="20" t="s">
        <v>1166</v>
      </c>
      <c r="B270" s="20" t="s">
        <v>1167</v>
      </c>
      <c r="C270" s="20" t="s">
        <v>1168</v>
      </c>
      <c r="D270" s="21" t="str">
        <f>PartsMaster!B263&amp;" "&amp;PartsMaster!$C263</f>
        <v>Jaguar XK8 XKR X100 Air Conditioning Heater auxilary coolant water pump motor</v>
      </c>
      <c r="E270" s="20">
        <v>3000</v>
      </c>
      <c r="F270" s="20" t="s">
        <v>1182</v>
      </c>
      <c r="H270" s="21">
        <f>PartsMaster!$Q263</f>
        <v>0</v>
      </c>
      <c r="I270" s="20">
        <v>9886</v>
      </c>
      <c r="K270" s="20">
        <v>0</v>
      </c>
      <c r="L270" s="20">
        <v>0</v>
      </c>
      <c r="M270" s="21">
        <f>PartsMaster!$D263</f>
        <v>0</v>
      </c>
      <c r="O270" s="20" t="s">
        <v>1169</v>
      </c>
      <c r="P270" s="23">
        <f>PartsMaster!$S263/1.45</f>
        <v>0</v>
      </c>
      <c r="S270" s="20">
        <v>30</v>
      </c>
      <c r="T270" s="20">
        <v>0</v>
      </c>
      <c r="U270" s="20" t="s">
        <v>1170</v>
      </c>
      <c r="Z270" s="26" t="str">
        <f>"&lt;P&gt;"&amp;PartsMaster!$I263&amp;" "&amp;PartsMaster!$H263&amp;"&lt;/P&gt;"&amp;"&lt;P&gt;Jaguar part name "&amp;PartsMaster!$E263&amp;"&lt;/P&gt;&lt;P&gt;Product numbers "&amp;PartsMaster!R263&amp;" "&amp;DQ270&amp;"&lt;/P&gt;&lt;P&gt;Fits starting from VIN/ModelYear "&amp;PartsMaster!$F263&amp;" until VIN/ModelYear "&amp;PartsMaster!$G263&amp;"&lt;/P&gt;&lt;P&gt;Condition: "&amp;PartsMaster!AB263&amp;"&lt;/P&gt;&lt;P&gt; (part source "&amp;PartsMaster!AD263&amp;")&lt;/P&gt;&lt;P&gt;Notes: "&amp;PartsMaster!AA263&amp;"&lt;/P&gt;"</f>
        <v>&lt;P&gt;Air Conditioning Pump&lt;/P&gt;&lt;P&gt;Jaguar part name Air conditioning water pump&lt;/P&gt;&lt;P&gt;Product numbers  MJA6710AA &lt;/P&gt;&lt;P&gt;Fits starting from VIN/ModelYear A00083 until VIN/ModelYear A30644&lt;/P&gt;&lt;P&gt;Condition: &lt;/P&gt;&lt;P&gt; (part source )&lt;/P&gt;&lt;P&gt;Notes: &lt;/P&gt;</v>
      </c>
      <c r="AA270" s="20" t="s">
        <v>1171</v>
      </c>
      <c r="AC270" s="20">
        <v>0</v>
      </c>
      <c r="AD270" s="20">
        <v>0</v>
      </c>
      <c r="AE270" s="20" t="s">
        <v>1172</v>
      </c>
      <c r="AF270" s="20">
        <v>7</v>
      </c>
      <c r="AG270" s="20">
        <v>0</v>
      </c>
      <c r="AH270" s="20">
        <v>0</v>
      </c>
      <c r="AI270" s="20">
        <v>0</v>
      </c>
      <c r="AJ270" s="20">
        <v>0</v>
      </c>
      <c r="AK270" s="20">
        <v>0</v>
      </c>
      <c r="AO270" s="20" t="s">
        <v>1173</v>
      </c>
      <c r="AR270" s="20">
        <v>0</v>
      </c>
      <c r="AS270" s="20">
        <v>10112</v>
      </c>
      <c r="AV270" s="20" t="s">
        <v>1174</v>
      </c>
      <c r="AX270" s="20">
        <v>62128510024</v>
      </c>
      <c r="AY270" s="20">
        <v>62035811024</v>
      </c>
      <c r="AZ270" s="20">
        <v>55187694024</v>
      </c>
      <c r="BA270" s="20" t="s">
        <v>1175</v>
      </c>
      <c r="BB270" s="20" t="s">
        <v>1176</v>
      </c>
      <c r="BC270" s="20" t="s">
        <v>1177</v>
      </c>
      <c r="BD270" s="20">
        <v>1</v>
      </c>
      <c r="BE270" s="20">
        <v>0</v>
      </c>
      <c r="BF270" s="20">
        <v>0</v>
      </c>
      <c r="BG270" s="20">
        <v>0</v>
      </c>
      <c r="BN270" s="20" t="s">
        <v>1178</v>
      </c>
      <c r="BV270" s="20">
        <v>0</v>
      </c>
      <c r="CL270" s="20">
        <v>0</v>
      </c>
      <c r="DD270" s="20" t="s">
        <v>1179</v>
      </c>
      <c r="DE270" s="20" t="s">
        <v>1179</v>
      </c>
      <c r="DI270" s="20">
        <v>0</v>
      </c>
      <c r="DP270" s="21" t="s">
        <v>1180</v>
      </c>
      <c r="DQ270" s="21" t="str">
        <f>PartsMaster!$A263</f>
        <v xml:space="preserve">MJA6710AA </v>
      </c>
      <c r="DR270" s="21" t="s">
        <v>1181</v>
      </c>
      <c r="DS270" s="21" t="str">
        <f>PartsMaster!$K264&amp;" "&amp;PartsMaster!L264&amp;" "&amp;PartsMaster!$M264</f>
        <v>Center Center Bottom</v>
      </c>
    </row>
    <row r="271" spans="1:123" hidden="1" x14ac:dyDescent="0.25">
      <c r="A271" s="20" t="s">
        <v>1166</v>
      </c>
      <c r="B271" s="20" t="s">
        <v>1167</v>
      </c>
      <c r="C271" s="20" t="s">
        <v>1168</v>
      </c>
      <c r="D271" s="21" t="str">
        <f>PartsMaster!B264&amp;" "&amp;PartsMaster!$C264</f>
        <v>Jaguar XK8 XKR X100 Air Conditioning Heater auxilary coolant water pump motor</v>
      </c>
      <c r="E271" s="20">
        <v>3000</v>
      </c>
      <c r="F271" s="20" t="s">
        <v>1182</v>
      </c>
      <c r="H271" s="21">
        <f>PartsMaster!$Q264</f>
        <v>0</v>
      </c>
      <c r="I271" s="20">
        <v>9886</v>
      </c>
      <c r="K271" s="20">
        <v>0</v>
      </c>
      <c r="L271" s="20">
        <v>0</v>
      </c>
      <c r="M271" s="21">
        <f>PartsMaster!$D264</f>
        <v>1</v>
      </c>
      <c r="O271" s="20" t="s">
        <v>1169</v>
      </c>
      <c r="P271" s="23">
        <f>PartsMaster!$S264/1.45</f>
        <v>103.44827586206897</v>
      </c>
      <c r="S271" s="20">
        <v>30</v>
      </c>
      <c r="T271" s="20">
        <v>0</v>
      </c>
      <c r="U271" s="20" t="s">
        <v>1170</v>
      </c>
      <c r="Z271" s="26" t="str">
        <f>"&lt;P&gt;"&amp;PartsMaster!$I264&amp;" "&amp;PartsMaster!$H264&amp;"&lt;/P&gt;"&amp;"&lt;P&gt;Jaguar part name "&amp;PartsMaster!$E264&amp;"&lt;/P&gt;&lt;P&gt;Product numbers "&amp;PartsMaster!R264&amp;" "&amp;DQ271&amp;"&lt;/P&gt;&lt;P&gt;Fits starting from VIN/ModelYear "&amp;PartsMaster!$F264&amp;" until VIN/ModelYear "&amp;PartsMaster!$G264&amp;"&lt;/P&gt;&lt;P&gt;Condition: "&amp;PartsMaster!AB264&amp;"&lt;/P&gt;&lt;P&gt; (part source "&amp;PartsMaster!AD264&amp;")&lt;/P&gt;&lt;P&gt;Notes: "&amp;PartsMaster!AA264&amp;"&lt;/P&gt;"</f>
        <v>&lt;P&gt;Air Conditioning Pump&lt;/P&gt;&lt;P&gt;Jaguar part name Air conditioning water pump&lt;/P&gt;&lt;P&gt;Product numbers MJA6710AA  MJA6710AA &lt;/P&gt;&lt;P&gt;Fits starting from VIN/ModelYear MY1996 until VIN/ModelYear 042775&lt;/P&gt;&lt;P&gt;Condition: Renewal of bearings and brushes needed&lt;/P&gt;&lt;P&gt; (part source JP)&lt;/P&gt;&lt;P&gt;Notes: &lt;/P&gt;</v>
      </c>
      <c r="AA271" s="20" t="s">
        <v>1171</v>
      </c>
      <c r="AC271" s="20">
        <v>0</v>
      </c>
      <c r="AD271" s="20">
        <v>0</v>
      </c>
      <c r="AE271" s="20" t="s">
        <v>1172</v>
      </c>
      <c r="AF271" s="20">
        <v>7</v>
      </c>
      <c r="AG271" s="20">
        <v>0</v>
      </c>
      <c r="AH271" s="20">
        <v>0</v>
      </c>
      <c r="AI271" s="20">
        <v>0</v>
      </c>
      <c r="AJ271" s="20">
        <v>0</v>
      </c>
      <c r="AK271" s="20">
        <v>0</v>
      </c>
      <c r="AO271" s="20" t="s">
        <v>1173</v>
      </c>
      <c r="AR271" s="20">
        <v>0</v>
      </c>
      <c r="AS271" s="20">
        <v>10112</v>
      </c>
      <c r="AV271" s="20" t="s">
        <v>1174</v>
      </c>
      <c r="AX271" s="20">
        <v>62128510024</v>
      </c>
      <c r="AY271" s="20">
        <v>62035811024</v>
      </c>
      <c r="AZ271" s="20">
        <v>55187694024</v>
      </c>
      <c r="BA271" s="20" t="s">
        <v>1175</v>
      </c>
      <c r="BB271" s="20" t="s">
        <v>1176</v>
      </c>
      <c r="BC271" s="20" t="s">
        <v>1177</v>
      </c>
      <c r="BD271" s="20">
        <v>1</v>
      </c>
      <c r="BE271" s="20">
        <v>0</v>
      </c>
      <c r="BF271" s="20">
        <v>0</v>
      </c>
      <c r="BG271" s="20">
        <v>0</v>
      </c>
      <c r="BN271" s="20" t="s">
        <v>1178</v>
      </c>
      <c r="BV271" s="20">
        <v>0</v>
      </c>
      <c r="CL271" s="20">
        <v>0</v>
      </c>
      <c r="DD271" s="20" t="s">
        <v>1179</v>
      </c>
      <c r="DE271" s="20" t="s">
        <v>1179</v>
      </c>
      <c r="DI271" s="20">
        <v>0</v>
      </c>
      <c r="DP271" s="21" t="s">
        <v>1180</v>
      </c>
      <c r="DQ271" s="21" t="str">
        <f>PartsMaster!$A264</f>
        <v xml:space="preserve">MJA6710AA </v>
      </c>
      <c r="DR271" s="21" t="s">
        <v>1181</v>
      </c>
      <c r="DS271" s="21" t="str">
        <f>PartsMaster!$K265&amp;" "&amp;PartsMaster!L265&amp;" "&amp;PartsMaster!$M265</f>
        <v>Front  Top</v>
      </c>
    </row>
    <row r="272" spans="1:123" hidden="1" x14ac:dyDescent="0.25">
      <c r="A272" s="20" t="s">
        <v>1166</v>
      </c>
      <c r="B272" s="20" t="s">
        <v>1167</v>
      </c>
      <c r="C272" s="20" t="s">
        <v>1168</v>
      </c>
      <c r="D272" s="21" t="str">
        <f>PartsMaster!B265&amp;" "&amp;PartsMaster!$C265</f>
        <v>Jaguar XK8 XKR X100 Heater hose</v>
      </c>
      <c r="E272" s="20">
        <v>3000</v>
      </c>
      <c r="F272" s="20" t="s">
        <v>1182</v>
      </c>
      <c r="H272" s="21" t="str">
        <f>PartsMaster!$Q265</f>
        <v>Heater hose</v>
      </c>
      <c r="I272" s="20">
        <v>9886</v>
      </c>
      <c r="K272" s="20">
        <v>0</v>
      </c>
      <c r="L272" s="20">
        <v>0</v>
      </c>
      <c r="M272" s="21">
        <f>PartsMaster!$D265</f>
        <v>1</v>
      </c>
      <c r="O272" s="20" t="s">
        <v>1169</v>
      </c>
      <c r="P272" s="23">
        <f>PartsMaster!$S265/1.45</f>
        <v>0</v>
      </c>
      <c r="S272" s="20">
        <v>30</v>
      </c>
      <c r="T272" s="20">
        <v>0</v>
      </c>
      <c r="U272" s="20" t="s">
        <v>1170</v>
      </c>
      <c r="Z272" s="26" t="str">
        <f>"&lt;P&gt;"&amp;PartsMaster!$I265&amp;" "&amp;PartsMaster!$H265&amp;"&lt;/P&gt;"&amp;"&lt;P&gt;Jaguar part name "&amp;PartsMaster!$E265&amp;"&lt;/P&gt;&lt;P&gt;Product numbers "&amp;PartsMaster!R265&amp;" "&amp;DQ272&amp;"&lt;/P&gt;&lt;P&gt;Fits starting from VIN/ModelYear "&amp;PartsMaster!$F265&amp;" until VIN/ModelYear "&amp;PartsMaster!$G265&amp;"&lt;/P&gt;&lt;P&gt;Condition: "&amp;PartsMaster!AB265&amp;"&lt;/P&gt;&lt;P&gt; (part source "&amp;PartsMaster!AD265&amp;")&lt;/P&gt;&lt;P&gt;Notes: "&amp;PartsMaster!AA265&amp;"&lt;/P&gt;"</f>
        <v>&lt;P&gt;Engine Cooling Hose / Pipe &lt;/P&gt;&lt;P&gt;Jaguar part name AIR CONDITIONING/HEATING/VENTILATION/PIPES AND HOSES - Heater hose&lt;/P&gt;&lt;P&gt;Product numbers MJA6728AC MJA6728AC&lt;/P&gt;&lt;P&gt;Fits starting from VIN/ModelYear  until VIN/ModelYear 018107&lt;/P&gt;&lt;P&gt;Condition: Dismantled from bottom &amp; engine damaged MY1997 XK8 Convertible VIN 0136xx&lt;/P&gt;&lt;P&gt; (part source KK)&lt;/P&gt;&lt;P&gt;Notes: &lt;/P&gt;</v>
      </c>
      <c r="AA272" s="20" t="s">
        <v>1171</v>
      </c>
      <c r="AC272" s="20">
        <v>0</v>
      </c>
      <c r="AD272" s="20">
        <v>0</v>
      </c>
      <c r="AE272" s="20" t="s">
        <v>1172</v>
      </c>
      <c r="AF272" s="20">
        <v>7</v>
      </c>
      <c r="AG272" s="20">
        <v>0</v>
      </c>
      <c r="AH272" s="20">
        <v>0</v>
      </c>
      <c r="AI272" s="20">
        <v>0</v>
      </c>
      <c r="AJ272" s="20">
        <v>0</v>
      </c>
      <c r="AK272" s="20">
        <v>0</v>
      </c>
      <c r="AO272" s="20" t="s">
        <v>1173</v>
      </c>
      <c r="AR272" s="20">
        <v>0</v>
      </c>
      <c r="AS272" s="20">
        <v>10112</v>
      </c>
      <c r="AV272" s="20" t="s">
        <v>1174</v>
      </c>
      <c r="AX272" s="20">
        <v>62128510024</v>
      </c>
      <c r="AY272" s="20">
        <v>62035811024</v>
      </c>
      <c r="AZ272" s="20">
        <v>55187694024</v>
      </c>
      <c r="BA272" s="20" t="s">
        <v>1175</v>
      </c>
      <c r="BB272" s="20" t="s">
        <v>1176</v>
      </c>
      <c r="BC272" s="20" t="s">
        <v>1177</v>
      </c>
      <c r="BD272" s="20">
        <v>1</v>
      </c>
      <c r="BE272" s="20">
        <v>0</v>
      </c>
      <c r="BF272" s="20">
        <v>0</v>
      </c>
      <c r="BG272" s="20">
        <v>0</v>
      </c>
      <c r="BN272" s="20" t="s">
        <v>1178</v>
      </c>
      <c r="BV272" s="20">
        <v>0</v>
      </c>
      <c r="CL272" s="20">
        <v>0</v>
      </c>
      <c r="DD272" s="20" t="s">
        <v>1179</v>
      </c>
      <c r="DE272" s="20" t="s">
        <v>1179</v>
      </c>
      <c r="DI272" s="20">
        <v>0</v>
      </c>
      <c r="DP272" s="21" t="s">
        <v>1180</v>
      </c>
      <c r="DQ272" s="21" t="str">
        <f>PartsMaster!$A265</f>
        <v>MJA6728AC</v>
      </c>
      <c r="DR272" s="21" t="s">
        <v>1181</v>
      </c>
      <c r="DS272" s="21" t="str">
        <f>PartsMaster!$K266&amp;" "&amp;PartsMaster!L266&amp;" "&amp;PartsMaster!$M266</f>
        <v xml:space="preserve">Front Right </v>
      </c>
    </row>
    <row r="273" spans="1:123" ht="45" hidden="1" x14ac:dyDescent="0.25">
      <c r="A273" s="20" t="s">
        <v>1166</v>
      </c>
      <c r="B273" s="20" t="s">
        <v>1167</v>
      </c>
      <c r="C273" s="20" t="s">
        <v>1168</v>
      </c>
      <c r="D273" s="21" t="str">
        <f>PartsMaster!B266&amp;" "&amp;PartsMaster!$C266</f>
        <v>Jaguar XK8 XKR X100 Footwell duct</v>
      </c>
      <c r="E273" s="20">
        <v>3000</v>
      </c>
      <c r="F273" s="20" t="s">
        <v>1182</v>
      </c>
      <c r="H273" s="21" t="str">
        <f>PartsMaster!$Q266</f>
        <v>Footwell duct</v>
      </c>
      <c r="I273" s="20">
        <v>9886</v>
      </c>
      <c r="K273" s="20">
        <v>0</v>
      </c>
      <c r="L273" s="20">
        <v>0</v>
      </c>
      <c r="M273" s="21">
        <f>PartsMaster!$D266</f>
        <v>1</v>
      </c>
      <c r="O273" s="20" t="s">
        <v>1169</v>
      </c>
      <c r="P273" s="23">
        <f>PartsMaster!$S266/1.45</f>
        <v>0</v>
      </c>
      <c r="S273" s="20">
        <v>30</v>
      </c>
      <c r="T273" s="20">
        <v>0</v>
      </c>
      <c r="U273" s="20" t="s">
        <v>1170</v>
      </c>
      <c r="Z273" s="26" t="str">
        <f>"&lt;P&gt;"&amp;PartsMaster!$I266&amp;" "&amp;PartsMaster!$H266&amp;"&lt;/P&gt;"&amp;"&lt;P&gt;Jaguar part name "&amp;PartsMaster!$E266&amp;"&lt;/P&gt;&lt;P&gt;Product numbers "&amp;PartsMaster!R266&amp;" "&amp;DQ273&amp;"&lt;/P&gt;&lt;P&gt;Fits starting from VIN/ModelYear "&amp;PartsMaster!$F266&amp;" until VIN/ModelYear "&amp;PartsMaster!$G266&amp;"&lt;/P&gt;&lt;P&gt;Condition: "&amp;PartsMaster!AB266&amp;"&lt;/P&gt;&lt;P&gt; (part source "&amp;PartsMaster!AD266&amp;")&lt;/P&gt;&lt;P&gt;Notes: "&amp;PartsMaster!AA266&amp;"&lt;/P&gt;"</f>
        <v>&lt;P&gt;Air conditioning Duct&lt;/P&gt;&lt;P&gt;Jaguar part name AIR CONDITIONING/HEATING/VENTILATION/AIR DISTRIBUTING/DUCKTING - Footwell duct&lt;/P&gt;&lt;P&gt;Product numbers MJA6906AG MJA6906AG&lt;/P&gt;&lt;P&gt;Fits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273" s="20" t="s">
        <v>1171</v>
      </c>
      <c r="AC273" s="20">
        <v>0</v>
      </c>
      <c r="AD273" s="20">
        <v>0</v>
      </c>
      <c r="AE273" s="20" t="s">
        <v>1172</v>
      </c>
      <c r="AF273" s="20">
        <v>7</v>
      </c>
      <c r="AG273" s="20">
        <v>0</v>
      </c>
      <c r="AH273" s="20">
        <v>0</v>
      </c>
      <c r="AI273" s="20">
        <v>0</v>
      </c>
      <c r="AJ273" s="20">
        <v>0</v>
      </c>
      <c r="AK273" s="20">
        <v>0</v>
      </c>
      <c r="AO273" s="20" t="s">
        <v>1173</v>
      </c>
      <c r="AR273" s="20">
        <v>0</v>
      </c>
      <c r="AS273" s="20">
        <v>10112</v>
      </c>
      <c r="AV273" s="20" t="s">
        <v>1174</v>
      </c>
      <c r="AX273" s="20">
        <v>62128510024</v>
      </c>
      <c r="AY273" s="20">
        <v>62035811024</v>
      </c>
      <c r="AZ273" s="20">
        <v>55187694024</v>
      </c>
      <c r="BA273" s="20" t="s">
        <v>1175</v>
      </c>
      <c r="BB273" s="20" t="s">
        <v>1176</v>
      </c>
      <c r="BC273" s="20" t="s">
        <v>1177</v>
      </c>
      <c r="BD273" s="20">
        <v>1</v>
      </c>
      <c r="BE273" s="20">
        <v>0</v>
      </c>
      <c r="BF273" s="20">
        <v>0</v>
      </c>
      <c r="BG273" s="20">
        <v>0</v>
      </c>
      <c r="BN273" s="20" t="s">
        <v>1178</v>
      </c>
      <c r="BV273" s="20">
        <v>0</v>
      </c>
      <c r="CL273" s="20">
        <v>0</v>
      </c>
      <c r="DD273" s="20" t="s">
        <v>1179</v>
      </c>
      <c r="DE273" s="20" t="s">
        <v>1179</v>
      </c>
      <c r="DI273" s="20">
        <v>0</v>
      </c>
      <c r="DP273" s="21" t="s">
        <v>1180</v>
      </c>
      <c r="DQ273" s="21" t="str">
        <f>PartsMaster!$A266</f>
        <v>MJA6906AG</v>
      </c>
      <c r="DR273" s="21" t="s">
        <v>1181</v>
      </c>
      <c r="DS273" s="21" t="str">
        <f>PartsMaster!$K267&amp;" "&amp;PartsMaster!L267&amp;" "&amp;PartsMaster!$M267</f>
        <v xml:space="preserve">Front Center </v>
      </c>
    </row>
    <row r="274" spans="1:123" ht="30" hidden="1" x14ac:dyDescent="0.25">
      <c r="A274" s="20" t="s">
        <v>1166</v>
      </c>
      <c r="B274" s="20" t="s">
        <v>1167</v>
      </c>
      <c r="C274" s="20" t="s">
        <v>1168</v>
      </c>
      <c r="D274" s="21" t="str">
        <f>PartsMaster!B267&amp;" "&amp;PartsMaster!$C267</f>
        <v>Jaguar XK8 XKR X100 Air conditioning hose</v>
      </c>
      <c r="E274" s="20">
        <v>3000</v>
      </c>
      <c r="F274" s="20" t="s">
        <v>1182</v>
      </c>
      <c r="H274" s="21" t="str">
        <f>PartsMaster!$Q267</f>
        <v>Air conditioning hose</v>
      </c>
      <c r="I274" s="20">
        <v>9886</v>
      </c>
      <c r="K274" s="20">
        <v>0</v>
      </c>
      <c r="L274" s="20">
        <v>0</v>
      </c>
      <c r="M274" s="21">
        <f>PartsMaster!$D267</f>
        <v>1</v>
      </c>
      <c r="O274" s="20" t="s">
        <v>1169</v>
      </c>
      <c r="P274" s="23">
        <f>PartsMaster!$S267/1.45</f>
        <v>0</v>
      </c>
      <c r="S274" s="20">
        <v>30</v>
      </c>
      <c r="T274" s="20">
        <v>0</v>
      </c>
      <c r="U274" s="20" t="s">
        <v>1170</v>
      </c>
      <c r="Z274" s="26" t="str">
        <f>"&lt;P&gt;"&amp;PartsMaster!$I267&amp;" "&amp;PartsMaster!$H267&amp;"&lt;/P&gt;"&amp;"&lt;P&gt;Jaguar part name "&amp;PartsMaster!$E267&amp;"&lt;/P&gt;&lt;P&gt;Product numbers "&amp;PartsMaster!R267&amp;" "&amp;DQ274&amp;"&lt;/P&gt;&lt;P&gt;Fits starting from VIN/ModelYear "&amp;PartsMaster!$F267&amp;" until VIN/ModelYear "&amp;PartsMaster!$G267&amp;"&lt;/P&gt;&lt;P&gt;Condition: "&amp;PartsMaster!AB267&amp;"&lt;/P&gt;&lt;P&gt; (part source "&amp;PartsMaster!AD267&amp;")&lt;/P&gt;&lt;P&gt;Notes: "&amp;PartsMaster!AA267&amp;"&lt;/P&gt;"</f>
        <v>&lt;P&gt;Air Conditioning Refrigerant hose&lt;/P&gt;&lt;P&gt;Jaguar part name AIR CONDITIONING/HEATING/VENTILATION/PIPES AND HOSES - Air conditioning hose&lt;/P&gt;&lt;P&gt;Product numbers MJA7310AG MJA7310AG&lt;/P&gt;&lt;P&gt;Fits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274" s="20" t="s">
        <v>1171</v>
      </c>
      <c r="AC274" s="20">
        <v>0</v>
      </c>
      <c r="AD274" s="20">
        <v>0</v>
      </c>
      <c r="AE274" s="20" t="s">
        <v>1172</v>
      </c>
      <c r="AF274" s="20">
        <v>7</v>
      </c>
      <c r="AG274" s="20">
        <v>0</v>
      </c>
      <c r="AH274" s="20">
        <v>0</v>
      </c>
      <c r="AI274" s="20">
        <v>0</v>
      </c>
      <c r="AJ274" s="20">
        <v>0</v>
      </c>
      <c r="AK274" s="20">
        <v>0</v>
      </c>
      <c r="AO274" s="20" t="s">
        <v>1173</v>
      </c>
      <c r="AR274" s="20">
        <v>0</v>
      </c>
      <c r="AS274" s="20">
        <v>10112</v>
      </c>
      <c r="AV274" s="20" t="s">
        <v>1174</v>
      </c>
      <c r="AX274" s="20">
        <v>62128510024</v>
      </c>
      <c r="AY274" s="20">
        <v>62035811024</v>
      </c>
      <c r="AZ274" s="20">
        <v>55187694024</v>
      </c>
      <c r="BA274" s="20" t="s">
        <v>1175</v>
      </c>
      <c r="BB274" s="20" t="s">
        <v>1176</v>
      </c>
      <c r="BC274" s="20" t="s">
        <v>1177</v>
      </c>
      <c r="BD274" s="20">
        <v>1</v>
      </c>
      <c r="BE274" s="20">
        <v>0</v>
      </c>
      <c r="BF274" s="20">
        <v>0</v>
      </c>
      <c r="BG274" s="20">
        <v>0</v>
      </c>
      <c r="BN274" s="20" t="s">
        <v>1178</v>
      </c>
      <c r="BV274" s="20">
        <v>0</v>
      </c>
      <c r="CL274" s="20">
        <v>0</v>
      </c>
      <c r="DD274" s="20" t="s">
        <v>1179</v>
      </c>
      <c r="DE274" s="20" t="s">
        <v>1179</v>
      </c>
      <c r="DI274" s="20">
        <v>0</v>
      </c>
      <c r="DP274" s="21" t="s">
        <v>1180</v>
      </c>
      <c r="DQ274" s="21" t="str">
        <f>PartsMaster!$A267</f>
        <v>MJA7310AG</v>
      </c>
      <c r="DR274" s="21" t="s">
        <v>1181</v>
      </c>
      <c r="DS274" s="21" t="str">
        <f>PartsMaster!$K268&amp;" "&amp;PartsMaster!L268&amp;" "&amp;PartsMaster!$M268</f>
        <v xml:space="preserve">Front Left </v>
      </c>
    </row>
    <row r="275" spans="1:123" ht="30" hidden="1" x14ac:dyDescent="0.25">
      <c r="A275" s="20" t="s">
        <v>1166</v>
      </c>
      <c r="B275" s="20" t="s">
        <v>1167</v>
      </c>
      <c r="C275" s="20" t="s">
        <v>1168</v>
      </c>
      <c r="D275" s="21" t="str">
        <f>PartsMaster!B268&amp;" "&amp;PartsMaster!$C268</f>
        <v>Jaguar XK8 XKR X100 Air conditioning pipe</v>
      </c>
      <c r="E275" s="20">
        <v>3000</v>
      </c>
      <c r="F275" s="20" t="s">
        <v>1182</v>
      </c>
      <c r="H275" s="21" t="str">
        <f>PartsMaster!$Q268</f>
        <v>Air conditioning pipe</v>
      </c>
      <c r="I275" s="20">
        <v>9886</v>
      </c>
      <c r="K275" s="20">
        <v>0</v>
      </c>
      <c r="L275" s="20">
        <v>0</v>
      </c>
      <c r="M275" s="21">
        <f>PartsMaster!$D268</f>
        <v>1</v>
      </c>
      <c r="O275" s="20" t="s">
        <v>1169</v>
      </c>
      <c r="P275" s="23">
        <f>PartsMaster!$S268/1.45</f>
        <v>0</v>
      </c>
      <c r="S275" s="20">
        <v>30</v>
      </c>
      <c r="T275" s="20">
        <v>0</v>
      </c>
      <c r="U275" s="20" t="s">
        <v>1170</v>
      </c>
      <c r="Z275" s="26" t="str">
        <f>"&lt;P&gt;"&amp;PartsMaster!$I268&amp;" "&amp;PartsMaster!$H268&amp;"&lt;/P&gt;"&amp;"&lt;P&gt;Jaguar part name "&amp;PartsMaster!$E268&amp;"&lt;/P&gt;&lt;P&gt;Product numbers "&amp;PartsMaster!R268&amp;" "&amp;DQ275&amp;"&lt;/P&gt;&lt;P&gt;Fits starting from VIN/ModelYear "&amp;PartsMaster!$F268&amp;" until VIN/ModelYear "&amp;PartsMaster!$G268&amp;"&lt;/P&gt;&lt;P&gt;Condition: "&amp;PartsMaster!AB268&amp;"&lt;/P&gt;&lt;P&gt; (part source "&amp;PartsMaster!AD268&amp;")&lt;/P&gt;&lt;P&gt;Notes: "&amp;PartsMaster!AA268&amp;"&lt;/P&gt;"</f>
        <v>&lt;P&gt;Air Conditioning Refrigerant pipe&lt;/P&gt;&lt;P&gt;Jaguar part name AIR CONDITIONING/HEATING/VENTILATION/PIPES AND HOSES - Air conditioning pipe - Evaporator to compressor&lt;/P&gt;&lt;P&gt;Product numbers MJA7312CA MJA7312CA&lt;/P&gt;&lt;P&gt;Fits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275" s="20" t="s">
        <v>1171</v>
      </c>
      <c r="AC275" s="20">
        <v>0</v>
      </c>
      <c r="AD275" s="20">
        <v>0</v>
      </c>
      <c r="AE275" s="20" t="s">
        <v>1172</v>
      </c>
      <c r="AF275" s="20">
        <v>7</v>
      </c>
      <c r="AG275" s="20">
        <v>0</v>
      </c>
      <c r="AH275" s="20">
        <v>0</v>
      </c>
      <c r="AI275" s="20">
        <v>0</v>
      </c>
      <c r="AJ275" s="20">
        <v>0</v>
      </c>
      <c r="AK275" s="20">
        <v>0</v>
      </c>
      <c r="AO275" s="20" t="s">
        <v>1173</v>
      </c>
      <c r="AR275" s="20">
        <v>0</v>
      </c>
      <c r="AS275" s="20">
        <v>10112</v>
      </c>
      <c r="AV275" s="20" t="s">
        <v>1174</v>
      </c>
      <c r="AX275" s="20">
        <v>62128510024</v>
      </c>
      <c r="AY275" s="20">
        <v>62035811024</v>
      </c>
      <c r="AZ275" s="20">
        <v>55187694024</v>
      </c>
      <c r="BA275" s="20" t="s">
        <v>1175</v>
      </c>
      <c r="BB275" s="20" t="s">
        <v>1176</v>
      </c>
      <c r="BC275" s="20" t="s">
        <v>1177</v>
      </c>
      <c r="BD275" s="20">
        <v>1</v>
      </c>
      <c r="BE275" s="20">
        <v>0</v>
      </c>
      <c r="BF275" s="20">
        <v>0</v>
      </c>
      <c r="BG275" s="20">
        <v>0</v>
      </c>
      <c r="BN275" s="20" t="s">
        <v>1178</v>
      </c>
      <c r="BV275" s="20">
        <v>0</v>
      </c>
      <c r="CL275" s="20">
        <v>0</v>
      </c>
      <c r="DD275" s="20" t="s">
        <v>1179</v>
      </c>
      <c r="DE275" s="20" t="s">
        <v>1179</v>
      </c>
      <c r="DI275" s="20">
        <v>0</v>
      </c>
      <c r="DP275" s="21" t="s">
        <v>1180</v>
      </c>
      <c r="DQ275" s="21" t="str">
        <f>PartsMaster!$A268</f>
        <v>MJA7312CA</v>
      </c>
      <c r="DR275" s="21" t="s">
        <v>1181</v>
      </c>
      <c r="DS275" s="21" t="str">
        <f>PartsMaster!$K269&amp;" "&amp;PartsMaster!L269&amp;" "&amp;PartsMaster!$M269</f>
        <v xml:space="preserve">Front Left/Right </v>
      </c>
    </row>
    <row r="276" spans="1:123" hidden="1" x14ac:dyDescent="0.25">
      <c r="A276" s="20" t="s">
        <v>1166</v>
      </c>
      <c r="B276" s="20" t="s">
        <v>1167</v>
      </c>
      <c r="C276" s="20" t="s">
        <v>1168</v>
      </c>
      <c r="D276" s="21" t="str">
        <f>PartsMaster!B269&amp;" "&amp;PartsMaster!$C269</f>
        <v>Jaguar XK8 XKR X100 Brake Caliber Carrier</v>
      </c>
      <c r="E276" s="20">
        <v>3000</v>
      </c>
      <c r="F276" s="20" t="s">
        <v>1182</v>
      </c>
      <c r="H276" s="21" t="str">
        <f>PartsMaster!$Q269</f>
        <v>Brake Caliber Carrier</v>
      </c>
      <c r="I276" s="20">
        <v>9886</v>
      </c>
      <c r="K276" s="20">
        <v>0</v>
      </c>
      <c r="L276" s="20">
        <v>0</v>
      </c>
      <c r="M276" s="21">
        <f>PartsMaster!$D269</f>
        <v>2</v>
      </c>
      <c r="O276" s="20" t="s">
        <v>1169</v>
      </c>
      <c r="P276" s="23">
        <f>PartsMaster!$S269/1.45</f>
        <v>17.241379310344829</v>
      </c>
      <c r="S276" s="20">
        <v>30</v>
      </c>
      <c r="T276" s="20">
        <v>0</v>
      </c>
      <c r="U276" s="20" t="s">
        <v>1170</v>
      </c>
      <c r="Z276" s="26" t="str">
        <f>"&lt;P&gt;"&amp;PartsMaster!$I269&amp;" "&amp;PartsMaster!$H269&amp;"&lt;/P&gt;"&amp;"&lt;P&gt;Jaguar part name "&amp;PartsMaster!$E269&amp;"&lt;/P&gt;&lt;P&gt;Product numbers "&amp;PartsMaster!R269&amp;" "&amp;DQ276&amp;"&lt;/P&gt;&lt;P&gt;Fits starting from VIN/ModelYear "&amp;PartsMaster!$F269&amp;" until VIN/ModelYear "&amp;PartsMaster!$G269&amp;"&lt;/P&gt;&lt;P&gt;Condition: "&amp;PartsMaster!AB269&amp;"&lt;/P&gt;&lt;P&gt; (part source "&amp;PartsMaster!AD269&amp;")&lt;/P&gt;&lt;P&gt;Notes: "&amp;PartsMaster!AA269&amp;"&lt;/P&gt;"</f>
        <v>&lt;P&gt;Brakes Bracket&lt;/P&gt;&lt;P&gt;Jaguar part name BRAKING SYSTEM/BRAKE DISC AND CALIPERS  - Caliper carrier kit&lt;/P&gt;&lt;P&gt;Product numbers MJD7861AA  (?) MJD7861AA  (?)&lt;/P&gt;&lt;P&gt;Fits starting from VIN/ModelYear 031303 until VIN/ModelYear 042775&lt;/P&gt;&lt;P&gt;Condition: Extra spare&lt;/P&gt;&lt;P&gt; (part source JP)&lt;/P&gt;&lt;P&gt;Notes: &lt;/P&gt;</v>
      </c>
      <c r="AA276" s="20" t="s">
        <v>1171</v>
      </c>
      <c r="AC276" s="20">
        <v>0</v>
      </c>
      <c r="AD276" s="20">
        <v>0</v>
      </c>
      <c r="AE276" s="20" t="s">
        <v>1172</v>
      </c>
      <c r="AF276" s="20">
        <v>7</v>
      </c>
      <c r="AG276" s="20">
        <v>0</v>
      </c>
      <c r="AH276" s="20">
        <v>0</v>
      </c>
      <c r="AI276" s="20">
        <v>0</v>
      </c>
      <c r="AJ276" s="20">
        <v>0</v>
      </c>
      <c r="AK276" s="20">
        <v>0</v>
      </c>
      <c r="AO276" s="20" t="s">
        <v>1173</v>
      </c>
      <c r="AR276" s="20">
        <v>0</v>
      </c>
      <c r="AS276" s="20">
        <v>10112</v>
      </c>
      <c r="AV276" s="20" t="s">
        <v>1174</v>
      </c>
      <c r="AX276" s="20">
        <v>62128510024</v>
      </c>
      <c r="AY276" s="20">
        <v>62035811024</v>
      </c>
      <c r="AZ276" s="20">
        <v>55187694024</v>
      </c>
      <c r="BA276" s="20" t="s">
        <v>1175</v>
      </c>
      <c r="BB276" s="20" t="s">
        <v>1176</v>
      </c>
      <c r="BC276" s="20" t="s">
        <v>1177</v>
      </c>
      <c r="BD276" s="20">
        <v>1</v>
      </c>
      <c r="BE276" s="20">
        <v>0</v>
      </c>
      <c r="BF276" s="20">
        <v>0</v>
      </c>
      <c r="BG276" s="20">
        <v>0</v>
      </c>
      <c r="BN276" s="20" t="s">
        <v>1178</v>
      </c>
      <c r="BV276" s="20">
        <v>0</v>
      </c>
      <c r="CL276" s="20">
        <v>0</v>
      </c>
      <c r="DD276" s="20" t="s">
        <v>1179</v>
      </c>
      <c r="DE276" s="20" t="s">
        <v>1179</v>
      </c>
      <c r="DI276" s="20">
        <v>0</v>
      </c>
      <c r="DP276" s="21" t="s">
        <v>1180</v>
      </c>
      <c r="DQ276" s="21" t="str">
        <f>PartsMaster!$A269</f>
        <v>MJD7861AA  (?)</v>
      </c>
      <c r="DR276" s="21" t="s">
        <v>1181</v>
      </c>
      <c r="DS276" s="21" t="str">
        <f>PartsMaster!$K270&amp;" "&amp;PartsMaster!L270&amp;" "&amp;PartsMaster!$M270</f>
        <v>Rear Left/Right Bottom</v>
      </c>
    </row>
    <row r="277" spans="1:123" hidden="1" x14ac:dyDescent="0.25">
      <c r="A277" s="20" t="s">
        <v>1166</v>
      </c>
      <c r="B277" s="20" t="s">
        <v>1167</v>
      </c>
      <c r="C277" s="20" t="s">
        <v>1168</v>
      </c>
      <c r="D277" s="21" t="str">
        <f>PartsMaster!B270&amp;" "&amp;PartsMaster!$C270</f>
        <v>Jaguar XK8 XKR X100 Wishbone fulcrum bolt</v>
      </c>
      <c r="E277" s="20">
        <v>3000</v>
      </c>
      <c r="F277" s="20" t="s">
        <v>1182</v>
      </c>
      <c r="H277" s="21" t="str">
        <f>PartsMaster!$Q270</f>
        <v>Wishbone fulcrum bolt</v>
      </c>
      <c r="I277" s="20">
        <v>9886</v>
      </c>
      <c r="K277" s="20">
        <v>0</v>
      </c>
      <c r="L277" s="20">
        <v>0</v>
      </c>
      <c r="M277" s="21">
        <f>PartsMaster!$D270</f>
        <v>2</v>
      </c>
      <c r="O277" s="20" t="s">
        <v>1169</v>
      </c>
      <c r="P277" s="23">
        <f>PartsMaster!$S270/1.45</f>
        <v>24.137931034482758</v>
      </c>
      <c r="S277" s="20">
        <v>30</v>
      </c>
      <c r="T277" s="20">
        <v>0</v>
      </c>
      <c r="U277" s="20" t="s">
        <v>1170</v>
      </c>
      <c r="Z277" s="26" t="str">
        <f>"&lt;P&gt;"&amp;PartsMaster!$I270&amp;" "&amp;PartsMaster!$H270&amp;"&lt;/P&gt;"&amp;"&lt;P&gt;Jaguar part name "&amp;PartsMaster!$E270&amp;"&lt;/P&gt;&lt;P&gt;Product numbers "&amp;PartsMaster!R270&amp;" "&amp;DQ277&amp;"&lt;/P&gt;&lt;P&gt;Fits starting from VIN/ModelYear "&amp;PartsMaster!$F270&amp;" until VIN/ModelYear "&amp;PartsMaster!$G270&amp;"&lt;/P&gt;&lt;P&gt;Condition: "&amp;PartsMaster!AB270&amp;"&lt;/P&gt;&lt;P&gt; (part source "&amp;PartsMaster!AD270&amp;")&lt;/P&gt;&lt;P&gt;Notes: "&amp;PartsMaster!AA270&amp;"&lt;/P&gt;"</f>
        <v>&lt;P&gt;Mounting Suspention/rear&lt;/P&gt;&lt;P&gt;Jaguar part name STEERING AND SUSPENTION/SUSPENSION WISHBONES AND ARMS-REAR - Wishbone fulcrum bolt&lt;/P&gt;&lt;P&gt;Product numbers MMB2860AA MMB2860AA&lt;/P&gt;&lt;P&gt;Fits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277" s="20" t="s">
        <v>1171</v>
      </c>
      <c r="AC277" s="20">
        <v>0</v>
      </c>
      <c r="AD277" s="20">
        <v>0</v>
      </c>
      <c r="AE277" s="20" t="s">
        <v>1172</v>
      </c>
      <c r="AF277" s="20">
        <v>7</v>
      </c>
      <c r="AG277" s="20">
        <v>0</v>
      </c>
      <c r="AH277" s="20">
        <v>0</v>
      </c>
      <c r="AI277" s="20">
        <v>0</v>
      </c>
      <c r="AJ277" s="20">
        <v>0</v>
      </c>
      <c r="AK277" s="20">
        <v>0</v>
      </c>
      <c r="AO277" s="20" t="s">
        <v>1173</v>
      </c>
      <c r="AR277" s="20">
        <v>0</v>
      </c>
      <c r="AS277" s="20">
        <v>10112</v>
      </c>
      <c r="AV277" s="20" t="s">
        <v>1174</v>
      </c>
      <c r="AX277" s="20">
        <v>62128510024</v>
      </c>
      <c r="AY277" s="20">
        <v>62035811024</v>
      </c>
      <c r="AZ277" s="20">
        <v>55187694024</v>
      </c>
      <c r="BA277" s="20" t="s">
        <v>1175</v>
      </c>
      <c r="BB277" s="20" t="s">
        <v>1176</v>
      </c>
      <c r="BC277" s="20" t="s">
        <v>1177</v>
      </c>
      <c r="BD277" s="20">
        <v>1</v>
      </c>
      <c r="BE277" s="20">
        <v>0</v>
      </c>
      <c r="BF277" s="20">
        <v>0</v>
      </c>
      <c r="BG277" s="20">
        <v>0</v>
      </c>
      <c r="BN277" s="20" t="s">
        <v>1178</v>
      </c>
      <c r="BV277" s="20">
        <v>0</v>
      </c>
      <c r="CL277" s="20">
        <v>0</v>
      </c>
      <c r="DD277" s="20" t="s">
        <v>1179</v>
      </c>
      <c r="DE277" s="20" t="s">
        <v>1179</v>
      </c>
      <c r="DI277" s="20">
        <v>0</v>
      </c>
      <c r="DP277" s="21" t="s">
        <v>1180</v>
      </c>
      <c r="DQ277" s="21" t="str">
        <f>PartsMaster!$A270</f>
        <v>MMB2860AA</v>
      </c>
      <c r="DR277" s="21" t="s">
        <v>1181</v>
      </c>
      <c r="DS277" s="21" t="str">
        <f>PartsMaster!$K271&amp;" "&amp;PartsMaster!L271&amp;" "&amp;PartsMaster!$M271</f>
        <v>Rear Right Bottom</v>
      </c>
    </row>
    <row r="278" spans="1:123" ht="30" hidden="1" x14ac:dyDescent="0.25">
      <c r="A278" s="20" t="s">
        <v>1166</v>
      </c>
      <c r="B278" s="20" t="s">
        <v>1167</v>
      </c>
      <c r="C278" s="20" t="s">
        <v>1168</v>
      </c>
      <c r="D278" s="21" t="str">
        <f>PartsMaster!B271&amp;" "&amp;PartsMaster!$C271</f>
        <v>Jaguar XK8 XKR X100 Wishbone</v>
      </c>
      <c r="E278" s="20">
        <v>3000</v>
      </c>
      <c r="F278" s="20" t="s">
        <v>1182</v>
      </c>
      <c r="H278" s="21" t="str">
        <f>PartsMaster!$Q271</f>
        <v>Wishbone</v>
      </c>
      <c r="I278" s="20">
        <v>9886</v>
      </c>
      <c r="K278" s="20">
        <v>0</v>
      </c>
      <c r="L278" s="20">
        <v>0</v>
      </c>
      <c r="M278" s="21">
        <f>PartsMaster!$D271</f>
        <v>1</v>
      </c>
      <c r="O278" s="20" t="s">
        <v>1169</v>
      </c>
      <c r="P278" s="23">
        <f>PartsMaster!$S271/1.45</f>
        <v>196.55172413793105</v>
      </c>
      <c r="S278" s="20">
        <v>30</v>
      </c>
      <c r="T278" s="20">
        <v>0</v>
      </c>
      <c r="U278" s="20" t="s">
        <v>1170</v>
      </c>
      <c r="Z278" s="26" t="str">
        <f>"&lt;P&gt;"&amp;PartsMaster!$I271&amp;" "&amp;PartsMaster!$H271&amp;"&lt;/P&gt;"&amp;"&lt;P&gt;Jaguar part name "&amp;PartsMaster!$E271&amp;"&lt;/P&gt;&lt;P&gt;Product numbers "&amp;PartsMaster!R271&amp;" "&amp;DQ278&amp;"&lt;/P&gt;&lt;P&gt;Fits starting from VIN/ModelYear "&amp;PartsMaster!$F271&amp;" until VIN/ModelYear "&amp;PartsMaster!$G271&amp;"&lt;/P&gt;&lt;P&gt;Condition: "&amp;PartsMaster!AB271&amp;"&lt;/P&gt;&lt;P&gt; (part source "&amp;PartsMaster!AD271&amp;")&lt;/P&gt;&lt;P&gt;Notes: "&amp;PartsMaster!AA271&amp;"&lt;/P&gt;"</f>
        <v>&lt;P&gt;Suspension Suspention/rear&lt;/P&gt;&lt;P&gt;Jaguar part name STEERING AND SUSPENTION/SUSPENSION WISHBONES AND ARMS-REAR - Wishbone&lt;/P&gt;&lt;P&gt;Product numbers MMD2960AA MMD2960AA&lt;/P&gt;&lt;P&gt;Fits starting from VIN/ModelYear  until VIN/ModelYear 020347&lt;/P&gt;&lt;P&gt;Condition: Dismantled from bottom &amp; engine damaged MY1997 XK8 Convertible VIN 0136xx&lt;/P&gt;&lt;P&gt; (part source KK)&lt;/P&gt;&lt;P&gt;Notes: &lt;/P&gt;</v>
      </c>
      <c r="AA278" s="20" t="s">
        <v>1171</v>
      </c>
      <c r="AC278" s="20">
        <v>0</v>
      </c>
      <c r="AD278" s="20">
        <v>0</v>
      </c>
      <c r="AE278" s="20" t="s">
        <v>1172</v>
      </c>
      <c r="AF278" s="20">
        <v>7</v>
      </c>
      <c r="AG278" s="20">
        <v>0</v>
      </c>
      <c r="AH278" s="20">
        <v>0</v>
      </c>
      <c r="AI278" s="20">
        <v>0</v>
      </c>
      <c r="AJ278" s="20">
        <v>0</v>
      </c>
      <c r="AK278" s="20">
        <v>0</v>
      </c>
      <c r="AO278" s="20" t="s">
        <v>1173</v>
      </c>
      <c r="AR278" s="20">
        <v>0</v>
      </c>
      <c r="AS278" s="20">
        <v>10112</v>
      </c>
      <c r="AV278" s="20" t="s">
        <v>1174</v>
      </c>
      <c r="AX278" s="20">
        <v>62128510024</v>
      </c>
      <c r="AY278" s="20">
        <v>62035811024</v>
      </c>
      <c r="AZ278" s="20">
        <v>55187694024</v>
      </c>
      <c r="BA278" s="20" t="s">
        <v>1175</v>
      </c>
      <c r="BB278" s="20" t="s">
        <v>1176</v>
      </c>
      <c r="BC278" s="20" t="s">
        <v>1177</v>
      </c>
      <c r="BD278" s="20">
        <v>1</v>
      </c>
      <c r="BE278" s="20">
        <v>0</v>
      </c>
      <c r="BF278" s="20">
        <v>0</v>
      </c>
      <c r="BG278" s="20">
        <v>0</v>
      </c>
      <c r="BN278" s="20" t="s">
        <v>1178</v>
      </c>
      <c r="BV278" s="20">
        <v>0</v>
      </c>
      <c r="CL278" s="20">
        <v>0</v>
      </c>
      <c r="DD278" s="20" t="s">
        <v>1179</v>
      </c>
      <c r="DE278" s="20" t="s">
        <v>1179</v>
      </c>
      <c r="DI278" s="20">
        <v>0</v>
      </c>
      <c r="DP278" s="21" t="s">
        <v>1180</v>
      </c>
      <c r="DQ278" s="21" t="str">
        <f>PartsMaster!$A271</f>
        <v>MMD2960AA</v>
      </c>
      <c r="DR278" s="21" t="s">
        <v>1181</v>
      </c>
      <c r="DS278" s="21" t="str">
        <f>PartsMaster!$K272&amp;" "&amp;PartsMaster!L272&amp;" "&amp;PartsMaster!$M272</f>
        <v>Rear Left Bottom</v>
      </c>
    </row>
    <row r="279" spans="1:123" ht="30" hidden="1" x14ac:dyDescent="0.25">
      <c r="A279" s="20" t="s">
        <v>1166</v>
      </c>
      <c r="B279" s="20" t="s">
        <v>1167</v>
      </c>
      <c r="C279" s="20" t="s">
        <v>1168</v>
      </c>
      <c r="D279" s="21" t="str">
        <f>PartsMaster!B272&amp;" "&amp;PartsMaster!$C272</f>
        <v>Jaguar XK8 XKR X100 Wishbone</v>
      </c>
      <c r="E279" s="20">
        <v>3000</v>
      </c>
      <c r="F279" s="20" t="s">
        <v>1182</v>
      </c>
      <c r="H279" s="21" t="str">
        <f>PartsMaster!$Q272</f>
        <v>Wishbone</v>
      </c>
      <c r="I279" s="20">
        <v>9886</v>
      </c>
      <c r="K279" s="20">
        <v>0</v>
      </c>
      <c r="L279" s="20">
        <v>0</v>
      </c>
      <c r="M279" s="21">
        <f>PartsMaster!$D272</f>
        <v>1</v>
      </c>
      <c r="O279" s="20" t="s">
        <v>1169</v>
      </c>
      <c r="P279" s="23">
        <f>PartsMaster!$S272/1.45</f>
        <v>196.55172413793105</v>
      </c>
      <c r="S279" s="20">
        <v>30</v>
      </c>
      <c r="T279" s="20">
        <v>0</v>
      </c>
      <c r="U279" s="20" t="s">
        <v>1170</v>
      </c>
      <c r="Z279" s="26" t="str">
        <f>"&lt;P&gt;"&amp;PartsMaster!$I272&amp;" "&amp;PartsMaster!$H272&amp;"&lt;/P&gt;"&amp;"&lt;P&gt;Jaguar part name "&amp;PartsMaster!$E272&amp;"&lt;/P&gt;&lt;P&gt;Product numbers "&amp;PartsMaster!R272&amp;" "&amp;DQ279&amp;"&lt;/P&gt;&lt;P&gt;Fits starting from VIN/ModelYear "&amp;PartsMaster!$F272&amp;" until VIN/ModelYear "&amp;PartsMaster!$G272&amp;"&lt;/P&gt;&lt;P&gt;Condition: "&amp;PartsMaster!AB272&amp;"&lt;/P&gt;&lt;P&gt; (part source "&amp;PartsMaster!AD272&amp;")&lt;/P&gt;&lt;P&gt;Notes: "&amp;PartsMaster!AA272&amp;"&lt;/P&gt;"</f>
        <v>&lt;P&gt;Suspension Suspention/rear&lt;/P&gt;&lt;P&gt;Jaguar part name STEERING AND SUSPENTION/SUSPENSION WISHBONES AND ARMS-REAR - Wishbone&lt;/P&gt;&lt;P&gt;Product numbers MMD2961AA MMD2961AA&lt;/P&gt;&lt;P&gt;Fits starting from VIN/ModelYear  until VIN/ModelYear 020347&lt;/P&gt;&lt;P&gt;Condition: Dismantled from bottom &amp; engine damaged MY1997 XK8 Convertible VIN 0136xx&lt;/P&gt;&lt;P&gt; (part source KK)&lt;/P&gt;&lt;P&gt;Notes: &lt;/P&gt;</v>
      </c>
      <c r="AA279" s="20" t="s">
        <v>1171</v>
      </c>
      <c r="AC279" s="20">
        <v>0</v>
      </c>
      <c r="AD279" s="20">
        <v>0</v>
      </c>
      <c r="AE279" s="20" t="s">
        <v>1172</v>
      </c>
      <c r="AF279" s="20">
        <v>7</v>
      </c>
      <c r="AG279" s="20">
        <v>0</v>
      </c>
      <c r="AH279" s="20">
        <v>0</v>
      </c>
      <c r="AI279" s="20">
        <v>0</v>
      </c>
      <c r="AJ279" s="20">
        <v>0</v>
      </c>
      <c r="AK279" s="20">
        <v>0</v>
      </c>
      <c r="AO279" s="20" t="s">
        <v>1173</v>
      </c>
      <c r="AR279" s="20">
        <v>0</v>
      </c>
      <c r="AS279" s="20">
        <v>10112</v>
      </c>
      <c r="AV279" s="20" t="s">
        <v>1174</v>
      </c>
      <c r="AX279" s="20">
        <v>62128510024</v>
      </c>
      <c r="AY279" s="20">
        <v>62035811024</v>
      </c>
      <c r="AZ279" s="20">
        <v>55187694024</v>
      </c>
      <c r="BA279" s="20" t="s">
        <v>1175</v>
      </c>
      <c r="BB279" s="20" t="s">
        <v>1176</v>
      </c>
      <c r="BC279" s="20" t="s">
        <v>1177</v>
      </c>
      <c r="BD279" s="20">
        <v>1</v>
      </c>
      <c r="BE279" s="20">
        <v>0</v>
      </c>
      <c r="BF279" s="20">
        <v>0</v>
      </c>
      <c r="BG279" s="20">
        <v>0</v>
      </c>
      <c r="BN279" s="20" t="s">
        <v>1178</v>
      </c>
      <c r="BV279" s="20">
        <v>0</v>
      </c>
      <c r="CL279" s="20">
        <v>0</v>
      </c>
      <c r="DD279" s="20" t="s">
        <v>1179</v>
      </c>
      <c r="DE279" s="20" t="s">
        <v>1179</v>
      </c>
      <c r="DI279" s="20">
        <v>0</v>
      </c>
      <c r="DP279" s="21" t="s">
        <v>1180</v>
      </c>
      <c r="DQ279" s="21" t="str">
        <f>PartsMaster!$A272</f>
        <v>MMD2961AA</v>
      </c>
      <c r="DR279" s="21" t="s">
        <v>1181</v>
      </c>
      <c r="DS279" s="21" t="str">
        <f>PartsMaster!$K273&amp;" "&amp;PartsMaster!L273&amp;" "&amp;PartsMaster!$M273</f>
        <v xml:space="preserve">  </v>
      </c>
    </row>
    <row r="280" spans="1:123" ht="30" hidden="1" x14ac:dyDescent="0.25">
      <c r="A280" s="20" t="s">
        <v>1166</v>
      </c>
      <c r="B280" s="20" t="s">
        <v>1167</v>
      </c>
      <c r="C280" s="20" t="s">
        <v>1168</v>
      </c>
      <c r="D280" s="21" t="str">
        <f>PartsMaster!B273&amp;" "&amp;PartsMaster!$C273</f>
        <v>Jaguar XK8 XKR X100 ROLL BAR LINK-REAR WITH BUSHES</v>
      </c>
      <c r="E280" s="20">
        <v>3000</v>
      </c>
      <c r="F280" s="20" t="s">
        <v>1182</v>
      </c>
      <c r="H280" s="21" t="str">
        <f>PartsMaster!$Q273</f>
        <v>ROLL BAR LINK-REAR WITH BUSHES</v>
      </c>
      <c r="I280" s="20">
        <v>9886</v>
      </c>
      <c r="K280" s="20">
        <v>0</v>
      </c>
      <c r="L280" s="20">
        <v>0</v>
      </c>
      <c r="M280" s="21">
        <f>PartsMaster!$D273</f>
        <v>0</v>
      </c>
      <c r="O280" s="20" t="s">
        <v>1169</v>
      </c>
      <c r="P280" s="23">
        <f>PartsMaster!$S273/1.45</f>
        <v>0</v>
      </c>
      <c r="S280" s="20">
        <v>30</v>
      </c>
      <c r="T280" s="20">
        <v>0</v>
      </c>
      <c r="U280" s="20" t="s">
        <v>1170</v>
      </c>
      <c r="Z280" s="26" t="str">
        <f>"&lt;P&gt;"&amp;PartsMaster!$I273&amp;" "&amp;PartsMaster!$H273&amp;"&lt;/P&gt;"&amp;"&lt;P&gt;Jaguar part name "&amp;PartsMaster!$E273&amp;"&lt;/P&gt;&lt;P&gt;Product numbers "&amp;PartsMaster!R273&amp;" "&amp;DQ280&amp;"&lt;/P&gt;&lt;P&gt;Fits starting from VIN/ModelYear "&amp;PartsMaster!$F273&amp;" until VIN/ModelYear "&amp;PartsMaster!$G273&amp;"&lt;/P&gt;&lt;P&gt;Condition: "&amp;PartsMaster!AB273&amp;"&lt;/P&gt;&lt;P&gt; (part source "&amp;PartsMaster!AD273&amp;")&lt;/P&gt;&lt;P&gt;Notes: "&amp;PartsMaster!AA273&amp;"&lt;/P&gt;"</f>
        <v>&lt;P&gt;Suspension Suspension Link&lt;/P&gt;&lt;P&gt;Jaguar part name &lt;/P&gt;&lt;P&gt;Product numbers MNA3505AE MNA3505AE&lt;/P&gt;&lt;P&gt;Fits starting from VIN/ModelYear  until VIN/ModelYear &lt;/P&gt;&lt;P&gt;Condition: British Parts&lt;/P&gt;&lt;P&gt; (part source )&lt;/P&gt;&lt;P&gt;Notes: &lt;/P&gt;</v>
      </c>
      <c r="AA280" s="20" t="s">
        <v>1171</v>
      </c>
      <c r="AC280" s="20">
        <v>0</v>
      </c>
      <c r="AD280" s="20">
        <v>0</v>
      </c>
      <c r="AE280" s="20" t="s">
        <v>1172</v>
      </c>
      <c r="AF280" s="20">
        <v>7</v>
      </c>
      <c r="AG280" s="20">
        <v>0</v>
      </c>
      <c r="AH280" s="20">
        <v>0</v>
      </c>
      <c r="AI280" s="20">
        <v>0</v>
      </c>
      <c r="AJ280" s="20">
        <v>0</v>
      </c>
      <c r="AK280" s="20">
        <v>0</v>
      </c>
      <c r="AO280" s="20" t="s">
        <v>1173</v>
      </c>
      <c r="AR280" s="20">
        <v>0</v>
      </c>
      <c r="AS280" s="20">
        <v>10112</v>
      </c>
      <c r="AV280" s="20" t="s">
        <v>1174</v>
      </c>
      <c r="AX280" s="20">
        <v>62128510024</v>
      </c>
      <c r="AY280" s="20">
        <v>62035811024</v>
      </c>
      <c r="AZ280" s="20">
        <v>55187694024</v>
      </c>
      <c r="BA280" s="20" t="s">
        <v>1175</v>
      </c>
      <c r="BB280" s="20" t="s">
        <v>1176</v>
      </c>
      <c r="BC280" s="20" t="s">
        <v>1177</v>
      </c>
      <c r="BD280" s="20">
        <v>1</v>
      </c>
      <c r="BE280" s="20">
        <v>0</v>
      </c>
      <c r="BF280" s="20">
        <v>0</v>
      </c>
      <c r="BG280" s="20">
        <v>0</v>
      </c>
      <c r="BN280" s="20" t="s">
        <v>1178</v>
      </c>
      <c r="BV280" s="20">
        <v>0</v>
      </c>
      <c r="CL280" s="20">
        <v>0</v>
      </c>
      <c r="DD280" s="20" t="s">
        <v>1179</v>
      </c>
      <c r="DE280" s="20" t="s">
        <v>1179</v>
      </c>
      <c r="DI280" s="20">
        <v>0</v>
      </c>
      <c r="DP280" s="21" t="s">
        <v>1180</v>
      </c>
      <c r="DQ280" s="21" t="str">
        <f>PartsMaster!$A273</f>
        <v>MNA3505AE</v>
      </c>
      <c r="DR280" s="21" t="s">
        <v>1181</v>
      </c>
      <c r="DS280" s="21" t="str">
        <f>PartsMaster!$K274&amp;" "&amp;PartsMaster!L274&amp;" "&amp;PartsMaster!$M274</f>
        <v xml:space="preserve">FrontRear LeftRight </v>
      </c>
    </row>
    <row r="281" spans="1:123" ht="30" hidden="1" x14ac:dyDescent="0.25">
      <c r="A281" s="20" t="s">
        <v>1166</v>
      </c>
      <c r="B281" s="20" t="s">
        <v>1167</v>
      </c>
      <c r="C281" s="20" t="s">
        <v>1168</v>
      </c>
      <c r="D281" s="21" t="str">
        <f>PartsMaster!B274&amp;" "&amp;PartsMaster!$C274</f>
        <v>Jaguar XK8 XKR X100 XJ8 XJR X308 Locking wheel nut + Cap -kit</v>
      </c>
      <c r="E281" s="20">
        <v>3000</v>
      </c>
      <c r="F281" s="20" t="s">
        <v>1182</v>
      </c>
      <c r="H281" s="21">
        <f>PartsMaster!$Q274</f>
        <v>0</v>
      </c>
      <c r="I281" s="20">
        <v>9886</v>
      </c>
      <c r="K281" s="20">
        <v>0</v>
      </c>
      <c r="L281" s="20">
        <v>0</v>
      </c>
      <c r="M281" s="21">
        <f>PartsMaster!$D274</f>
        <v>0</v>
      </c>
      <c r="O281" s="20" t="s">
        <v>1169</v>
      </c>
      <c r="P281" s="23">
        <f>PartsMaster!$S274/1.45</f>
        <v>34.482758620689658</v>
      </c>
      <c r="S281" s="20">
        <v>30</v>
      </c>
      <c r="T281" s="20">
        <v>0</v>
      </c>
      <c r="U281" s="20" t="s">
        <v>1170</v>
      </c>
      <c r="Z281" s="26" t="str">
        <f>"&lt;P&gt;"&amp;PartsMaster!$I274&amp;" "&amp;PartsMaster!$H274&amp;"&lt;/P&gt;"&amp;"&lt;P&gt;Jaguar part name "&amp;PartsMaster!$E274&amp;"&lt;/P&gt;&lt;P&gt;Product numbers "&amp;PartsMaster!R274&amp;" "&amp;DQ281&amp;"&lt;/P&gt;&lt;P&gt;Fits starting from VIN/ModelYear "&amp;PartsMaster!$F274&amp;" until VIN/ModelYear "&amp;PartsMaster!$G274&amp;"&lt;/P&gt;&lt;P&gt;Condition: "&amp;PartsMaster!AB274&amp;"&lt;/P&gt;&lt;P&gt; (part source "&amp;PartsMaster!AD274&amp;")&lt;/P&gt;&lt;P&gt;Notes: "&amp;PartsMaster!AA274&amp;"&lt;/P&gt;"</f>
        <v>&lt;P&gt;Wheels / Rims Nut&lt;/P&gt;&lt;P&gt;Jaguar part name STEERING AND SUSPENSION/WHEELS - Locking wheel nut + Cap&lt;/P&gt;&lt;P&gt;Product numbers  MNA6264AA+Cap-MNA6266AA&lt;/P&gt;&lt;P&gt;Fits starting from VIN/ModelYear X100 MY1996 - X308 MY1998 until VIN/ModelYear X100 MY2006 - X308 All&lt;/P&gt;&lt;P&gt;Condition: &lt;/P&gt;&lt;P&gt; (part source )&lt;/P&gt;&lt;P&gt;Notes: &lt;/P&gt;</v>
      </c>
      <c r="AA281" s="20" t="s">
        <v>1171</v>
      </c>
      <c r="AC281" s="20">
        <v>0</v>
      </c>
      <c r="AD281" s="20">
        <v>0</v>
      </c>
      <c r="AE281" s="20" t="s">
        <v>1172</v>
      </c>
      <c r="AF281" s="20">
        <v>7</v>
      </c>
      <c r="AG281" s="20">
        <v>0</v>
      </c>
      <c r="AH281" s="20">
        <v>0</v>
      </c>
      <c r="AI281" s="20">
        <v>0</v>
      </c>
      <c r="AJ281" s="20">
        <v>0</v>
      </c>
      <c r="AK281" s="20">
        <v>0</v>
      </c>
      <c r="AO281" s="20" t="s">
        <v>1173</v>
      </c>
      <c r="AR281" s="20">
        <v>0</v>
      </c>
      <c r="AS281" s="20">
        <v>10112</v>
      </c>
      <c r="AV281" s="20" t="s">
        <v>1174</v>
      </c>
      <c r="AX281" s="20">
        <v>62128510024</v>
      </c>
      <c r="AY281" s="20">
        <v>62035811024</v>
      </c>
      <c r="AZ281" s="20">
        <v>55187694024</v>
      </c>
      <c r="BA281" s="20" t="s">
        <v>1175</v>
      </c>
      <c r="BB281" s="20" t="s">
        <v>1176</v>
      </c>
      <c r="BC281" s="20" t="s">
        <v>1177</v>
      </c>
      <c r="BD281" s="20">
        <v>1</v>
      </c>
      <c r="BE281" s="20">
        <v>0</v>
      </c>
      <c r="BF281" s="20">
        <v>0</v>
      </c>
      <c r="BG281" s="20">
        <v>0</v>
      </c>
      <c r="BN281" s="20" t="s">
        <v>1178</v>
      </c>
      <c r="BV281" s="20">
        <v>0</v>
      </c>
      <c r="CL281" s="20">
        <v>0</v>
      </c>
      <c r="DD281" s="20" t="s">
        <v>1179</v>
      </c>
      <c r="DE281" s="20" t="s">
        <v>1179</v>
      </c>
      <c r="DI281" s="20">
        <v>0</v>
      </c>
      <c r="DP281" s="21" t="s">
        <v>1180</v>
      </c>
      <c r="DQ281" s="21" t="str">
        <f>PartsMaster!$A274</f>
        <v>MNA6264AA+Cap-MNA6266AA</v>
      </c>
      <c r="DR281" s="21" t="s">
        <v>1181</v>
      </c>
      <c r="DS281" s="21" t="str">
        <f>PartsMaster!$K275&amp;" "&amp;PartsMaster!L275&amp;" "&amp;PartsMaster!$M275</f>
        <v>Center Center Bottom</v>
      </c>
    </row>
    <row r="282" spans="1:123" ht="30" hidden="1" x14ac:dyDescent="0.25">
      <c r="A282" s="20" t="s">
        <v>1166</v>
      </c>
      <c r="B282" s="20" t="s">
        <v>1167</v>
      </c>
      <c r="C282" s="20" t="s">
        <v>1168</v>
      </c>
      <c r="D282" s="21" t="str">
        <f>PartsMaster!B275&amp;" "&amp;PartsMaster!$C275</f>
        <v xml:space="preserve">Jaguar XK8 XKR X100 Air Conditioning Water valve </v>
      </c>
      <c r="E282" s="20">
        <v>3000</v>
      </c>
      <c r="F282" s="20" t="s">
        <v>1182</v>
      </c>
      <c r="H282" s="21">
        <f>PartsMaster!$Q275</f>
        <v>0</v>
      </c>
      <c r="I282" s="20">
        <v>9886</v>
      </c>
      <c r="K282" s="20">
        <v>0</v>
      </c>
      <c r="L282" s="20">
        <v>0</v>
      </c>
      <c r="M282" s="21">
        <f>PartsMaster!$D275</f>
        <v>0</v>
      </c>
      <c r="O282" s="20" t="s">
        <v>1169</v>
      </c>
      <c r="P282" s="23">
        <f>PartsMaster!$S275/1.45</f>
        <v>0</v>
      </c>
      <c r="S282" s="20">
        <v>30</v>
      </c>
      <c r="T282" s="20">
        <v>0</v>
      </c>
      <c r="U282" s="20" t="s">
        <v>1170</v>
      </c>
      <c r="Z282" s="26" t="str">
        <f>"&lt;P&gt;"&amp;PartsMaster!$I275&amp;" "&amp;PartsMaster!$H275&amp;"&lt;/P&gt;"&amp;"&lt;P&gt;Jaguar part name "&amp;PartsMaster!$E275&amp;"&lt;/P&gt;&lt;P&gt;Product numbers "&amp;PartsMaster!R275&amp;" "&amp;DQ282&amp;"&lt;/P&gt;&lt;P&gt;Fits starting from VIN/ModelYear "&amp;PartsMaster!$F275&amp;" until VIN/ModelYear "&amp;PartsMaster!$G275&amp;"&lt;/P&gt;&lt;P&gt;Condition: "&amp;PartsMaster!AB275&amp;"&lt;/P&gt;&lt;P&gt; (part source "&amp;PartsMaster!AD275&amp;")&lt;/P&gt;&lt;P&gt;Notes: "&amp;PartsMaster!AA275&amp;"&lt;/P&gt;"</f>
        <v>&lt;P&gt;Air Conditioning Pump&lt;/P&gt;&lt;P&gt;Jaguar part name Water valve&lt;/P&gt;&lt;P&gt;Product numbers  MNA6711AC &lt;/P&gt;&lt;P&gt;Fits starting from VIN/ModelYear  until VIN/ModelYear 042775&lt;/P&gt;&lt;P&gt;Condition: &lt;/P&gt;&lt;P&gt; (part source )&lt;/P&gt;&lt;P&gt;Notes: &lt;/P&gt;</v>
      </c>
      <c r="AA282" s="20" t="s">
        <v>1171</v>
      </c>
      <c r="AC282" s="20">
        <v>0</v>
      </c>
      <c r="AD282" s="20">
        <v>0</v>
      </c>
      <c r="AE282" s="20" t="s">
        <v>1172</v>
      </c>
      <c r="AF282" s="20">
        <v>7</v>
      </c>
      <c r="AG282" s="20">
        <v>0</v>
      </c>
      <c r="AH282" s="20">
        <v>0</v>
      </c>
      <c r="AI282" s="20">
        <v>0</v>
      </c>
      <c r="AJ282" s="20">
        <v>0</v>
      </c>
      <c r="AK282" s="20">
        <v>0</v>
      </c>
      <c r="AO282" s="20" t="s">
        <v>1173</v>
      </c>
      <c r="AR282" s="20">
        <v>0</v>
      </c>
      <c r="AS282" s="20">
        <v>10112</v>
      </c>
      <c r="AV282" s="20" t="s">
        <v>1174</v>
      </c>
      <c r="AX282" s="20">
        <v>62128510024</v>
      </c>
      <c r="AY282" s="20">
        <v>62035811024</v>
      </c>
      <c r="AZ282" s="20">
        <v>55187694024</v>
      </c>
      <c r="BA282" s="20" t="s">
        <v>1175</v>
      </c>
      <c r="BB282" s="20" t="s">
        <v>1176</v>
      </c>
      <c r="BC282" s="20" t="s">
        <v>1177</v>
      </c>
      <c r="BD282" s="20">
        <v>1</v>
      </c>
      <c r="BE282" s="20">
        <v>0</v>
      </c>
      <c r="BF282" s="20">
        <v>0</v>
      </c>
      <c r="BG282" s="20">
        <v>0</v>
      </c>
      <c r="BN282" s="20" t="s">
        <v>1178</v>
      </c>
      <c r="BV282" s="20">
        <v>0</v>
      </c>
      <c r="CL282" s="20">
        <v>0</v>
      </c>
      <c r="DD282" s="20" t="s">
        <v>1179</v>
      </c>
      <c r="DE282" s="20" t="s">
        <v>1179</v>
      </c>
      <c r="DI282" s="20">
        <v>0</v>
      </c>
      <c r="DP282" s="21" t="s">
        <v>1180</v>
      </c>
      <c r="DQ282" s="21" t="str">
        <f>PartsMaster!$A275</f>
        <v xml:space="preserve">MNA6711AC </v>
      </c>
      <c r="DR282" s="21" t="s">
        <v>1181</v>
      </c>
      <c r="DS282" s="21" t="str">
        <f>PartsMaster!$K276&amp;" "&amp;PartsMaster!L276&amp;" "&amp;PartsMaster!$M276</f>
        <v>Center Center Bottom</v>
      </c>
    </row>
    <row r="283" spans="1:123" hidden="1" x14ac:dyDescent="0.25">
      <c r="A283" s="20" t="s">
        <v>1166</v>
      </c>
      <c r="B283" s="20" t="s">
        <v>1167</v>
      </c>
      <c r="C283" s="20" t="s">
        <v>1168</v>
      </c>
      <c r="D283" s="21" t="str">
        <f>PartsMaster!B276&amp;" "&amp;PartsMaster!$C276</f>
        <v xml:space="preserve">Jaguar XK8 XKR X100 Air Conditioning Water valve </v>
      </c>
      <c r="E283" s="20">
        <v>3000</v>
      </c>
      <c r="F283" s="20" t="s">
        <v>1182</v>
      </c>
      <c r="H283" s="21">
        <f>PartsMaster!$Q276</f>
        <v>0</v>
      </c>
      <c r="I283" s="20">
        <v>9886</v>
      </c>
      <c r="K283" s="20">
        <v>0</v>
      </c>
      <c r="L283" s="20">
        <v>0</v>
      </c>
      <c r="M283" s="21">
        <f>PartsMaster!$D276</f>
        <v>0</v>
      </c>
      <c r="O283" s="20" t="s">
        <v>1169</v>
      </c>
      <c r="P283" s="23">
        <f>PartsMaster!$S276/1.45</f>
        <v>0</v>
      </c>
      <c r="S283" s="20">
        <v>30</v>
      </c>
      <c r="T283" s="20">
        <v>0</v>
      </c>
      <c r="U283" s="20" t="s">
        <v>1170</v>
      </c>
      <c r="Z283" s="26" t="str">
        <f>"&lt;P&gt;"&amp;PartsMaster!$I276&amp;" "&amp;PartsMaster!$H276&amp;"&lt;/P&gt;"&amp;"&lt;P&gt;Jaguar part name "&amp;PartsMaster!$E276&amp;"&lt;/P&gt;&lt;P&gt;Product numbers "&amp;PartsMaster!R276&amp;" "&amp;DQ283&amp;"&lt;/P&gt;&lt;P&gt;Fits starting from VIN/ModelYear "&amp;PartsMaster!$F276&amp;" until VIN/ModelYear "&amp;PartsMaster!$G276&amp;"&lt;/P&gt;&lt;P&gt;Condition: "&amp;PartsMaster!AB276&amp;"&lt;/P&gt;&lt;P&gt; (part source "&amp;PartsMaster!AD276&amp;")&lt;/P&gt;&lt;P&gt;Notes: "&amp;PartsMaster!AA276&amp;"&lt;/P&gt;"</f>
        <v>&lt;P&gt;Air Conditioning Pump&lt;/P&gt;&lt;P&gt;Jaguar part name Water valve&lt;/P&gt;&lt;P&gt;Product numbers  MNA6711AC &lt;/P&gt;&lt;P&gt;Fits starting from VIN/ModelYear A00083 until VIN/ModelYear A30644&lt;/P&gt;&lt;P&gt;Condition: &lt;/P&gt;&lt;P&gt; (part source )&lt;/P&gt;&lt;P&gt;Notes: &lt;/P&gt;</v>
      </c>
      <c r="AA283" s="20" t="s">
        <v>1171</v>
      </c>
      <c r="AC283" s="20">
        <v>0</v>
      </c>
      <c r="AD283" s="20">
        <v>0</v>
      </c>
      <c r="AE283" s="20" t="s">
        <v>1172</v>
      </c>
      <c r="AF283" s="20">
        <v>7</v>
      </c>
      <c r="AG283" s="20">
        <v>0</v>
      </c>
      <c r="AH283" s="20">
        <v>0</v>
      </c>
      <c r="AI283" s="20">
        <v>0</v>
      </c>
      <c r="AJ283" s="20">
        <v>0</v>
      </c>
      <c r="AK283" s="20">
        <v>0</v>
      </c>
      <c r="AO283" s="20" t="s">
        <v>1173</v>
      </c>
      <c r="AR283" s="20">
        <v>0</v>
      </c>
      <c r="AS283" s="20">
        <v>10112</v>
      </c>
      <c r="AV283" s="20" t="s">
        <v>1174</v>
      </c>
      <c r="AX283" s="20">
        <v>62128510024</v>
      </c>
      <c r="AY283" s="20">
        <v>62035811024</v>
      </c>
      <c r="AZ283" s="20">
        <v>55187694024</v>
      </c>
      <c r="BA283" s="20" t="s">
        <v>1175</v>
      </c>
      <c r="BB283" s="20" t="s">
        <v>1176</v>
      </c>
      <c r="BC283" s="20" t="s">
        <v>1177</v>
      </c>
      <c r="BD283" s="20">
        <v>1</v>
      </c>
      <c r="BE283" s="20">
        <v>0</v>
      </c>
      <c r="BF283" s="20">
        <v>0</v>
      </c>
      <c r="BG283" s="20">
        <v>0</v>
      </c>
      <c r="BN283" s="20" t="s">
        <v>1178</v>
      </c>
      <c r="BV283" s="20">
        <v>0</v>
      </c>
      <c r="CL283" s="20">
        <v>0</v>
      </c>
      <c r="DD283" s="20" t="s">
        <v>1179</v>
      </c>
      <c r="DE283" s="20" t="s">
        <v>1179</v>
      </c>
      <c r="DI283" s="20">
        <v>0</v>
      </c>
      <c r="DP283" s="21" t="s">
        <v>1180</v>
      </c>
      <c r="DQ283" s="21" t="str">
        <f>PartsMaster!$A276</f>
        <v xml:space="preserve">MNA6711AC </v>
      </c>
      <c r="DR283" s="21" t="s">
        <v>1181</v>
      </c>
      <c r="DS283" s="21" t="str">
        <f>PartsMaster!$K277&amp;" "&amp;PartsMaster!L277&amp;" "&amp;PartsMaster!$M277</f>
        <v xml:space="preserve">Front Right </v>
      </c>
    </row>
    <row r="284" spans="1:123" ht="30" hidden="1" x14ac:dyDescent="0.25">
      <c r="A284" s="20" t="s">
        <v>1166</v>
      </c>
      <c r="B284" s="20" t="s">
        <v>1167</v>
      </c>
      <c r="C284" s="20" t="s">
        <v>1168</v>
      </c>
      <c r="D284" s="21" t="str">
        <f>PartsMaster!B277&amp;" "&amp;PartsMaster!$C277</f>
        <v>Jaguar XK8 XKR X100 Wheel Hub Vertical Link</v>
      </c>
      <c r="E284" s="20">
        <v>3000</v>
      </c>
      <c r="F284" s="20" t="s">
        <v>1182</v>
      </c>
      <c r="H284" s="21" t="str">
        <f>PartsMaster!$Q277</f>
        <v>Wheel Hub Vertical Link</v>
      </c>
      <c r="I284" s="20">
        <v>9886</v>
      </c>
      <c r="K284" s="20">
        <v>0</v>
      </c>
      <c r="L284" s="20">
        <v>0</v>
      </c>
      <c r="M284" s="21">
        <f>PartsMaster!$D277</f>
        <v>2</v>
      </c>
      <c r="O284" s="20" t="s">
        <v>1169</v>
      </c>
      <c r="P284" s="23">
        <f>PartsMaster!$S277/1.45</f>
        <v>0</v>
      </c>
      <c r="S284" s="20">
        <v>30</v>
      </c>
      <c r="T284" s="20">
        <v>0</v>
      </c>
      <c r="U284" s="20" t="s">
        <v>1170</v>
      </c>
      <c r="Z284" s="26" t="str">
        <f>"&lt;P&gt;"&amp;PartsMaster!$I277&amp;" "&amp;PartsMaster!$H277&amp;"&lt;/P&gt;"&amp;"&lt;P&gt;Jaguar part name "&amp;PartsMaster!$E277&amp;"&lt;/P&gt;&lt;P&gt;Product numbers "&amp;PartsMaster!R277&amp;" "&amp;DQ284&amp;"&lt;/P&gt;&lt;P&gt;Fits starting from VIN/ModelYear "&amp;PartsMaster!$F277&amp;" until VIN/ModelYear "&amp;PartsMaster!$G277&amp;"&lt;/P&gt;&lt;P&gt;Condition: "&amp;PartsMaster!AB277&amp;"&lt;/P&gt;&lt;P&gt; (part source "&amp;PartsMaster!AD277&amp;")&lt;/P&gt;&lt;P&gt;Notes: "&amp;PartsMaster!AA277&amp;"&lt;/P&gt;"</f>
        <v>&lt;P&gt;Wheels / Rims Rim / Wheel&lt;/P&gt;&lt;P&gt;Jaguar part name STEERING AND SUSPENSION/WISHBONE AND HUB ASSEMBLY-FRONT - Vertical Link RH&lt;/P&gt;&lt;P&gt;Product numbers MNC1628AA MNC1628AA&lt;/P&gt;&lt;P&gt;Fits starting from VIN/ModelYear 031303 until VIN/ModelYear 042775&lt;/P&gt;&lt;P&gt;Condition: Extra spare&lt;/P&gt;&lt;P&gt; (part source JP)&lt;/P&gt;&lt;P&gt;Notes: &lt;/P&gt;</v>
      </c>
      <c r="AA284" s="20" t="s">
        <v>1171</v>
      </c>
      <c r="AC284" s="20">
        <v>0</v>
      </c>
      <c r="AD284" s="20">
        <v>0</v>
      </c>
      <c r="AE284" s="20" t="s">
        <v>1172</v>
      </c>
      <c r="AF284" s="20">
        <v>7</v>
      </c>
      <c r="AG284" s="20">
        <v>0</v>
      </c>
      <c r="AH284" s="20">
        <v>0</v>
      </c>
      <c r="AI284" s="20">
        <v>0</v>
      </c>
      <c r="AJ284" s="20">
        <v>0</v>
      </c>
      <c r="AK284" s="20">
        <v>0</v>
      </c>
      <c r="AO284" s="20" t="s">
        <v>1173</v>
      </c>
      <c r="AR284" s="20">
        <v>0</v>
      </c>
      <c r="AS284" s="20">
        <v>10112</v>
      </c>
      <c r="AV284" s="20" t="s">
        <v>1174</v>
      </c>
      <c r="AX284" s="20">
        <v>62128510024</v>
      </c>
      <c r="AY284" s="20">
        <v>62035811024</v>
      </c>
      <c r="AZ284" s="20">
        <v>55187694024</v>
      </c>
      <c r="BA284" s="20" t="s">
        <v>1175</v>
      </c>
      <c r="BB284" s="20" t="s">
        <v>1176</v>
      </c>
      <c r="BC284" s="20" t="s">
        <v>1177</v>
      </c>
      <c r="BD284" s="20">
        <v>1</v>
      </c>
      <c r="BE284" s="20">
        <v>0</v>
      </c>
      <c r="BF284" s="20">
        <v>0</v>
      </c>
      <c r="BG284" s="20">
        <v>0</v>
      </c>
      <c r="BN284" s="20" t="s">
        <v>1178</v>
      </c>
      <c r="BV284" s="20">
        <v>0</v>
      </c>
      <c r="CL284" s="20">
        <v>0</v>
      </c>
      <c r="DD284" s="20" t="s">
        <v>1179</v>
      </c>
      <c r="DE284" s="20" t="s">
        <v>1179</v>
      </c>
      <c r="DI284" s="20">
        <v>0</v>
      </c>
      <c r="DP284" s="21" t="s">
        <v>1180</v>
      </c>
      <c r="DQ284" s="21" t="str">
        <f>PartsMaster!$A277</f>
        <v>MNC1628AA</v>
      </c>
      <c r="DR284" s="21" t="s">
        <v>1181</v>
      </c>
      <c r="DS284" s="21" t="str">
        <f>PartsMaster!$K278&amp;" "&amp;PartsMaster!L278&amp;" "&amp;PartsMaster!$M278</f>
        <v xml:space="preserve">Front Left </v>
      </c>
    </row>
    <row r="285" spans="1:123" ht="30" hidden="1" x14ac:dyDescent="0.25">
      <c r="A285" s="20" t="s">
        <v>1166</v>
      </c>
      <c r="B285" s="20" t="s">
        <v>1167</v>
      </c>
      <c r="C285" s="20" t="s">
        <v>1168</v>
      </c>
      <c r="D285" s="21" t="str">
        <f>PartsMaster!B278&amp;" "&amp;PartsMaster!$C278</f>
        <v>Jaguar XK8 XKR X100 Wheel Hub Vertical Link</v>
      </c>
      <c r="E285" s="20">
        <v>3000</v>
      </c>
      <c r="F285" s="20" t="s">
        <v>1182</v>
      </c>
      <c r="H285" s="21" t="str">
        <f>PartsMaster!$Q278</f>
        <v>Wheel Hub Vertical Link</v>
      </c>
      <c r="I285" s="20">
        <v>9886</v>
      </c>
      <c r="K285" s="20">
        <v>0</v>
      </c>
      <c r="L285" s="20">
        <v>0</v>
      </c>
      <c r="M285" s="21">
        <f>PartsMaster!$D278</f>
        <v>1</v>
      </c>
      <c r="O285" s="20" t="s">
        <v>1169</v>
      </c>
      <c r="P285" s="23">
        <f>PartsMaster!$S278/1.45</f>
        <v>0</v>
      </c>
      <c r="S285" s="20">
        <v>30</v>
      </c>
      <c r="T285" s="20">
        <v>0</v>
      </c>
      <c r="U285" s="20" t="s">
        <v>1170</v>
      </c>
      <c r="Z285" s="26" t="str">
        <f>"&lt;P&gt;"&amp;PartsMaster!$I278&amp;" "&amp;PartsMaster!$H278&amp;"&lt;/P&gt;"&amp;"&lt;P&gt;Jaguar part name "&amp;PartsMaster!$E278&amp;"&lt;/P&gt;&lt;P&gt;Product numbers "&amp;PartsMaster!R278&amp;" "&amp;DQ285&amp;"&lt;/P&gt;&lt;P&gt;Fits starting from VIN/ModelYear "&amp;PartsMaster!$F278&amp;" until VIN/ModelYear "&amp;PartsMaster!$G278&amp;"&lt;/P&gt;&lt;P&gt;Condition: "&amp;PartsMaster!AB278&amp;"&lt;/P&gt;&lt;P&gt; (part source "&amp;PartsMaster!AD278&amp;")&lt;/P&gt;&lt;P&gt;Notes: "&amp;PartsMaster!AA278&amp;"&lt;/P&gt;"</f>
        <v>&lt;P&gt;Wheels / Rims Rim / Wheel&lt;/P&gt;&lt;P&gt;Jaguar part name STEERING AND SUSPENSION/WISHBONE AND HUB ASSEMBLY-FRONT - Vertical Link LH&lt;/P&gt;&lt;P&gt;Product numbers MNC1629AA   MNC1629AA  &lt;/P&gt;&lt;P&gt;Fits starting from VIN/ModelYear 031303 until VIN/ModelYear 042775&lt;/P&gt;&lt;P&gt;Condition: Extra spare&lt;/P&gt;&lt;P&gt; (part source JP)&lt;/P&gt;&lt;P&gt;Notes: &lt;/P&gt;</v>
      </c>
      <c r="AA285" s="20" t="s">
        <v>1171</v>
      </c>
      <c r="AC285" s="20">
        <v>0</v>
      </c>
      <c r="AD285" s="20">
        <v>0</v>
      </c>
      <c r="AE285" s="20" t="s">
        <v>1172</v>
      </c>
      <c r="AF285" s="20">
        <v>7</v>
      </c>
      <c r="AG285" s="20">
        <v>0</v>
      </c>
      <c r="AH285" s="20">
        <v>0</v>
      </c>
      <c r="AI285" s="20">
        <v>0</v>
      </c>
      <c r="AJ285" s="20">
        <v>0</v>
      </c>
      <c r="AK285" s="20">
        <v>0</v>
      </c>
      <c r="AO285" s="20" t="s">
        <v>1173</v>
      </c>
      <c r="AR285" s="20">
        <v>0</v>
      </c>
      <c r="AS285" s="20">
        <v>10112</v>
      </c>
      <c r="AV285" s="20" t="s">
        <v>1174</v>
      </c>
      <c r="AX285" s="20">
        <v>62128510024</v>
      </c>
      <c r="AY285" s="20">
        <v>62035811024</v>
      </c>
      <c r="AZ285" s="20">
        <v>55187694024</v>
      </c>
      <c r="BA285" s="20" t="s">
        <v>1175</v>
      </c>
      <c r="BB285" s="20" t="s">
        <v>1176</v>
      </c>
      <c r="BC285" s="20" t="s">
        <v>1177</v>
      </c>
      <c r="BD285" s="20">
        <v>1</v>
      </c>
      <c r="BE285" s="20">
        <v>0</v>
      </c>
      <c r="BF285" s="20">
        <v>0</v>
      </c>
      <c r="BG285" s="20">
        <v>0</v>
      </c>
      <c r="BN285" s="20" t="s">
        <v>1178</v>
      </c>
      <c r="BV285" s="20">
        <v>0</v>
      </c>
      <c r="CL285" s="20">
        <v>0</v>
      </c>
      <c r="DD285" s="20" t="s">
        <v>1179</v>
      </c>
      <c r="DE285" s="20" t="s">
        <v>1179</v>
      </c>
      <c r="DI285" s="20">
        <v>0</v>
      </c>
      <c r="DP285" s="21" t="s">
        <v>1180</v>
      </c>
      <c r="DQ285" s="21" t="str">
        <f>PartsMaster!$A278</f>
        <v xml:space="preserve">MNC1629AA  </v>
      </c>
      <c r="DR285" s="21" t="s">
        <v>1181</v>
      </c>
      <c r="DS285" s="21" t="str">
        <f>PartsMaster!$K279&amp;" "&amp;PartsMaster!L279&amp;" "&amp;PartsMaster!$M279</f>
        <v xml:space="preserve">Front  </v>
      </c>
    </row>
    <row r="286" spans="1:123" hidden="1" x14ac:dyDescent="0.25">
      <c r="A286" s="20" t="s">
        <v>1166</v>
      </c>
      <c r="B286" s="20" t="s">
        <v>1167</v>
      </c>
      <c r="C286" s="20" t="s">
        <v>1168</v>
      </c>
      <c r="D286" s="21" t="str">
        <f>PartsMaster!B279&amp;" "&amp;PartsMaster!$C279</f>
        <v>Jaguar XK8 XKR X100 XJ8 XJR X308 WHEEL BEARING-FRONT</v>
      </c>
      <c r="E286" s="20">
        <v>3000</v>
      </c>
      <c r="F286" s="20" t="s">
        <v>1182</v>
      </c>
      <c r="H286" s="21" t="str">
        <f>PartsMaster!$Q279</f>
        <v>WHEEL BEARING-FRONT</v>
      </c>
      <c r="I286" s="20">
        <v>9886</v>
      </c>
      <c r="K286" s="20">
        <v>0</v>
      </c>
      <c r="L286" s="20">
        <v>0</v>
      </c>
      <c r="M286" s="21">
        <f>PartsMaster!$D279</f>
        <v>2</v>
      </c>
      <c r="O286" s="20" t="s">
        <v>1169</v>
      </c>
      <c r="P286" s="23">
        <f>PartsMaster!$S279/1.45</f>
        <v>0</v>
      </c>
      <c r="S286" s="20">
        <v>30</v>
      </c>
      <c r="T286" s="20">
        <v>0</v>
      </c>
      <c r="U286" s="20" t="s">
        <v>1170</v>
      </c>
      <c r="Z286" s="26" t="str">
        <f>"&lt;P&gt;"&amp;PartsMaster!$I279&amp;" "&amp;PartsMaster!$H279&amp;"&lt;/P&gt;"&amp;"&lt;P&gt;Jaguar part name "&amp;PartsMaster!$E279&amp;"&lt;/P&gt;&lt;P&gt;Product numbers "&amp;PartsMaster!R279&amp;" "&amp;DQ286&amp;"&lt;/P&gt;&lt;P&gt;Fits starting from VIN/ModelYear "&amp;PartsMaster!$F279&amp;" until VIN/ModelYear "&amp;PartsMaster!$G279&amp;"&lt;/P&gt;&lt;P&gt;Condition: "&amp;PartsMaster!AB279&amp;"&lt;/P&gt;&lt;P&gt; (part source "&amp;PartsMaster!AD279&amp;")&lt;/P&gt;&lt;P&gt;Notes: "&amp;PartsMaster!AA279&amp;"&lt;/P&gt;"</f>
        <v>&lt;P&gt;Wheels / Rims Bearing&lt;/P&gt;&lt;P&gt;Jaguar part name &lt;/P&gt;&lt;P&gt;Product numbers MNC1830AA MNC1830AA&lt;/P&gt;&lt;P&gt;Fits starting from VIN/ModelYear 31303 until VIN/ModelYear &lt;/P&gt;&lt;P&gt;Condition: British Parts&lt;/P&gt;&lt;P&gt; (part source )&lt;/P&gt;&lt;P&gt;Notes: &lt;/P&gt;</v>
      </c>
      <c r="AA286" s="20" t="s">
        <v>1171</v>
      </c>
      <c r="AC286" s="20">
        <v>0</v>
      </c>
      <c r="AD286" s="20">
        <v>0</v>
      </c>
      <c r="AE286" s="20" t="s">
        <v>1172</v>
      </c>
      <c r="AF286" s="20">
        <v>7</v>
      </c>
      <c r="AG286" s="20">
        <v>0</v>
      </c>
      <c r="AH286" s="20">
        <v>0</v>
      </c>
      <c r="AI286" s="20">
        <v>0</v>
      </c>
      <c r="AJ286" s="20">
        <v>0</v>
      </c>
      <c r="AK286" s="20">
        <v>0</v>
      </c>
      <c r="AO286" s="20" t="s">
        <v>1173</v>
      </c>
      <c r="AR286" s="20">
        <v>0</v>
      </c>
      <c r="AS286" s="20">
        <v>10112</v>
      </c>
      <c r="AV286" s="20" t="s">
        <v>1174</v>
      </c>
      <c r="AX286" s="20">
        <v>62128510024</v>
      </c>
      <c r="AY286" s="20">
        <v>62035811024</v>
      </c>
      <c r="AZ286" s="20">
        <v>55187694024</v>
      </c>
      <c r="BA286" s="20" t="s">
        <v>1175</v>
      </c>
      <c r="BB286" s="20" t="s">
        <v>1176</v>
      </c>
      <c r="BC286" s="20" t="s">
        <v>1177</v>
      </c>
      <c r="BD286" s="20">
        <v>1</v>
      </c>
      <c r="BE286" s="20">
        <v>0</v>
      </c>
      <c r="BF286" s="20">
        <v>0</v>
      </c>
      <c r="BG286" s="20">
        <v>0</v>
      </c>
      <c r="BN286" s="20" t="s">
        <v>1178</v>
      </c>
      <c r="BV286" s="20">
        <v>0</v>
      </c>
      <c r="CL286" s="20">
        <v>0</v>
      </c>
      <c r="DD286" s="20" t="s">
        <v>1179</v>
      </c>
      <c r="DE286" s="20" t="s">
        <v>1179</v>
      </c>
      <c r="DI286" s="20">
        <v>0</v>
      </c>
      <c r="DP286" s="21" t="s">
        <v>1180</v>
      </c>
      <c r="DQ286" s="21" t="str">
        <f>PartsMaster!$A279</f>
        <v>MNC1830AA</v>
      </c>
      <c r="DR286" s="21" t="s">
        <v>1181</v>
      </c>
      <c r="DS286" s="21" t="str">
        <f>PartsMaster!$K280&amp;" "&amp;PartsMaster!L280&amp;" "&amp;PartsMaster!$M280</f>
        <v xml:space="preserve">Front Left/Right </v>
      </c>
    </row>
    <row r="287" spans="1:123" ht="45" hidden="1" x14ac:dyDescent="0.25">
      <c r="A287" s="20" t="s">
        <v>1166</v>
      </c>
      <c r="B287" s="20" t="s">
        <v>1167</v>
      </c>
      <c r="C287" s="20" t="s">
        <v>1168</v>
      </c>
      <c r="D287" s="21" t="str">
        <f>PartsMaster!B280&amp;" "&amp;PartsMaster!$C280</f>
        <v>Jaguar XK8 XKR X100 Wheel Hub</v>
      </c>
      <c r="E287" s="20">
        <v>3000</v>
      </c>
      <c r="F287" s="20" t="s">
        <v>1182</v>
      </c>
      <c r="H287" s="21">
        <f>PartsMaster!$Q280</f>
        <v>0</v>
      </c>
      <c r="I287" s="20">
        <v>9886</v>
      </c>
      <c r="K287" s="20">
        <v>0</v>
      </c>
      <c r="L287" s="20">
        <v>0</v>
      </c>
      <c r="M287" s="21">
        <f>PartsMaster!$D280</f>
        <v>0</v>
      </c>
      <c r="O287" s="20" t="s">
        <v>1169</v>
      </c>
      <c r="P287" s="23">
        <f>PartsMaster!$S280/1.45</f>
        <v>0</v>
      </c>
      <c r="S287" s="20">
        <v>30</v>
      </c>
      <c r="T287" s="20">
        <v>0</v>
      </c>
      <c r="U287" s="20" t="s">
        <v>1170</v>
      </c>
      <c r="Z287" s="26" t="str">
        <f>"&lt;P&gt;"&amp;PartsMaster!$I280&amp;" "&amp;PartsMaster!$H280&amp;"&lt;/P&gt;"&amp;"&lt;P&gt;Jaguar part name "&amp;PartsMaster!$E280&amp;"&lt;/P&gt;&lt;P&gt;Product numbers "&amp;PartsMaster!R280&amp;" "&amp;DQ287&amp;"&lt;/P&gt;&lt;P&gt;Fits starting from VIN/ModelYear "&amp;PartsMaster!$F280&amp;" until VIN/ModelYear "&amp;PartsMaster!$G280&amp;"&lt;/P&gt;&lt;P&gt;Condition: "&amp;PartsMaster!AB280&amp;"&lt;/P&gt;&lt;P&gt; (part source "&amp;PartsMaster!AD280&amp;")&lt;/P&gt;&lt;P&gt;Notes: "&amp;PartsMaster!AA280&amp;"&lt;/P&gt;"</f>
        <v>&lt;P&gt;Wheels / Rims Rim / Wheel&lt;/P&gt;&lt;P&gt;Jaguar part name STEERING AND SUSPENSION/WISHBONE AND HUB ASSEMBLY-FRONT - Wheel Hub&lt;/P&gt;&lt;P&gt;Product numbers MNC1837BA MNC1837BA&lt;/P&gt;&lt;P&gt;Fits starting from VIN/ModelYear 031303 until VIN/ModelYear 042775&lt;/P&gt;&lt;P&gt;Condition: Extra spare&lt;/P&gt;&lt;P&gt; (part source JP)&lt;/P&gt;&lt;P&gt;Notes: includes 5x .Wheel Studs JZB100064 &lt;/P&gt;</v>
      </c>
      <c r="AA287" s="20" t="s">
        <v>1171</v>
      </c>
      <c r="AC287" s="20">
        <v>0</v>
      </c>
      <c r="AD287" s="20">
        <v>0</v>
      </c>
      <c r="AE287" s="20" t="s">
        <v>1172</v>
      </c>
      <c r="AF287" s="20">
        <v>7</v>
      </c>
      <c r="AG287" s="20">
        <v>0</v>
      </c>
      <c r="AH287" s="20">
        <v>0</v>
      </c>
      <c r="AI287" s="20">
        <v>0</v>
      </c>
      <c r="AJ287" s="20">
        <v>0</v>
      </c>
      <c r="AK287" s="20">
        <v>0</v>
      </c>
      <c r="AO287" s="20" t="s">
        <v>1173</v>
      </c>
      <c r="AR287" s="20">
        <v>0</v>
      </c>
      <c r="AS287" s="20">
        <v>10112</v>
      </c>
      <c r="AV287" s="20" t="s">
        <v>1174</v>
      </c>
      <c r="AX287" s="20">
        <v>62128510024</v>
      </c>
      <c r="AY287" s="20">
        <v>62035811024</v>
      </c>
      <c r="AZ287" s="20">
        <v>55187694024</v>
      </c>
      <c r="BA287" s="20" t="s">
        <v>1175</v>
      </c>
      <c r="BB287" s="20" t="s">
        <v>1176</v>
      </c>
      <c r="BC287" s="20" t="s">
        <v>1177</v>
      </c>
      <c r="BD287" s="20">
        <v>1</v>
      </c>
      <c r="BE287" s="20">
        <v>0</v>
      </c>
      <c r="BF287" s="20">
        <v>0</v>
      </c>
      <c r="BG287" s="20">
        <v>0</v>
      </c>
      <c r="BN287" s="20" t="s">
        <v>1178</v>
      </c>
      <c r="BV287" s="20">
        <v>0</v>
      </c>
      <c r="CL287" s="20">
        <v>0</v>
      </c>
      <c r="DD287" s="20" t="s">
        <v>1179</v>
      </c>
      <c r="DE287" s="20" t="s">
        <v>1179</v>
      </c>
      <c r="DI287" s="20">
        <v>0</v>
      </c>
      <c r="DP287" s="21" t="s">
        <v>1180</v>
      </c>
      <c r="DQ287" s="21" t="str">
        <f>PartsMaster!$A280</f>
        <v>MNC1837BA</v>
      </c>
      <c r="DR287" s="21" t="s">
        <v>1181</v>
      </c>
      <c r="DS287" s="21" t="str">
        <f>PartsMaster!$K281&amp;" "&amp;PartsMaster!L281&amp;" "&amp;PartsMaster!$M281</f>
        <v xml:space="preserve">Rear Left/Right </v>
      </c>
    </row>
    <row r="288" spans="1:123" ht="30" hidden="1" x14ac:dyDescent="0.25">
      <c r="A288" s="20" t="s">
        <v>1166</v>
      </c>
      <c r="B288" s="20" t="s">
        <v>1167</v>
      </c>
      <c r="C288" s="20" t="s">
        <v>1168</v>
      </c>
      <c r="D288" s="21" t="str">
        <f>PartsMaster!B281&amp;" "&amp;PartsMaster!$C281</f>
        <v>Jaguar XK8 XKR X100 Wheel Bearing - Inner</v>
      </c>
      <c r="E288" s="20">
        <v>3000</v>
      </c>
      <c r="F288" s="20" t="s">
        <v>1182</v>
      </c>
      <c r="H288" s="21">
        <f>PartsMaster!$Q281</f>
        <v>0</v>
      </c>
      <c r="I288" s="20">
        <v>9886</v>
      </c>
      <c r="K288" s="20">
        <v>0</v>
      </c>
      <c r="L288" s="20">
        <v>0</v>
      </c>
      <c r="M288" s="21">
        <f>PartsMaster!$D281</f>
        <v>0</v>
      </c>
      <c r="O288" s="20" t="s">
        <v>1169</v>
      </c>
      <c r="P288" s="23">
        <f>PartsMaster!$S281/1.45</f>
        <v>0</v>
      </c>
      <c r="S288" s="20">
        <v>30</v>
      </c>
      <c r="T288" s="20">
        <v>0</v>
      </c>
      <c r="U288" s="20" t="s">
        <v>1170</v>
      </c>
      <c r="Z288" s="26" t="str">
        <f>"&lt;P&gt;"&amp;PartsMaster!$I281&amp;" "&amp;PartsMaster!$H281&amp;"&lt;/P&gt;"&amp;"&lt;P&gt;Jaguar part name "&amp;PartsMaster!$E281&amp;"&lt;/P&gt;&lt;P&gt;Product numbers "&amp;PartsMaster!R281&amp;" "&amp;DQ288&amp;"&lt;/P&gt;&lt;P&gt;Fits starting from VIN/ModelYear "&amp;PartsMaster!$F281&amp;" until VIN/ModelYear "&amp;PartsMaster!$G281&amp;"&lt;/P&gt;&lt;P&gt;Condition: "&amp;PartsMaster!AB281&amp;"&lt;/P&gt;&lt;P&gt; (part source "&amp;PartsMaster!AD281&amp;")&lt;/P&gt;&lt;P&gt;Notes: "&amp;PartsMaster!AA281&amp;"&lt;/P&gt;"</f>
        <v>&lt;P&gt;Bearing Bearing&lt;/P&gt;&lt;P&gt;Jaguar part name STEERING AND SUSPENSION/HUB AND CARRIER-REAR - Hub bearing inner&lt;/P&gt;&lt;P&gt;Product numbers MNC3280AA MNC3280AA&lt;/P&gt;&lt;P&gt;Fits starting from VIN/ModelYear 0 until VIN/ModelYear 031302&lt;/P&gt;&lt;P&gt;Condition: &lt;/P&gt;&lt;P&gt; (part source )&lt;/P&gt;&lt;P&gt;Notes: &lt;/P&gt;</v>
      </c>
      <c r="AA288" s="20" t="s">
        <v>1171</v>
      </c>
      <c r="AC288" s="20">
        <v>0</v>
      </c>
      <c r="AD288" s="20">
        <v>0</v>
      </c>
      <c r="AE288" s="20" t="s">
        <v>1172</v>
      </c>
      <c r="AF288" s="20">
        <v>7</v>
      </c>
      <c r="AG288" s="20">
        <v>0</v>
      </c>
      <c r="AH288" s="20">
        <v>0</v>
      </c>
      <c r="AI288" s="20">
        <v>0</v>
      </c>
      <c r="AJ288" s="20">
        <v>0</v>
      </c>
      <c r="AK288" s="20">
        <v>0</v>
      </c>
      <c r="AO288" s="20" t="s">
        <v>1173</v>
      </c>
      <c r="AR288" s="20">
        <v>0</v>
      </c>
      <c r="AS288" s="20">
        <v>10112</v>
      </c>
      <c r="AV288" s="20" t="s">
        <v>1174</v>
      </c>
      <c r="AX288" s="20">
        <v>62128510024</v>
      </c>
      <c r="AY288" s="20">
        <v>62035811024</v>
      </c>
      <c r="AZ288" s="20">
        <v>55187694024</v>
      </c>
      <c r="BA288" s="20" t="s">
        <v>1175</v>
      </c>
      <c r="BB288" s="20" t="s">
        <v>1176</v>
      </c>
      <c r="BC288" s="20" t="s">
        <v>1177</v>
      </c>
      <c r="BD288" s="20">
        <v>1</v>
      </c>
      <c r="BE288" s="20">
        <v>0</v>
      </c>
      <c r="BF288" s="20">
        <v>0</v>
      </c>
      <c r="BG288" s="20">
        <v>0</v>
      </c>
      <c r="BN288" s="20" t="s">
        <v>1178</v>
      </c>
      <c r="BV288" s="20">
        <v>0</v>
      </c>
      <c r="CL288" s="20">
        <v>0</v>
      </c>
      <c r="DD288" s="20" t="s">
        <v>1179</v>
      </c>
      <c r="DE288" s="20" t="s">
        <v>1179</v>
      </c>
      <c r="DI288" s="20">
        <v>0</v>
      </c>
      <c r="DP288" s="21" t="s">
        <v>1180</v>
      </c>
      <c r="DQ288" s="21" t="str">
        <f>PartsMaster!$A281</f>
        <v>MNC3280AA</v>
      </c>
      <c r="DR288" s="21" t="s">
        <v>1181</v>
      </c>
      <c r="DS288" s="21" t="str">
        <f>PartsMaster!$K282&amp;" "&amp;PartsMaster!L282&amp;" "&amp;PartsMaster!$M282</f>
        <v>Front Left NA</v>
      </c>
    </row>
    <row r="289" spans="1:123" hidden="1" x14ac:dyDescent="0.25">
      <c r="A289" s="20" t="s">
        <v>1166</v>
      </c>
      <c r="B289" s="20" t="s">
        <v>1167</v>
      </c>
      <c r="C289" s="20" t="s">
        <v>1168</v>
      </c>
      <c r="D289" s="21" t="str">
        <f>PartsMaster!B282&amp;" "&amp;PartsMaster!$C282</f>
        <v>Jaguar XK8 XKR X100 ABS Pump</v>
      </c>
      <c r="E289" s="20">
        <v>3000</v>
      </c>
      <c r="F289" s="20" t="s">
        <v>1182</v>
      </c>
      <c r="H289" s="21">
        <f>PartsMaster!$Q282</f>
        <v>0</v>
      </c>
      <c r="I289" s="20">
        <v>9886</v>
      </c>
      <c r="K289" s="20">
        <v>0</v>
      </c>
      <c r="L289" s="20">
        <v>0</v>
      </c>
      <c r="M289" s="21">
        <f>PartsMaster!$D282</f>
        <v>0</v>
      </c>
      <c r="O289" s="20" t="s">
        <v>1169</v>
      </c>
      <c r="P289" s="23">
        <f>PartsMaster!$S282/1.45</f>
        <v>0</v>
      </c>
      <c r="S289" s="20">
        <v>30</v>
      </c>
      <c r="T289" s="20">
        <v>0</v>
      </c>
      <c r="U289" s="20" t="s">
        <v>1170</v>
      </c>
      <c r="Z289" s="26" t="str">
        <f>"&lt;P&gt;"&amp;PartsMaster!$I282&amp;" "&amp;PartsMaster!$H282&amp;"&lt;/P&gt;"&amp;"&lt;P&gt;Jaguar part name "&amp;PartsMaster!$E282&amp;"&lt;/P&gt;&lt;P&gt;Product numbers "&amp;PartsMaster!R282&amp;" "&amp;DQ289&amp;"&lt;/P&gt;&lt;P&gt;Fits starting from VIN/ModelYear "&amp;PartsMaster!$F282&amp;" until VIN/ModelYear "&amp;PartsMaster!$G282&amp;"&lt;/P&gt;&lt;P&gt;Condition: "&amp;PartsMaster!AB282&amp;"&lt;/P&gt;&lt;P&gt; (part source "&amp;PartsMaster!AD282&amp;")&lt;/P&gt;&lt;P&gt;Notes: "&amp;PartsMaster!AA282&amp;"&lt;/P&gt;"</f>
        <v>&lt;P&gt;Brakes Pump&lt;/P&gt;&lt;P&gt;Jaguar part name BRAKING SYSTEM/ANTI LOCK BRAKING SYSTEM - Hydraulic control unit - traction control - 9 valve  - 6 pipes&lt;/P&gt;&lt;P&gt;Product numbers MNC5920AC MNC5920AC&lt;/P&gt;&lt;P&gt;Fits starting from VIN/ModelYear  until VIN/ModelYear &lt;/P&gt;&lt;P&gt;Condition: &lt;/P&gt;&lt;P&gt; (part source SH)&lt;/P&gt;&lt;P&gt;Notes: &lt;/P&gt;</v>
      </c>
      <c r="AA289" s="20" t="s">
        <v>1171</v>
      </c>
      <c r="AC289" s="20">
        <v>0</v>
      </c>
      <c r="AD289" s="20">
        <v>0</v>
      </c>
      <c r="AE289" s="20" t="s">
        <v>1172</v>
      </c>
      <c r="AF289" s="20">
        <v>7</v>
      </c>
      <c r="AG289" s="20">
        <v>0</v>
      </c>
      <c r="AH289" s="20">
        <v>0</v>
      </c>
      <c r="AI289" s="20">
        <v>0</v>
      </c>
      <c r="AJ289" s="20">
        <v>0</v>
      </c>
      <c r="AK289" s="20">
        <v>0</v>
      </c>
      <c r="AO289" s="20" t="s">
        <v>1173</v>
      </c>
      <c r="AR289" s="20">
        <v>0</v>
      </c>
      <c r="AS289" s="20">
        <v>10112</v>
      </c>
      <c r="AV289" s="20" t="s">
        <v>1174</v>
      </c>
      <c r="AX289" s="20">
        <v>62128510024</v>
      </c>
      <c r="AY289" s="20">
        <v>62035811024</v>
      </c>
      <c r="AZ289" s="20">
        <v>55187694024</v>
      </c>
      <c r="BA289" s="20" t="s">
        <v>1175</v>
      </c>
      <c r="BB289" s="20" t="s">
        <v>1176</v>
      </c>
      <c r="BC289" s="20" t="s">
        <v>1177</v>
      </c>
      <c r="BD289" s="20">
        <v>1</v>
      </c>
      <c r="BE289" s="20">
        <v>0</v>
      </c>
      <c r="BF289" s="20">
        <v>0</v>
      </c>
      <c r="BG289" s="20">
        <v>0</v>
      </c>
      <c r="BN289" s="20" t="s">
        <v>1178</v>
      </c>
      <c r="BV289" s="20">
        <v>0</v>
      </c>
      <c r="CL289" s="20">
        <v>0</v>
      </c>
      <c r="DD289" s="20" t="s">
        <v>1179</v>
      </c>
      <c r="DE289" s="20" t="s">
        <v>1179</v>
      </c>
      <c r="DI289" s="20">
        <v>0</v>
      </c>
      <c r="DP289" s="21" t="s">
        <v>1180</v>
      </c>
      <c r="DQ289" s="21" t="str">
        <f>PartsMaster!$A282</f>
        <v>MNC5920AC</v>
      </c>
      <c r="DR289" s="21" t="s">
        <v>1181</v>
      </c>
      <c r="DS289" s="21" t="str">
        <f>PartsMaster!$K283&amp;" "&amp;PartsMaster!L283&amp;" "&amp;PartsMaster!$M283</f>
        <v xml:space="preserve"> Left/Right </v>
      </c>
    </row>
    <row r="290" spans="1:123" hidden="1" x14ac:dyDescent="0.25">
      <c r="A290" s="20" t="s">
        <v>1166</v>
      </c>
      <c r="B290" s="20" t="s">
        <v>1167</v>
      </c>
      <c r="C290" s="20" t="s">
        <v>1168</v>
      </c>
      <c r="D290" s="21" t="str">
        <f>PartsMaster!B283&amp;" "&amp;PartsMaster!$C283</f>
        <v>Jaguar XK8 XKR X100 ENGINE MOUNT</v>
      </c>
      <c r="E290" s="20">
        <v>3000</v>
      </c>
      <c r="F290" s="20" t="s">
        <v>1182</v>
      </c>
      <c r="H290" s="21" t="str">
        <f>PartsMaster!$Q283</f>
        <v>ENGINE MOUNT</v>
      </c>
      <c r="I290" s="20">
        <v>9886</v>
      </c>
      <c r="K290" s="20">
        <v>0</v>
      </c>
      <c r="L290" s="20">
        <v>0</v>
      </c>
      <c r="M290" s="21">
        <f>PartsMaster!$D283</f>
        <v>0</v>
      </c>
      <c r="O290" s="20" t="s">
        <v>1169</v>
      </c>
      <c r="P290" s="23">
        <f>PartsMaster!$S283/1.45</f>
        <v>0</v>
      </c>
      <c r="S290" s="20">
        <v>30</v>
      </c>
      <c r="T290" s="20">
        <v>0</v>
      </c>
      <c r="U290" s="20" t="s">
        <v>1170</v>
      </c>
      <c r="Z290" s="26" t="str">
        <f>"&lt;P&gt;"&amp;PartsMaster!$I283&amp;" "&amp;PartsMaster!$H283&amp;"&lt;/P&gt;"&amp;"&lt;P&gt;Jaguar part name "&amp;PartsMaster!$E283&amp;"&lt;/P&gt;&lt;P&gt;Product numbers "&amp;PartsMaster!R283&amp;" "&amp;DQ290&amp;"&lt;/P&gt;&lt;P&gt;Fits starting from VIN/ModelYear "&amp;PartsMaster!$F283&amp;" until VIN/ModelYear "&amp;PartsMaster!$G283&amp;"&lt;/P&gt;&lt;P&gt;Condition: "&amp;PartsMaster!AB283&amp;"&lt;/P&gt;&lt;P&gt; (part source "&amp;PartsMaster!AD283&amp;")&lt;/P&gt;&lt;P&gt;Notes: "&amp;PartsMaster!AA283&amp;"&lt;/P&gt;"</f>
        <v>&lt;P&gt;Mount &lt;/P&gt;&lt;P&gt;Jaguar part name &lt;/P&gt;&lt;P&gt;Product numbers MNC7500AB MNC7500AB&lt;/P&gt;&lt;P&gt;Fits starting from VIN/ModelYear  until VIN/ModelYear &lt;/P&gt;&lt;P&gt;Condition: British Parts&lt;/P&gt;&lt;P&gt; (part source )&lt;/P&gt;&lt;P&gt;Notes: &lt;/P&gt;</v>
      </c>
      <c r="AA290" s="20" t="s">
        <v>1171</v>
      </c>
      <c r="AC290" s="20">
        <v>0</v>
      </c>
      <c r="AD290" s="20">
        <v>0</v>
      </c>
      <c r="AE290" s="20" t="s">
        <v>1172</v>
      </c>
      <c r="AF290" s="20">
        <v>7</v>
      </c>
      <c r="AG290" s="20">
        <v>0</v>
      </c>
      <c r="AH290" s="20">
        <v>0</v>
      </c>
      <c r="AI290" s="20">
        <v>0</v>
      </c>
      <c r="AJ290" s="20">
        <v>0</v>
      </c>
      <c r="AK290" s="20">
        <v>0</v>
      </c>
      <c r="AO290" s="20" t="s">
        <v>1173</v>
      </c>
      <c r="AR290" s="20">
        <v>0</v>
      </c>
      <c r="AS290" s="20">
        <v>10112</v>
      </c>
      <c r="AV290" s="20" t="s">
        <v>1174</v>
      </c>
      <c r="AX290" s="20">
        <v>62128510024</v>
      </c>
      <c r="AY290" s="20">
        <v>62035811024</v>
      </c>
      <c r="AZ290" s="20">
        <v>55187694024</v>
      </c>
      <c r="BA290" s="20" t="s">
        <v>1175</v>
      </c>
      <c r="BB290" s="20" t="s">
        <v>1176</v>
      </c>
      <c r="BC290" s="20" t="s">
        <v>1177</v>
      </c>
      <c r="BD290" s="20">
        <v>1</v>
      </c>
      <c r="BE290" s="20">
        <v>0</v>
      </c>
      <c r="BF290" s="20">
        <v>0</v>
      </c>
      <c r="BG290" s="20">
        <v>0</v>
      </c>
      <c r="BN290" s="20" t="s">
        <v>1178</v>
      </c>
      <c r="BV290" s="20">
        <v>0</v>
      </c>
      <c r="CL290" s="20">
        <v>0</v>
      </c>
      <c r="DD290" s="20" t="s">
        <v>1179</v>
      </c>
      <c r="DE290" s="20" t="s">
        <v>1179</v>
      </c>
      <c r="DI290" s="20">
        <v>0</v>
      </c>
      <c r="DP290" s="21" t="s">
        <v>1180</v>
      </c>
      <c r="DQ290" s="21" t="str">
        <f>PartsMaster!$A283</f>
        <v>MNC7500AB</v>
      </c>
      <c r="DR290" s="21" t="s">
        <v>1181</v>
      </c>
      <c r="DS290" s="21" t="str">
        <f>PartsMaster!$K284&amp;" "&amp;PartsMaster!L284&amp;" "&amp;PartsMaster!$M284</f>
        <v>Front Left NA</v>
      </c>
    </row>
    <row r="291" spans="1:123" x14ac:dyDescent="0.25">
      <c r="A291" s="20" t="s">
        <v>1166</v>
      </c>
      <c r="B291" s="20" t="s">
        <v>1167</v>
      </c>
      <c r="C291" s="20" t="s">
        <v>1168</v>
      </c>
      <c r="D291" s="21" t="str">
        <f>PartsMaster!B194&amp;" "&amp;PartsMaster!$C194</f>
        <v>Jaguar XK8 XKR X100 Brake Pads</v>
      </c>
      <c r="E291" s="20">
        <v>3000</v>
      </c>
      <c r="F291" s="20" t="s">
        <v>1182</v>
      </c>
      <c r="H291" s="21" t="str">
        <f>PartsMaster!$Q194</f>
        <v>Brake Pads</v>
      </c>
      <c r="I291" s="20">
        <v>9886</v>
      </c>
      <c r="K291" s="20">
        <v>0</v>
      </c>
      <c r="L291" s="20">
        <v>0</v>
      </c>
      <c r="M291" s="21">
        <f>PartsMaster!$D194</f>
        <v>0</v>
      </c>
      <c r="O291" s="20" t="s">
        <v>1169</v>
      </c>
      <c r="P291" s="23">
        <f>PartsMaster!$S194/1.45</f>
        <v>0</v>
      </c>
      <c r="S291" s="20">
        <v>30</v>
      </c>
      <c r="T291" s="20">
        <v>0</v>
      </c>
      <c r="U291" s="20" t="s">
        <v>1170</v>
      </c>
      <c r="Z291" s="26" t="str">
        <f>"&lt;P&gt;"&amp;PartsMaster!$I194&amp;" "&amp;PartsMaster!$H194&amp;"&lt;/P&gt;"&amp;"&lt;P&gt;Jaguar part name "&amp;PartsMaster!$E194&amp;"&lt;/P&gt;&lt;P&gt;Product numbers "&amp;PartsMaster!R194&amp;" "&amp;DQ291&amp;"&lt;/P&gt;&lt;P&gt;Fits starting from VIN/ModelYear "&amp;PartsMaster!$F194&amp;" until VIN/ModelYear "&amp;PartsMaster!$G194&amp;"&lt;/P&gt;&lt;P&gt;Condition: "&amp;PartsMaster!AB194&amp;"&lt;/P&gt;&lt;P&gt; (part source "&amp;PartsMaster!AD194&amp;")&lt;/P&gt;&lt;P&gt;Notes: "&amp;PartsMaster!AA194&amp;"&lt;/P&gt;"</f>
        <v>&lt;P&gt;Brakes Brake Pads&lt;/P&gt;&lt;P&gt;Jaguar part name &lt;/P&gt;&lt;P&gt;Product numbers  JLM21220&lt;/P&gt;&lt;P&gt;Fits starting from VIN/ModelYear  until VIN/ModelYear &lt;/P&gt;&lt;P&gt;Condition: British Parts&lt;/P&gt;&lt;P&gt; (part source )&lt;/P&gt;&lt;P&gt;Notes: &lt;/P&gt;</v>
      </c>
      <c r="AA291" s="20" t="s">
        <v>1171</v>
      </c>
      <c r="AC291" s="20">
        <v>0</v>
      </c>
      <c r="AD291" s="20">
        <v>0</v>
      </c>
      <c r="AE291" s="20" t="s">
        <v>1172</v>
      </c>
      <c r="AF291" s="20">
        <v>7</v>
      </c>
      <c r="AG291" s="20">
        <v>0</v>
      </c>
      <c r="AH291" s="20">
        <v>0</v>
      </c>
      <c r="AI291" s="20">
        <v>0</v>
      </c>
      <c r="AJ291" s="20">
        <v>0</v>
      </c>
      <c r="AK291" s="20">
        <v>0</v>
      </c>
      <c r="AO291" s="20" t="s">
        <v>1173</v>
      </c>
      <c r="AR291" s="20">
        <v>0</v>
      </c>
      <c r="AS291" s="20">
        <v>10112</v>
      </c>
      <c r="AV291" s="20" t="s">
        <v>1174</v>
      </c>
      <c r="AX291" s="20">
        <v>62128510024</v>
      </c>
      <c r="AY291" s="20">
        <v>62035811024</v>
      </c>
      <c r="AZ291" s="20">
        <v>55187694024</v>
      </c>
      <c r="BA291" s="20" t="s">
        <v>1175</v>
      </c>
      <c r="BB291" s="20" t="s">
        <v>1176</v>
      </c>
      <c r="BC291" s="20" t="s">
        <v>1177</v>
      </c>
      <c r="BD291" s="20">
        <v>1</v>
      </c>
      <c r="BE291" s="20">
        <v>0</v>
      </c>
      <c r="BF291" s="20">
        <v>0</v>
      </c>
      <c r="BG291" s="20">
        <v>0</v>
      </c>
      <c r="BN291" s="20" t="s">
        <v>1178</v>
      </c>
      <c r="BV291" s="20">
        <v>0</v>
      </c>
      <c r="CL291" s="20">
        <v>0</v>
      </c>
      <c r="DD291" s="20" t="s">
        <v>1179</v>
      </c>
      <c r="DE291" s="20" t="s">
        <v>1179</v>
      </c>
      <c r="DI291" s="20">
        <v>0</v>
      </c>
      <c r="DP291" s="21" t="s">
        <v>1180</v>
      </c>
      <c r="DQ291" s="21" t="str">
        <f>PartsMaster!$A194</f>
        <v>JLM21220</v>
      </c>
      <c r="DR291" s="21" t="s">
        <v>1181</v>
      </c>
      <c r="DS291" s="21" t="str">
        <f>PartsMaster!$K195&amp;" "&amp;PartsMaster!L195&amp;" "&amp;PartsMaster!$M195</f>
        <v xml:space="preserve">Rear Left/Right </v>
      </c>
    </row>
    <row r="292" spans="1:123" ht="30" x14ac:dyDescent="0.25">
      <c r="A292" s="20" t="s">
        <v>1166</v>
      </c>
      <c r="B292" s="20" t="s">
        <v>1167</v>
      </c>
      <c r="C292" s="20" t="s">
        <v>1168</v>
      </c>
      <c r="D292" s="21" t="str">
        <f>PartsMaster!B200&amp;" "&amp;PartsMaster!$C200</f>
        <v>Jaguar XK8 XKR X100 Rivet Undertray</v>
      </c>
      <c r="E292" s="20">
        <v>3000</v>
      </c>
      <c r="F292" s="20" t="s">
        <v>1182</v>
      </c>
      <c r="H292" s="21">
        <f>PartsMaster!$Q200</f>
        <v>0</v>
      </c>
      <c r="I292" s="20">
        <v>9886</v>
      </c>
      <c r="K292" s="20">
        <v>0</v>
      </c>
      <c r="L292" s="20">
        <v>0</v>
      </c>
      <c r="M292" s="21">
        <f>PartsMaster!$D200</f>
        <v>0</v>
      </c>
      <c r="O292" s="20" t="s">
        <v>1169</v>
      </c>
      <c r="P292" s="23">
        <f>PartsMaster!$S200/1.45</f>
        <v>0</v>
      </c>
      <c r="S292" s="20">
        <v>30</v>
      </c>
      <c r="T292" s="20">
        <v>0</v>
      </c>
      <c r="U292" s="20" t="s">
        <v>1170</v>
      </c>
      <c r="Z292" s="26" t="str">
        <f>"&lt;P&gt;"&amp;PartsMaster!$I200&amp;" "&amp;PartsMaster!$H200&amp;"&lt;/P&gt;"&amp;"&lt;P&gt;Jaguar part name "&amp;PartsMaster!$E200&amp;"&lt;/P&gt;&lt;P&gt;Product numbers "&amp;PartsMaster!R200&amp;" "&amp;DQ292&amp;"&lt;/P&gt;&lt;P&gt;Fits starting from VIN/ModelYear "&amp;PartsMaster!$F200&amp;" until VIN/ModelYear "&amp;PartsMaster!$G200&amp;"&lt;/P&gt;&lt;P&gt;Condition: "&amp;PartsMaster!AB200&amp;"&lt;/P&gt;&lt;P&gt; (part source "&amp;PartsMaster!AD200&amp;")&lt;/P&gt;&lt;P&gt;Notes: "&amp;PartsMaster!AA200&amp;"&lt;/P&gt;"</f>
        <v>&lt;P&gt; Clip / Fastener / Fir-tree / Rivet&lt;/P&gt;&lt;P&gt;Jaguar part name &lt;/P&gt;&lt;P&gt;Product numbers KRA106001 KRA106001&lt;/P&gt;&lt;P&gt;Fits starting from VIN/ModelYear  until VIN/ModelYear &lt;/P&gt;&lt;P&gt;Condition: British Parts&lt;/P&gt;&lt;P&gt; (part source )&lt;/P&gt;&lt;P&gt;Notes: &lt;/P&gt;</v>
      </c>
      <c r="AA292" s="20" t="s">
        <v>1171</v>
      </c>
      <c r="AC292" s="20">
        <v>0</v>
      </c>
      <c r="AD292" s="20">
        <v>0</v>
      </c>
      <c r="AE292" s="20" t="s">
        <v>1172</v>
      </c>
      <c r="AF292" s="20">
        <v>7</v>
      </c>
      <c r="AG292" s="20">
        <v>0</v>
      </c>
      <c r="AH292" s="20">
        <v>0</v>
      </c>
      <c r="AI292" s="20">
        <v>0</v>
      </c>
      <c r="AJ292" s="20">
        <v>0</v>
      </c>
      <c r="AK292" s="20">
        <v>0</v>
      </c>
      <c r="AO292" s="20" t="s">
        <v>1173</v>
      </c>
      <c r="AR292" s="20">
        <v>0</v>
      </c>
      <c r="AS292" s="20">
        <v>10112</v>
      </c>
      <c r="AV292" s="20" t="s">
        <v>1174</v>
      </c>
      <c r="AX292" s="20">
        <v>62128510024</v>
      </c>
      <c r="AY292" s="20">
        <v>62035811024</v>
      </c>
      <c r="AZ292" s="20">
        <v>55187694024</v>
      </c>
      <c r="BA292" s="20" t="s">
        <v>1175</v>
      </c>
      <c r="BB292" s="20" t="s">
        <v>1176</v>
      </c>
      <c r="BC292" s="20" t="s">
        <v>1177</v>
      </c>
      <c r="BD292" s="20">
        <v>1</v>
      </c>
      <c r="BE292" s="20">
        <v>0</v>
      </c>
      <c r="BF292" s="20">
        <v>0</v>
      </c>
      <c r="BG292" s="20">
        <v>0</v>
      </c>
      <c r="BN292" s="20" t="s">
        <v>1178</v>
      </c>
      <c r="BV292" s="20">
        <v>0</v>
      </c>
      <c r="CL292" s="20">
        <v>0</v>
      </c>
      <c r="DD292" s="20" t="s">
        <v>1179</v>
      </c>
      <c r="DE292" s="20" t="s">
        <v>1179</v>
      </c>
      <c r="DI292" s="20">
        <v>0</v>
      </c>
      <c r="DP292" s="21" t="s">
        <v>1180</v>
      </c>
      <c r="DQ292" s="21" t="str">
        <f>PartsMaster!$A200</f>
        <v>KRA106001</v>
      </c>
      <c r="DR292" s="21" t="s">
        <v>1181</v>
      </c>
      <c r="DS292" s="21" t="str">
        <f>PartsMaster!$K201&amp;" "&amp;PartsMaster!L201&amp;" "&amp;PartsMaster!$M201</f>
        <v xml:space="preserve">  </v>
      </c>
    </row>
    <row r="293" spans="1:123" ht="30" hidden="1" x14ac:dyDescent="0.25">
      <c r="A293" s="20" t="s">
        <v>1166</v>
      </c>
      <c r="B293" s="20" t="s">
        <v>1167</v>
      </c>
      <c r="C293" s="20" t="s">
        <v>1168</v>
      </c>
      <c r="D293" s="21" t="str">
        <f>PartsMaster!B285&amp;" "&amp;PartsMaster!$C285</f>
        <v>Jaguar X-Type X400 Starter Motor</v>
      </c>
      <c r="E293" s="20">
        <v>3000</v>
      </c>
      <c r="F293" s="20" t="s">
        <v>1182</v>
      </c>
      <c r="H293" s="21" t="str">
        <f>PartsMaster!$Q285</f>
        <v>Starter Motor</v>
      </c>
      <c r="I293" s="20">
        <v>9886</v>
      </c>
      <c r="K293" s="20">
        <v>0</v>
      </c>
      <c r="L293" s="20">
        <v>0</v>
      </c>
      <c r="M293" s="21">
        <f>PartsMaster!$D285</f>
        <v>1</v>
      </c>
      <c r="O293" s="20" t="s">
        <v>1169</v>
      </c>
      <c r="P293" s="23">
        <f>PartsMaster!$S285/1.45</f>
        <v>51.724137931034484</v>
      </c>
      <c r="S293" s="20">
        <v>30</v>
      </c>
      <c r="T293" s="20">
        <v>0</v>
      </c>
      <c r="U293" s="20" t="s">
        <v>1170</v>
      </c>
      <c r="Z293" s="26" t="str">
        <f>"&lt;P&gt;"&amp;PartsMaster!$I285&amp;" "&amp;PartsMaster!$H285&amp;"&lt;/P&gt;"&amp;"&lt;P&gt;Jaguar part name "&amp;PartsMaster!$E285&amp;"&lt;/P&gt;&lt;P&gt;Product numbers "&amp;PartsMaster!R285&amp;" "&amp;DQ293&amp;"&lt;/P&gt;&lt;P&gt;Fits starting from VIN/ModelYear "&amp;PartsMaster!$F285&amp;" until VIN/ModelYear "&amp;PartsMaster!$G285&amp;"&lt;/P&gt;&lt;P&gt;Condition: "&amp;PartsMaster!AB285&amp;"&lt;/P&gt;&lt;P&gt; (part source "&amp;PartsMaster!AD285&amp;")&lt;/P&gt;&lt;P&gt;Notes: "&amp;PartsMaster!AA285&amp;"&lt;/P&gt;"</f>
        <v>&lt;P&gt;Start Motor&lt;/P&gt;&lt;P&gt;Jaguar part name X-Type/BATTERY/STARTER MOTOR/ALTERNATOR/STARTER MOTOR &lt;/P&gt;&lt;P&gt;Product numbers 1X4UAA N/A&lt;/P&gt;&lt;P&gt;Fits starting from VIN/ModelYear  until VIN/ModelYear &lt;/P&gt;&lt;P&gt;Condition: Extra working spare&lt;/P&gt;&lt;P&gt; (part source SJ)&lt;/P&gt;&lt;P&gt;Notes: &lt;/P&gt;</v>
      </c>
      <c r="AA293" s="20" t="s">
        <v>1171</v>
      </c>
      <c r="AC293" s="20">
        <v>0</v>
      </c>
      <c r="AD293" s="20">
        <v>0</v>
      </c>
      <c r="AE293" s="20" t="s">
        <v>1172</v>
      </c>
      <c r="AF293" s="20">
        <v>7</v>
      </c>
      <c r="AG293" s="20">
        <v>0</v>
      </c>
      <c r="AH293" s="20">
        <v>0</v>
      </c>
      <c r="AI293" s="20">
        <v>0</v>
      </c>
      <c r="AJ293" s="20">
        <v>0</v>
      </c>
      <c r="AK293" s="20">
        <v>0</v>
      </c>
      <c r="AO293" s="20" t="s">
        <v>1173</v>
      </c>
      <c r="AR293" s="20">
        <v>0</v>
      </c>
      <c r="AS293" s="20">
        <v>10112</v>
      </c>
      <c r="AV293" s="20" t="s">
        <v>1174</v>
      </c>
      <c r="AX293" s="20">
        <v>62128510024</v>
      </c>
      <c r="AY293" s="20">
        <v>62035811024</v>
      </c>
      <c r="AZ293" s="20">
        <v>55187694024</v>
      </c>
      <c r="BA293" s="20" t="s">
        <v>1175</v>
      </c>
      <c r="BB293" s="20" t="s">
        <v>1176</v>
      </c>
      <c r="BC293" s="20" t="s">
        <v>1177</v>
      </c>
      <c r="BD293" s="20">
        <v>1</v>
      </c>
      <c r="BE293" s="20">
        <v>0</v>
      </c>
      <c r="BF293" s="20">
        <v>0</v>
      </c>
      <c r="BG293" s="20">
        <v>0</v>
      </c>
      <c r="BN293" s="20" t="s">
        <v>1178</v>
      </c>
      <c r="BV293" s="20">
        <v>0</v>
      </c>
      <c r="CL293" s="20">
        <v>0</v>
      </c>
      <c r="DD293" s="20" t="s">
        <v>1179</v>
      </c>
      <c r="DE293" s="20" t="s">
        <v>1179</v>
      </c>
      <c r="DI293" s="20">
        <v>0</v>
      </c>
      <c r="DP293" s="21" t="s">
        <v>1180</v>
      </c>
      <c r="DQ293" s="21" t="str">
        <f>PartsMaster!$A285</f>
        <v>N/A</v>
      </c>
      <c r="DR293" s="21" t="s">
        <v>1181</v>
      </c>
      <c r="DS293" s="21" t="str">
        <f>PartsMaster!$K286&amp;" "&amp;PartsMaster!L286&amp;" "&amp;PartsMaster!$M286</f>
        <v xml:space="preserve">Rear  Right </v>
      </c>
    </row>
    <row r="294" spans="1:123" ht="30" hidden="1" x14ac:dyDescent="0.25">
      <c r="A294" s="20" t="s">
        <v>1166</v>
      </c>
      <c r="B294" s="20" t="s">
        <v>1167</v>
      </c>
      <c r="C294" s="20" t="s">
        <v>1168</v>
      </c>
      <c r="D294" s="21" t="str">
        <f>PartsMaster!B286&amp;" "&amp;PartsMaster!$C286</f>
        <v xml:space="preserve">Jaguar XK8 XKR X100 Speaker Element Subwoofer (Harman-Kardon Premium Audio) </v>
      </c>
      <c r="E294" s="20">
        <v>3000</v>
      </c>
      <c r="F294" s="20" t="s">
        <v>1182</v>
      </c>
      <c r="H294" s="21">
        <f>PartsMaster!$Q286</f>
        <v>0</v>
      </c>
      <c r="I294" s="20">
        <v>9886</v>
      </c>
      <c r="K294" s="20">
        <v>0</v>
      </c>
      <c r="L294" s="20">
        <v>0</v>
      </c>
      <c r="M294" s="21">
        <f>PartsMaster!$D286</f>
        <v>0</v>
      </c>
      <c r="O294" s="20" t="s">
        <v>1169</v>
      </c>
      <c r="P294" s="23">
        <f>PartsMaster!$S286/1.45</f>
        <v>0</v>
      </c>
      <c r="S294" s="20">
        <v>30</v>
      </c>
      <c r="T294" s="20">
        <v>0</v>
      </c>
      <c r="U294" s="20" t="s">
        <v>1170</v>
      </c>
      <c r="Z294" s="26" t="str">
        <f>"&lt;P&gt;"&amp;PartsMaster!$I286&amp;" "&amp;PartsMaster!$H286&amp;"&lt;/P&gt;"&amp;"&lt;P&gt;Jaguar part name "&amp;PartsMaster!$E286&amp;"&lt;/P&gt;&lt;P&gt;Product numbers "&amp;PartsMaster!R286&amp;" "&amp;DQ294&amp;"&lt;/P&gt;&lt;P&gt;Fits starting from VIN/ModelYear "&amp;PartsMaster!$F286&amp;" until VIN/ModelYear "&amp;PartsMaster!$G286&amp;"&lt;/P&gt;&lt;P&gt;Condition: "&amp;PartsMaster!AB286&amp;"&lt;/P&gt;&lt;P&gt; (part source "&amp;PartsMaster!AD286&amp;")&lt;/P&gt;&lt;P&gt;Notes: "&amp;PartsMaster!AA286&amp;"&lt;/P&gt;"</f>
        <v>&lt;P&gt;Audio / In car Entertainment Speaker&lt;/P&gt;&lt;P&gt;Jaguar part name &lt;/P&gt;&lt;P&gt;Product numbers  N/A&lt;/P&gt;&lt;P&gt;Fits starting from VIN/ModelYear  until VIN/ModelYear &lt;/P&gt;&lt;P&gt;Condition: &lt;/P&gt;&lt;P&gt; (part source )&lt;/P&gt;&lt;P&gt;Notes: &lt;/P&gt;</v>
      </c>
      <c r="AA294" s="20" t="s">
        <v>1171</v>
      </c>
      <c r="AC294" s="20">
        <v>0</v>
      </c>
      <c r="AD294" s="20">
        <v>0</v>
      </c>
      <c r="AE294" s="20" t="s">
        <v>1172</v>
      </c>
      <c r="AF294" s="20">
        <v>7</v>
      </c>
      <c r="AG294" s="20">
        <v>0</v>
      </c>
      <c r="AH294" s="20">
        <v>0</v>
      </c>
      <c r="AI294" s="20">
        <v>0</v>
      </c>
      <c r="AJ294" s="20">
        <v>0</v>
      </c>
      <c r="AK294" s="20">
        <v>0</v>
      </c>
      <c r="AO294" s="20" t="s">
        <v>1173</v>
      </c>
      <c r="AR294" s="20">
        <v>0</v>
      </c>
      <c r="AS294" s="20">
        <v>10112</v>
      </c>
      <c r="AV294" s="20" t="s">
        <v>1174</v>
      </c>
      <c r="AX294" s="20">
        <v>62128510024</v>
      </c>
      <c r="AY294" s="20">
        <v>62035811024</v>
      </c>
      <c r="AZ294" s="20">
        <v>55187694024</v>
      </c>
      <c r="BA294" s="20" t="s">
        <v>1175</v>
      </c>
      <c r="BB294" s="20" t="s">
        <v>1176</v>
      </c>
      <c r="BC294" s="20" t="s">
        <v>1177</v>
      </c>
      <c r="BD294" s="20">
        <v>1</v>
      </c>
      <c r="BE294" s="20">
        <v>0</v>
      </c>
      <c r="BF294" s="20">
        <v>0</v>
      </c>
      <c r="BG294" s="20">
        <v>0</v>
      </c>
      <c r="BN294" s="20" t="s">
        <v>1178</v>
      </c>
      <c r="BV294" s="20">
        <v>0</v>
      </c>
      <c r="CL294" s="20">
        <v>0</v>
      </c>
      <c r="DD294" s="20" t="s">
        <v>1179</v>
      </c>
      <c r="DE294" s="20" t="s">
        <v>1179</v>
      </c>
      <c r="DI294" s="20">
        <v>0</v>
      </c>
      <c r="DP294" s="21" t="s">
        <v>1180</v>
      </c>
      <c r="DQ294" s="21" t="str">
        <f>PartsMaster!$A286</f>
        <v>N/A</v>
      </c>
      <c r="DR294" s="21" t="s">
        <v>1181</v>
      </c>
      <c r="DS294" s="21" t="str">
        <f>PartsMaster!$K287&amp;" "&amp;PartsMaster!L287&amp;" "&amp;PartsMaster!$M287</f>
        <v xml:space="preserve">Rear Left </v>
      </c>
    </row>
    <row r="295" spans="1:123" ht="30" x14ac:dyDescent="0.25">
      <c r="A295" s="20" t="s">
        <v>1166</v>
      </c>
      <c r="B295" s="20" t="s">
        <v>1167</v>
      </c>
      <c r="C295" s="20" t="s">
        <v>1168</v>
      </c>
      <c r="D295" s="21" t="str">
        <f>PartsMaster!B115&amp;" "&amp;PartsMaster!$C115</f>
        <v xml:space="preserve">Jaguar XK8 XKR X100 Trunk Interior Light Access Cover Trim </v>
      </c>
      <c r="E295" s="20">
        <v>3000</v>
      </c>
      <c r="F295" s="20" t="s">
        <v>1182</v>
      </c>
      <c r="H295" s="21">
        <f>PartsMaster!$Q115</f>
        <v>0</v>
      </c>
      <c r="I295" s="20">
        <v>9886</v>
      </c>
      <c r="K295" s="20">
        <v>0</v>
      </c>
      <c r="L295" s="20">
        <v>0</v>
      </c>
      <c r="M295" s="21">
        <f>PartsMaster!$D115</f>
        <v>0</v>
      </c>
      <c r="O295" s="20" t="s">
        <v>1169</v>
      </c>
      <c r="P295" s="23">
        <f>PartsMaster!$S115/1.45</f>
        <v>0</v>
      </c>
      <c r="S295" s="20">
        <v>30</v>
      </c>
      <c r="T295" s="20">
        <v>0</v>
      </c>
      <c r="U295" s="20" t="s">
        <v>1170</v>
      </c>
      <c r="Z295" s="26" t="str">
        <f>"&lt;P&gt;"&amp;PartsMaster!$I115&amp;" "&amp;PartsMaster!$H115&amp;"&lt;/P&gt;"&amp;"&lt;P&gt;Jaguar part name "&amp;PartsMaster!$E115&amp;"&lt;/P&gt;&lt;P&gt;Product numbers "&amp;PartsMaster!R115&amp;" "&amp;DQ295&amp;"&lt;/P&gt;&lt;P&gt;Fits starting from VIN/ModelYear "&amp;PartsMaster!$F115&amp;" until VIN/ModelYear "&amp;PartsMaster!$G115&amp;"&lt;/P&gt;&lt;P&gt;Condition: "&amp;PartsMaster!AB115&amp;"&lt;/P&gt;&lt;P&gt; (part source "&amp;PartsMaster!AD115&amp;")&lt;/P&gt;&lt;P&gt;Notes: "&amp;PartsMaster!AA115&amp;"&lt;/P&gt;"</f>
        <v>&lt;P&gt;Cap / Cover Cap / Cover / Trim&lt;/P&gt;&lt;P&gt;Jaguar part name Cover, Lamp Access&lt;/P&gt;&lt;P&gt;Product numbers  HJA5292AC&lt;/P&gt;&lt;P&gt;Fits starting from VIN/ModelYear  until VIN/ModelYear &lt;/P&gt;&lt;P&gt;Condition: &lt;/P&gt;&lt;P&gt; (part source )&lt;/P&gt;&lt;P&gt;Notes: &lt;/P&gt;</v>
      </c>
      <c r="AA295" s="20" t="s">
        <v>1171</v>
      </c>
      <c r="AC295" s="20">
        <v>0</v>
      </c>
      <c r="AD295" s="20">
        <v>0</v>
      </c>
      <c r="AE295" s="20" t="s">
        <v>1172</v>
      </c>
      <c r="AF295" s="20">
        <v>7</v>
      </c>
      <c r="AG295" s="20">
        <v>0</v>
      </c>
      <c r="AH295" s="20">
        <v>0</v>
      </c>
      <c r="AI295" s="20">
        <v>0</v>
      </c>
      <c r="AJ295" s="20">
        <v>0</v>
      </c>
      <c r="AK295" s="20">
        <v>0</v>
      </c>
      <c r="AO295" s="20" t="s">
        <v>1173</v>
      </c>
      <c r="AR295" s="20">
        <v>0</v>
      </c>
      <c r="AS295" s="20">
        <v>10112</v>
      </c>
      <c r="AV295" s="20" t="s">
        <v>1174</v>
      </c>
      <c r="AX295" s="20">
        <v>62128510024</v>
      </c>
      <c r="AY295" s="20">
        <v>62035811024</v>
      </c>
      <c r="AZ295" s="20">
        <v>55187694024</v>
      </c>
      <c r="BA295" s="20" t="s">
        <v>1175</v>
      </c>
      <c r="BB295" s="20" t="s">
        <v>1176</v>
      </c>
      <c r="BC295" s="20" t="s">
        <v>1177</v>
      </c>
      <c r="BD295" s="20">
        <v>1</v>
      </c>
      <c r="BE295" s="20">
        <v>0</v>
      </c>
      <c r="BF295" s="20">
        <v>0</v>
      </c>
      <c r="BG295" s="20">
        <v>0</v>
      </c>
      <c r="BN295" s="20" t="s">
        <v>1178</v>
      </c>
      <c r="BV295" s="20">
        <v>0</v>
      </c>
      <c r="CL295" s="20">
        <v>0</v>
      </c>
      <c r="DD295" s="20" t="s">
        <v>1179</v>
      </c>
      <c r="DE295" s="20" t="s">
        <v>1179</v>
      </c>
      <c r="DI295" s="20">
        <v>0</v>
      </c>
      <c r="DP295" s="21" t="s">
        <v>1180</v>
      </c>
      <c r="DQ295" s="21" t="str">
        <f>PartsMaster!$A115</f>
        <v>HJA5292AC</v>
      </c>
      <c r="DR295" s="21" t="s">
        <v>1181</v>
      </c>
      <c r="DS295" s="21" t="str">
        <f>PartsMaster!$K116&amp;" "&amp;PartsMaster!L116&amp;" "&amp;PartsMaster!$M116</f>
        <v xml:space="preserve">Rear Right </v>
      </c>
    </row>
    <row r="296" spans="1:123" ht="30" x14ac:dyDescent="0.25">
      <c r="A296" s="20" t="s">
        <v>1166</v>
      </c>
      <c r="B296" s="20" t="s">
        <v>1167</v>
      </c>
      <c r="C296" s="20" t="s">
        <v>1168</v>
      </c>
      <c r="D296" s="21" t="str">
        <f>PartsMaster!B155&amp;" "&amp;PartsMaster!$C155</f>
        <v>Jaguar XK8 XKR X100 Front bumper cover</v>
      </c>
      <c r="E296" s="20">
        <v>3000</v>
      </c>
      <c r="F296" s="20" t="s">
        <v>1182</v>
      </c>
      <c r="H296" s="21" t="str">
        <f>PartsMaster!$Q155</f>
        <v>Front bumper cover</v>
      </c>
      <c r="I296" s="20">
        <v>9886</v>
      </c>
      <c r="K296" s="20">
        <v>0</v>
      </c>
      <c r="L296" s="20">
        <v>0</v>
      </c>
      <c r="M296" s="21">
        <f>PartsMaster!$D155</f>
        <v>1</v>
      </c>
      <c r="O296" s="20" t="s">
        <v>1169</v>
      </c>
      <c r="P296" s="23">
        <f>PartsMaster!$S155/1.45</f>
        <v>0</v>
      </c>
      <c r="S296" s="20">
        <v>30</v>
      </c>
      <c r="T296" s="20">
        <v>0</v>
      </c>
      <c r="U296" s="20" t="s">
        <v>1170</v>
      </c>
      <c r="Z296" s="26" t="str">
        <f>"&lt;P&gt;"&amp;PartsMaster!$I155&amp;" "&amp;PartsMaster!$H155&amp;"&lt;/P&gt;"&amp;"&lt;P&gt;Jaguar part name "&amp;PartsMaster!$E155&amp;"&lt;/P&gt;&lt;P&gt;Product numbers "&amp;PartsMaster!R155&amp;" "&amp;DQ296&amp;"&lt;/P&gt;&lt;P&gt;Fits starting from VIN/ModelYear "&amp;PartsMaster!$F155&amp;" until VIN/ModelYear "&amp;PartsMaster!$G155&amp;"&lt;/P&gt;&lt;P&gt;Condition: "&amp;PartsMaster!AB155&amp;"&lt;/P&gt;&lt;P&gt; (part source "&amp;PartsMaster!AD155&amp;")&lt;/P&gt;&lt;P&gt;Notes: "&amp;PartsMaster!AA155&amp;"&lt;/P&gt;"</f>
        <v>&lt;P&gt;Cover Exterior finisher&lt;/P&gt;&lt;P&gt;Jaguar part name EXTERIOR FITTINGS AND SUNROOF/FRONT BUMPERS - Cover&lt;/P&gt;&lt;P&gt;Product numbers HJE6504 HJE6504&lt;/P&gt;&lt;P&gt;Fits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296" s="20" t="s">
        <v>1171</v>
      </c>
      <c r="AC296" s="20">
        <v>0</v>
      </c>
      <c r="AD296" s="20">
        <v>0</v>
      </c>
      <c r="AE296" s="20" t="s">
        <v>1172</v>
      </c>
      <c r="AF296" s="20">
        <v>7</v>
      </c>
      <c r="AG296" s="20">
        <v>0</v>
      </c>
      <c r="AH296" s="20">
        <v>0</v>
      </c>
      <c r="AI296" s="20">
        <v>0</v>
      </c>
      <c r="AJ296" s="20">
        <v>0</v>
      </c>
      <c r="AK296" s="20">
        <v>0</v>
      </c>
      <c r="AO296" s="20" t="s">
        <v>1173</v>
      </c>
      <c r="AR296" s="20">
        <v>0</v>
      </c>
      <c r="AS296" s="20">
        <v>10112</v>
      </c>
      <c r="AV296" s="20" t="s">
        <v>1174</v>
      </c>
      <c r="AX296" s="20">
        <v>62128510024</v>
      </c>
      <c r="AY296" s="20">
        <v>62035811024</v>
      </c>
      <c r="AZ296" s="20">
        <v>55187694024</v>
      </c>
      <c r="BA296" s="20" t="s">
        <v>1175</v>
      </c>
      <c r="BB296" s="20" t="s">
        <v>1176</v>
      </c>
      <c r="BC296" s="20" t="s">
        <v>1177</v>
      </c>
      <c r="BD296" s="20">
        <v>1</v>
      </c>
      <c r="BE296" s="20">
        <v>0</v>
      </c>
      <c r="BF296" s="20">
        <v>0</v>
      </c>
      <c r="BG296" s="20">
        <v>0</v>
      </c>
      <c r="BN296" s="20" t="s">
        <v>1178</v>
      </c>
      <c r="BV296" s="20">
        <v>0</v>
      </c>
      <c r="CL296" s="20">
        <v>0</v>
      </c>
      <c r="DD296" s="20" t="s">
        <v>1179</v>
      </c>
      <c r="DE296" s="20" t="s">
        <v>1179</v>
      </c>
      <c r="DI296" s="20">
        <v>0</v>
      </c>
      <c r="DP296" s="21" t="s">
        <v>1180</v>
      </c>
      <c r="DQ296" s="21" t="str">
        <f>PartsMaster!$A155</f>
        <v>HJE6504</v>
      </c>
      <c r="DR296" s="21" t="s">
        <v>1181</v>
      </c>
      <c r="DS296" s="21" t="str">
        <f>PartsMaster!$K156&amp;" "&amp;PartsMaster!L156&amp;" "&amp;PartsMaster!$M156</f>
        <v>Front Left Bottom</v>
      </c>
    </row>
    <row r="297" spans="1:123" ht="30" x14ac:dyDescent="0.25">
      <c r="A297" s="20" t="s">
        <v>1166</v>
      </c>
      <c r="B297" s="20" t="s">
        <v>1167</v>
      </c>
      <c r="C297" s="20" t="s">
        <v>1168</v>
      </c>
      <c r="D297" s="21" t="str">
        <f>PartsMaster!B156&amp;" "&amp;PartsMaster!$C156</f>
        <v>Jaguar XK8 XKR X100 Front bumper cover</v>
      </c>
      <c r="E297" s="20">
        <v>3000</v>
      </c>
      <c r="F297" s="20" t="s">
        <v>1182</v>
      </c>
      <c r="H297" s="21" t="str">
        <f>PartsMaster!$Q156</f>
        <v>Front bumper cover</v>
      </c>
      <c r="I297" s="20">
        <v>9886</v>
      </c>
      <c r="K297" s="20">
        <v>0</v>
      </c>
      <c r="L297" s="20">
        <v>0</v>
      </c>
      <c r="M297" s="21">
        <f>PartsMaster!$D156</f>
        <v>1</v>
      </c>
      <c r="O297" s="20" t="s">
        <v>1169</v>
      </c>
      <c r="P297" s="23">
        <f>PartsMaster!$S156/1.45</f>
        <v>0</v>
      </c>
      <c r="S297" s="20">
        <v>30</v>
      </c>
      <c r="T297" s="20">
        <v>0</v>
      </c>
      <c r="U297" s="20" t="s">
        <v>1170</v>
      </c>
      <c r="Z297" s="26" t="str">
        <f>"&lt;P&gt;"&amp;PartsMaster!$I156&amp;" "&amp;PartsMaster!$H156&amp;"&lt;/P&gt;"&amp;"&lt;P&gt;Jaguar part name "&amp;PartsMaster!$E156&amp;"&lt;/P&gt;&lt;P&gt;Product numbers "&amp;PartsMaster!R156&amp;" "&amp;DQ297&amp;"&lt;/P&gt;&lt;P&gt;Fits starting from VIN/ModelYear "&amp;PartsMaster!$F156&amp;" until VIN/ModelYear "&amp;PartsMaster!$G156&amp;"&lt;/P&gt;&lt;P&gt;Condition: "&amp;PartsMaster!AB156&amp;"&lt;/P&gt;&lt;P&gt; (part source "&amp;PartsMaster!AD156&amp;")&lt;/P&gt;&lt;P&gt;Notes: "&amp;PartsMaster!AA156&amp;"&lt;/P&gt;"</f>
        <v>&lt;P&gt;Cover Exterior finisher&lt;/P&gt;&lt;P&gt;Jaguar part name EXTERIOR FITTINGS AND SUNROOF/FRONT BUMPERS - Cover&lt;/P&gt;&lt;P&gt;Product numbers HJE6505 HJE6505&lt;/P&gt;&lt;P&gt;Fits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297" s="20" t="s">
        <v>1171</v>
      </c>
      <c r="AC297" s="20">
        <v>0</v>
      </c>
      <c r="AD297" s="20">
        <v>0</v>
      </c>
      <c r="AE297" s="20" t="s">
        <v>1172</v>
      </c>
      <c r="AF297" s="20">
        <v>7</v>
      </c>
      <c r="AG297" s="20">
        <v>0</v>
      </c>
      <c r="AH297" s="20">
        <v>0</v>
      </c>
      <c r="AI297" s="20">
        <v>0</v>
      </c>
      <c r="AJ297" s="20">
        <v>0</v>
      </c>
      <c r="AK297" s="20">
        <v>0</v>
      </c>
      <c r="AO297" s="20" t="s">
        <v>1173</v>
      </c>
      <c r="AR297" s="20">
        <v>0</v>
      </c>
      <c r="AS297" s="20">
        <v>10112</v>
      </c>
      <c r="AV297" s="20" t="s">
        <v>1174</v>
      </c>
      <c r="AX297" s="20">
        <v>62128510024</v>
      </c>
      <c r="AY297" s="20">
        <v>62035811024</v>
      </c>
      <c r="AZ297" s="20">
        <v>55187694024</v>
      </c>
      <c r="BA297" s="20" t="s">
        <v>1175</v>
      </c>
      <c r="BB297" s="20" t="s">
        <v>1176</v>
      </c>
      <c r="BC297" s="20" t="s">
        <v>1177</v>
      </c>
      <c r="BD297" s="20">
        <v>1</v>
      </c>
      <c r="BE297" s="20">
        <v>0</v>
      </c>
      <c r="BF297" s="20">
        <v>0</v>
      </c>
      <c r="BG297" s="20">
        <v>0</v>
      </c>
      <c r="BN297" s="20" t="s">
        <v>1178</v>
      </c>
      <c r="BV297" s="20">
        <v>0</v>
      </c>
      <c r="CL297" s="20">
        <v>0</v>
      </c>
      <c r="DD297" s="20" t="s">
        <v>1179</v>
      </c>
      <c r="DE297" s="20" t="s">
        <v>1179</v>
      </c>
      <c r="DI297" s="20">
        <v>0</v>
      </c>
      <c r="DP297" s="21" t="s">
        <v>1180</v>
      </c>
      <c r="DQ297" s="21" t="str">
        <f>PartsMaster!$A156</f>
        <v>HJE6505</v>
      </c>
      <c r="DR297" s="21" t="s">
        <v>1181</v>
      </c>
      <c r="DS297" s="21" t="str">
        <f>PartsMaster!$K157&amp;" "&amp;PartsMaster!L157&amp;" "&amp;PartsMaster!$M157</f>
        <v>Front Right N/A</v>
      </c>
    </row>
    <row r="298" spans="1:123" hidden="1" x14ac:dyDescent="0.25">
      <c r="A298" s="20" t="s">
        <v>1166</v>
      </c>
      <c r="B298" s="20" t="s">
        <v>1167</v>
      </c>
      <c r="C298" s="20" t="s">
        <v>1168</v>
      </c>
      <c r="D298" s="21" t="str">
        <f>PartsMaster!B396&amp;" "&amp;PartsMaster!$C396</f>
        <v>Jaguar XK8 XKR X100 Seat  - Mechanism cover - Teal</v>
      </c>
      <c r="E298" s="20">
        <v>3000</v>
      </c>
      <c r="F298" s="20" t="s">
        <v>1182</v>
      </c>
      <c r="H298" s="21">
        <f>PartsMaster!$Q396</f>
        <v>0</v>
      </c>
      <c r="I298" s="20">
        <v>9886</v>
      </c>
      <c r="K298" s="20">
        <v>0</v>
      </c>
      <c r="L298" s="20">
        <v>0</v>
      </c>
      <c r="M298" s="21">
        <f>PartsMaster!$D396</f>
        <v>0</v>
      </c>
      <c r="O298" s="20" t="s">
        <v>1169</v>
      </c>
      <c r="P298" s="23">
        <f>PartsMaster!$S396/1.45</f>
        <v>0</v>
      </c>
      <c r="S298" s="20">
        <v>30</v>
      </c>
      <c r="T298" s="20">
        <v>0</v>
      </c>
      <c r="U298" s="20" t="s">
        <v>1170</v>
      </c>
      <c r="Z298" s="26" t="str">
        <f>"&lt;P&gt;"&amp;PartsMaster!$I396&amp;" "&amp;PartsMaster!$H396&amp;"&lt;/P&gt;"&amp;"&lt;P&gt;Jaguar part name "&amp;PartsMaster!$E396&amp;"&lt;/P&gt;&lt;P&gt;Product numbers "&amp;PartsMaster!R396&amp;" "&amp;DQ298&amp;"&lt;/P&gt;&lt;P&gt;Fits starting from VIN/ModelYear "&amp;PartsMaster!$F396&amp;" until VIN/ModelYear "&amp;PartsMaster!$G396&amp;"&lt;/P&gt;&lt;P&gt;Condition: "&amp;PartsMaster!AB396&amp;"&lt;/P&gt;&lt;P&gt; (part source "&amp;PartsMaster!AD396&amp;")&lt;/P&gt;&lt;P&gt;Notes: "&amp;PartsMaster!AA396&amp;"&lt;/P&gt;"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298" s="20" t="s">
        <v>1171</v>
      </c>
      <c r="AC298" s="20">
        <v>0</v>
      </c>
      <c r="AD298" s="20">
        <v>0</v>
      </c>
      <c r="AE298" s="20" t="s">
        <v>1172</v>
      </c>
      <c r="AF298" s="20">
        <v>7</v>
      </c>
      <c r="AG298" s="20">
        <v>0</v>
      </c>
      <c r="AH298" s="20">
        <v>0</v>
      </c>
      <c r="AI298" s="20">
        <v>0</v>
      </c>
      <c r="AJ298" s="20">
        <v>0</v>
      </c>
      <c r="AK298" s="20">
        <v>0</v>
      </c>
      <c r="AO298" s="20" t="s">
        <v>1173</v>
      </c>
      <c r="AR298" s="20">
        <v>0</v>
      </c>
      <c r="AS298" s="20">
        <v>10112</v>
      </c>
      <c r="AV298" s="20" t="s">
        <v>1174</v>
      </c>
      <c r="AX298" s="20">
        <v>62128510024</v>
      </c>
      <c r="AY298" s="20">
        <v>62035811024</v>
      </c>
      <c r="AZ298" s="20">
        <v>55187694024</v>
      </c>
      <c r="BA298" s="20" t="s">
        <v>1175</v>
      </c>
      <c r="BB298" s="20" t="s">
        <v>1176</v>
      </c>
      <c r="BC298" s="20" t="s">
        <v>1177</v>
      </c>
      <c r="BD298" s="20">
        <v>1</v>
      </c>
      <c r="BE298" s="20">
        <v>0</v>
      </c>
      <c r="BF298" s="20">
        <v>0</v>
      </c>
      <c r="BG298" s="20">
        <v>0</v>
      </c>
      <c r="BN298" s="20" t="s">
        <v>1178</v>
      </c>
      <c r="BV298" s="20">
        <v>0</v>
      </c>
      <c r="CL298" s="20">
        <v>0</v>
      </c>
      <c r="DD298" s="20" t="s">
        <v>1179</v>
      </c>
      <c r="DE298" s="20" t="s">
        <v>1179</v>
      </c>
      <c r="DI298" s="20">
        <v>0</v>
      </c>
      <c r="DP298" s="21" t="s">
        <v>1180</v>
      </c>
      <c r="DQ298" s="21">
        <f>PartsMaster!$A396</f>
        <v>0</v>
      </c>
      <c r="DR298" s="21" t="s">
        <v>1181</v>
      </c>
      <c r="DS298" s="21" t="str">
        <f>PartsMaster!$K397&amp;" "&amp;PartsMaster!L397&amp;" "&amp;PartsMaster!$M397</f>
        <v>Front Right Low</v>
      </c>
    </row>
    <row r="299" spans="1:123" hidden="1" x14ac:dyDescent="0.25">
      <c r="A299" s="20" t="s">
        <v>1166</v>
      </c>
      <c r="B299" s="20" t="s">
        <v>1167</v>
      </c>
      <c r="C299" s="20" t="s">
        <v>1168</v>
      </c>
      <c r="D299" s="21" t="str">
        <f>PartsMaster!B291&amp;" "&amp;PartsMaster!$C291</f>
        <v>Jaguar XK8 XKR X100 Engine Drive Belt</v>
      </c>
      <c r="E299" s="20">
        <v>3000</v>
      </c>
      <c r="F299" s="20" t="s">
        <v>1182</v>
      </c>
      <c r="H299" s="21" t="str">
        <f>PartsMaster!$Q291</f>
        <v>Engine Drive Belt</v>
      </c>
      <c r="I299" s="20">
        <v>9886</v>
      </c>
      <c r="K299" s="20">
        <v>0</v>
      </c>
      <c r="L299" s="20">
        <v>0</v>
      </c>
      <c r="M299" s="21">
        <f>PartsMaster!$D291</f>
        <v>0</v>
      </c>
      <c r="O299" s="20" t="s">
        <v>1169</v>
      </c>
      <c r="P299" s="23">
        <f>PartsMaster!$S291/1.45</f>
        <v>0</v>
      </c>
      <c r="S299" s="20">
        <v>30</v>
      </c>
      <c r="T299" s="20">
        <v>0</v>
      </c>
      <c r="U299" s="20" t="s">
        <v>1170</v>
      </c>
      <c r="Z299" s="26" t="str">
        <f>"&lt;P&gt;"&amp;PartsMaster!$I291&amp;" "&amp;PartsMaster!$H291&amp;"&lt;/P&gt;"&amp;"&lt;P&gt;Jaguar part name "&amp;PartsMaster!$E291&amp;"&lt;/P&gt;&lt;P&gt;Product numbers "&amp;PartsMaster!R291&amp;" "&amp;DQ299&amp;"&lt;/P&gt;&lt;P&gt;Fits starting from VIN/ModelYear "&amp;PartsMaster!$F291&amp;" until VIN/ModelYear "&amp;PartsMaster!$G291&amp;"&lt;/P&gt;&lt;P&gt;Condition: "&amp;PartsMaster!AB291&amp;"&lt;/P&gt;&lt;P&gt; (part source "&amp;PartsMaster!AD291&amp;")&lt;/P&gt;&lt;P&gt;Notes: "&amp;PartsMaster!AA291&amp;"&lt;/P&gt;"</f>
        <v>&lt;P&gt;Engine Belt&lt;/P&gt;&lt;P&gt;Jaguar part name &lt;/P&gt;&lt;P&gt;Product numbers NCA2211AC* NCA2211AC&lt;/P&gt;&lt;P&gt;Fits starting from VIN/ModelYear XKR 4.0 1996
XJ8 1997 With Plastic Idler  until VIN/ModelYear 42775
1999 878717&lt;/P&gt;&lt;P&gt;Condition: SNG Barratt&lt;/P&gt;&lt;P&gt; (part source )&lt;/P&gt;&lt;P&gt;Notes: &lt;/P&gt;</v>
      </c>
      <c r="AA299" s="20" t="s">
        <v>1171</v>
      </c>
      <c r="AC299" s="20">
        <v>0</v>
      </c>
      <c r="AD299" s="20">
        <v>0</v>
      </c>
      <c r="AE299" s="20" t="s">
        <v>1172</v>
      </c>
      <c r="AF299" s="20">
        <v>7</v>
      </c>
      <c r="AG299" s="20">
        <v>0</v>
      </c>
      <c r="AH299" s="20">
        <v>0</v>
      </c>
      <c r="AI299" s="20">
        <v>0</v>
      </c>
      <c r="AJ299" s="20">
        <v>0</v>
      </c>
      <c r="AK299" s="20">
        <v>0</v>
      </c>
      <c r="AO299" s="20" t="s">
        <v>1173</v>
      </c>
      <c r="AR299" s="20">
        <v>0</v>
      </c>
      <c r="AS299" s="20">
        <v>10112</v>
      </c>
      <c r="AV299" s="20" t="s">
        <v>1174</v>
      </c>
      <c r="AX299" s="20">
        <v>62128510024</v>
      </c>
      <c r="AY299" s="20">
        <v>62035811024</v>
      </c>
      <c r="AZ299" s="20">
        <v>55187694024</v>
      </c>
      <c r="BA299" s="20" t="s">
        <v>1175</v>
      </c>
      <c r="BB299" s="20" t="s">
        <v>1176</v>
      </c>
      <c r="BC299" s="20" t="s">
        <v>1177</v>
      </c>
      <c r="BD299" s="20">
        <v>1</v>
      </c>
      <c r="BE299" s="20">
        <v>0</v>
      </c>
      <c r="BF299" s="20">
        <v>0</v>
      </c>
      <c r="BG299" s="20">
        <v>0</v>
      </c>
      <c r="BN299" s="20" t="s">
        <v>1178</v>
      </c>
      <c r="BV299" s="20">
        <v>0</v>
      </c>
      <c r="CL299" s="20">
        <v>0</v>
      </c>
      <c r="DD299" s="20" t="s">
        <v>1179</v>
      </c>
      <c r="DE299" s="20" t="s">
        <v>1179</v>
      </c>
      <c r="DI299" s="20">
        <v>0</v>
      </c>
      <c r="DP299" s="21" t="s">
        <v>1180</v>
      </c>
      <c r="DQ299" s="21" t="str">
        <f>PartsMaster!$A291</f>
        <v>NCA2211AC</v>
      </c>
      <c r="DR299" s="21" t="s">
        <v>1181</v>
      </c>
      <c r="DS299" s="21" t="str">
        <f>PartsMaster!$K292&amp;" "&amp;PartsMaster!L292&amp;" "&amp;PartsMaster!$M292</f>
        <v>Front Center Top</v>
      </c>
    </row>
    <row r="300" spans="1:123" hidden="1" x14ac:dyDescent="0.25">
      <c r="A300" s="20" t="s">
        <v>1166</v>
      </c>
      <c r="B300" s="20" t="s">
        <v>1167</v>
      </c>
      <c r="C300" s="20" t="s">
        <v>1168</v>
      </c>
      <c r="D300" s="21" t="str">
        <f>PartsMaster!B299&amp;" "&amp;PartsMaster!$C299</f>
        <v>Jaguar XK8 XKR X100 Exhaust Manifold</v>
      </c>
      <c r="E300" s="20">
        <v>3000</v>
      </c>
      <c r="F300" s="20" t="s">
        <v>1182</v>
      </c>
      <c r="H300" s="21" t="str">
        <f>PartsMaster!$Q299</f>
        <v>Exhaust manifold - LH B-bank</v>
      </c>
      <c r="I300" s="20">
        <v>9886</v>
      </c>
      <c r="K300" s="20">
        <v>0</v>
      </c>
      <c r="L300" s="20">
        <v>0</v>
      </c>
      <c r="M300" s="21">
        <f>PartsMaster!$D299</f>
        <v>1</v>
      </c>
      <c r="O300" s="20" t="s">
        <v>1169</v>
      </c>
      <c r="P300" s="23">
        <f>PartsMaster!$S299/1.45</f>
        <v>58.620689655172413</v>
      </c>
      <c r="S300" s="20">
        <v>30</v>
      </c>
      <c r="T300" s="20">
        <v>0</v>
      </c>
      <c r="U300" s="20" t="s">
        <v>1170</v>
      </c>
      <c r="Z300" s="26" t="str">
        <f>"&lt;P&gt;"&amp;PartsMaster!$I299&amp;" "&amp;PartsMaster!$H299&amp;"&lt;/P&gt;"&amp;"&lt;P&gt;Jaguar part name "&amp;PartsMaster!$E299&amp;"&lt;/P&gt;&lt;P&gt;Product numbers "&amp;PartsMaster!R299&amp;" "&amp;DQ300&amp;"&lt;/P&gt;&lt;P&gt;Fits starting from VIN/ModelYear "&amp;PartsMaster!$F299&amp;" until VIN/ModelYear "&amp;PartsMaster!$G299&amp;"&lt;/P&gt;&lt;P&gt;Condition: "&amp;PartsMaster!AB299&amp;"&lt;/P&gt;&lt;P&gt; (part source "&amp;PartsMaster!AD299&amp;")&lt;/P&gt;&lt;P&gt;Notes: "&amp;PartsMaster!AA299&amp;"&lt;/P&gt;"</f>
        <v>&lt;P&gt;Exchanus Manifold&lt;/P&gt;&lt;P&gt;Jaguar part name ENGINE/INLET AND EXHAUST MANIFOLDS - Exhaust manifold - LH B-bank&lt;/P&gt;&lt;P&gt;Product numbers 96JV9431DA C85EA NCA2901DA&lt;/P&gt;&lt;P&gt;Fits starting from VIN/ModelYear MY1996 until VIN/ModelYear 018107&lt;/P&gt;&lt;P&gt;Condition: Dismantled from bottom &amp; engine damaged MY1997 XK8 Convertible VIN 0136xx&lt;/P&gt;&lt;P&gt; (part source KK)&lt;/P&gt;&lt;P&gt;Notes: &lt;/P&gt;</v>
      </c>
      <c r="AA300" s="20" t="s">
        <v>1171</v>
      </c>
      <c r="AC300" s="20">
        <v>0</v>
      </c>
      <c r="AD300" s="20">
        <v>0</v>
      </c>
      <c r="AE300" s="20" t="s">
        <v>1172</v>
      </c>
      <c r="AF300" s="20">
        <v>7</v>
      </c>
      <c r="AG300" s="20">
        <v>0</v>
      </c>
      <c r="AH300" s="20">
        <v>0</v>
      </c>
      <c r="AI300" s="20">
        <v>0</v>
      </c>
      <c r="AJ300" s="20">
        <v>0</v>
      </c>
      <c r="AK300" s="20">
        <v>0</v>
      </c>
      <c r="AO300" s="20" t="s">
        <v>1173</v>
      </c>
      <c r="AR300" s="20">
        <v>0</v>
      </c>
      <c r="AS300" s="20">
        <v>10112</v>
      </c>
      <c r="AV300" s="20" t="s">
        <v>1174</v>
      </c>
      <c r="AX300" s="20">
        <v>62128510024</v>
      </c>
      <c r="AY300" s="20">
        <v>62035811024</v>
      </c>
      <c r="AZ300" s="20">
        <v>55187694024</v>
      </c>
      <c r="BA300" s="20" t="s">
        <v>1175</v>
      </c>
      <c r="BB300" s="20" t="s">
        <v>1176</v>
      </c>
      <c r="BC300" s="20" t="s">
        <v>1177</v>
      </c>
      <c r="BD300" s="20">
        <v>1</v>
      </c>
      <c r="BE300" s="20">
        <v>0</v>
      </c>
      <c r="BF300" s="20">
        <v>0</v>
      </c>
      <c r="BG300" s="20">
        <v>0</v>
      </c>
      <c r="BN300" s="20" t="s">
        <v>1178</v>
      </c>
      <c r="BV300" s="20">
        <v>0</v>
      </c>
      <c r="CL300" s="20">
        <v>0</v>
      </c>
      <c r="DD300" s="20" t="s">
        <v>1179</v>
      </c>
      <c r="DE300" s="20" t="s">
        <v>1179</v>
      </c>
      <c r="DI300" s="20">
        <v>0</v>
      </c>
      <c r="DP300" s="21" t="s">
        <v>1180</v>
      </c>
      <c r="DQ300" s="21" t="str">
        <f>PartsMaster!$A299</f>
        <v>NCA2901DA</v>
      </c>
      <c r="DR300" s="21" t="s">
        <v>1181</v>
      </c>
      <c r="DS300" s="21" t="str">
        <f>PartsMaster!$K300&amp;" "&amp;PartsMaster!L300&amp;" "&amp;PartsMaster!$M300</f>
        <v xml:space="preserve">  </v>
      </c>
    </row>
    <row r="301" spans="1:123" ht="30" hidden="1" x14ac:dyDescent="0.25">
      <c r="A301" s="20" t="s">
        <v>1166</v>
      </c>
      <c r="B301" s="20" t="s">
        <v>1167</v>
      </c>
      <c r="C301" s="20" t="s">
        <v>1168</v>
      </c>
      <c r="D301" s="21" t="str">
        <f>PartsMaster!B292&amp;" "&amp;PartsMaster!$C292</f>
        <v>Jaguar XK8 XKR X100 Thermostat housing</v>
      </c>
      <c r="E301" s="20">
        <v>3000</v>
      </c>
      <c r="F301" s="20" t="s">
        <v>1182</v>
      </c>
      <c r="H301" s="21" t="str">
        <f>PartsMaster!$Q292</f>
        <v>Thermostat housing</v>
      </c>
      <c r="I301" s="20">
        <v>9886</v>
      </c>
      <c r="K301" s="20">
        <v>0</v>
      </c>
      <c r="L301" s="20">
        <v>0</v>
      </c>
      <c r="M301" s="21">
        <f>PartsMaster!$D292</f>
        <v>3</v>
      </c>
      <c r="O301" s="20" t="s">
        <v>1169</v>
      </c>
      <c r="P301" s="23">
        <f>PartsMaster!$S292/1.45</f>
        <v>0</v>
      </c>
      <c r="S301" s="20">
        <v>30</v>
      </c>
      <c r="T301" s="20">
        <v>0</v>
      </c>
      <c r="U301" s="20" t="s">
        <v>1170</v>
      </c>
      <c r="Z301" s="26" t="str">
        <f>"&lt;P&gt;"&amp;PartsMaster!$I292&amp;" "&amp;PartsMaster!$H292&amp;"&lt;/P&gt;"&amp;"&lt;P&gt;Jaguar part name "&amp;PartsMaster!$E292&amp;"&lt;/P&gt;&lt;P&gt;Product numbers "&amp;PartsMaster!R292&amp;" "&amp;DQ301&amp;"&lt;/P&gt;&lt;P&gt;Fits starting from VIN/ModelYear "&amp;PartsMaster!$F292&amp;" until VIN/ModelYear "&amp;PartsMaster!$G292&amp;"&lt;/P&gt;&lt;P&gt;Condition: "&amp;PartsMaster!AB292&amp;"&lt;/P&gt;&lt;P&gt; (part source "&amp;PartsMaster!AD292&amp;")&lt;/P&gt;&lt;P&gt;Notes: "&amp;PartsMaster!AA292&amp;"&lt;/P&gt;"</f>
        <v>&lt;P&gt;Cooling Housing&lt;/P&gt;&lt;P&gt;Jaguar part name ENGINE COOLING SYSTEM/WATER RAIL AND THERMOSTAT - Thermostat housing&lt;/P&gt;&lt;P&gt;Product numbers NCA2247AC NCA2247AC&lt;/P&gt;&lt;P&gt;Fits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301" s="20" t="s">
        <v>1171</v>
      </c>
      <c r="AC301" s="20">
        <v>0</v>
      </c>
      <c r="AD301" s="20">
        <v>0</v>
      </c>
      <c r="AE301" s="20" t="s">
        <v>1172</v>
      </c>
      <c r="AF301" s="20">
        <v>7</v>
      </c>
      <c r="AG301" s="20">
        <v>0</v>
      </c>
      <c r="AH301" s="20">
        <v>0</v>
      </c>
      <c r="AI301" s="20">
        <v>0</v>
      </c>
      <c r="AJ301" s="20">
        <v>0</v>
      </c>
      <c r="AK301" s="20">
        <v>0</v>
      </c>
      <c r="AO301" s="20" t="s">
        <v>1173</v>
      </c>
      <c r="AR301" s="20">
        <v>0</v>
      </c>
      <c r="AS301" s="20">
        <v>10112</v>
      </c>
      <c r="AV301" s="20" t="s">
        <v>1174</v>
      </c>
      <c r="AX301" s="20">
        <v>62128510024</v>
      </c>
      <c r="AY301" s="20">
        <v>62035811024</v>
      </c>
      <c r="AZ301" s="20">
        <v>55187694024</v>
      </c>
      <c r="BA301" s="20" t="s">
        <v>1175</v>
      </c>
      <c r="BB301" s="20" t="s">
        <v>1176</v>
      </c>
      <c r="BC301" s="20" t="s">
        <v>1177</v>
      </c>
      <c r="BD301" s="20">
        <v>1</v>
      </c>
      <c r="BE301" s="20">
        <v>0</v>
      </c>
      <c r="BF301" s="20">
        <v>0</v>
      </c>
      <c r="BG301" s="20">
        <v>0</v>
      </c>
      <c r="BN301" s="20" t="s">
        <v>1178</v>
      </c>
      <c r="BV301" s="20">
        <v>0</v>
      </c>
      <c r="CL301" s="20">
        <v>0</v>
      </c>
      <c r="DD301" s="20" t="s">
        <v>1179</v>
      </c>
      <c r="DE301" s="20" t="s">
        <v>1179</v>
      </c>
      <c r="DI301" s="20">
        <v>0</v>
      </c>
      <c r="DP301" s="21" t="s">
        <v>1180</v>
      </c>
      <c r="DQ301" s="21" t="str">
        <f>PartsMaster!$A292</f>
        <v>NCA2247AC</v>
      </c>
      <c r="DR301" s="21" t="s">
        <v>1181</v>
      </c>
      <c r="DS301" s="21" t="str">
        <f>PartsMaster!$K293&amp;" "&amp;PartsMaster!L293&amp;" "&amp;PartsMaster!$M293</f>
        <v>Front Center Top</v>
      </c>
    </row>
    <row r="302" spans="1:123" hidden="1" x14ac:dyDescent="0.25">
      <c r="A302" s="20" t="s">
        <v>1166</v>
      </c>
      <c r="B302" s="20" t="s">
        <v>1167</v>
      </c>
      <c r="C302" s="20" t="s">
        <v>1168</v>
      </c>
      <c r="D302" s="21" t="str">
        <f>PartsMaster!B293&amp;" "&amp;PartsMaster!$C293</f>
        <v>Jaguar XK8 X100 XJ8 X308 Thermostat housing cap</v>
      </c>
      <c r="E302" s="20">
        <v>3000</v>
      </c>
      <c r="F302" s="20" t="s">
        <v>1182</v>
      </c>
      <c r="H302" s="21">
        <f>PartsMaster!$Q293</f>
        <v>0</v>
      </c>
      <c r="I302" s="20">
        <v>9886</v>
      </c>
      <c r="K302" s="20">
        <v>0</v>
      </c>
      <c r="L302" s="20">
        <v>0</v>
      </c>
      <c r="M302" s="21">
        <f>PartsMaster!$D293</f>
        <v>2</v>
      </c>
      <c r="O302" s="20" t="s">
        <v>1169</v>
      </c>
      <c r="P302" s="23">
        <f>PartsMaster!$S293/1.45</f>
        <v>6.8965517241379315</v>
      </c>
      <c r="S302" s="20">
        <v>30</v>
      </c>
      <c r="T302" s="20">
        <v>0</v>
      </c>
      <c r="U302" s="20" t="s">
        <v>1170</v>
      </c>
      <c r="Z302" s="26" t="str">
        <f>"&lt;P&gt;"&amp;PartsMaster!$I293&amp;" "&amp;PartsMaster!$H293&amp;"&lt;/P&gt;"&amp;"&lt;P&gt;Jaguar part name "&amp;PartsMaster!$E293&amp;"&lt;/P&gt;&lt;P&gt;Product numbers "&amp;PartsMaster!R293&amp;" "&amp;DQ302&amp;"&lt;/P&gt;&lt;P&gt;Fits starting from VIN/ModelYear "&amp;PartsMaster!$F293&amp;" until VIN/ModelYear "&amp;PartsMaster!$G293&amp;"&lt;/P&gt;&lt;P&gt;Condition: "&amp;PartsMaster!AB293&amp;"&lt;/P&gt;&lt;P&gt; (part source "&amp;PartsMaster!AD293&amp;")&lt;/P&gt;&lt;P&gt;Notes: "&amp;PartsMaster!AA293&amp;"&lt;/P&gt;"</f>
        <v>&lt;P&gt;Cooling Cooling&lt;/P&gt;&lt;P&gt;Jaguar part name ENGINE COOLING SYSTEM/WATER RAIL AND THERMOSTAT - Thermostat housing cap&lt;/P&gt;&lt;P&gt;Product numbers  NCA2270AC&lt;/P&gt;&lt;P&gt;Fits starting from VIN/ModelYear X100 MY1996 - X308 812317 until VIN/ModelYear X100 A30644 - X308 F59525&lt;/P&gt;&lt;P&gt;Condition: Dismantled from bottom &amp; engine damaged MY1997 XK8 Convertible VIN 0136xx&lt;/P&gt;&lt;P&gt; (part source )&lt;/P&gt;&lt;P&gt;Notes: &lt;/P&gt;</v>
      </c>
      <c r="AA302" s="20" t="s">
        <v>1171</v>
      </c>
      <c r="AC302" s="20">
        <v>0</v>
      </c>
      <c r="AD302" s="20">
        <v>0</v>
      </c>
      <c r="AE302" s="20" t="s">
        <v>1172</v>
      </c>
      <c r="AF302" s="20">
        <v>7</v>
      </c>
      <c r="AG302" s="20">
        <v>0</v>
      </c>
      <c r="AH302" s="20">
        <v>0</v>
      </c>
      <c r="AI302" s="20">
        <v>0</v>
      </c>
      <c r="AJ302" s="20">
        <v>0</v>
      </c>
      <c r="AK302" s="20">
        <v>0</v>
      </c>
      <c r="AO302" s="20" t="s">
        <v>1173</v>
      </c>
      <c r="AR302" s="20">
        <v>0</v>
      </c>
      <c r="AS302" s="20">
        <v>10112</v>
      </c>
      <c r="AV302" s="20" t="s">
        <v>1174</v>
      </c>
      <c r="AX302" s="20">
        <v>62128510024</v>
      </c>
      <c r="AY302" s="20">
        <v>62035811024</v>
      </c>
      <c r="AZ302" s="20">
        <v>55187694024</v>
      </c>
      <c r="BA302" s="20" t="s">
        <v>1175</v>
      </c>
      <c r="BB302" s="20" t="s">
        <v>1176</v>
      </c>
      <c r="BC302" s="20" t="s">
        <v>1177</v>
      </c>
      <c r="BD302" s="20">
        <v>1</v>
      </c>
      <c r="BE302" s="20">
        <v>0</v>
      </c>
      <c r="BF302" s="20">
        <v>0</v>
      </c>
      <c r="BG302" s="20">
        <v>0</v>
      </c>
      <c r="BN302" s="20" t="s">
        <v>1178</v>
      </c>
      <c r="BV302" s="20">
        <v>0</v>
      </c>
      <c r="CL302" s="20">
        <v>0</v>
      </c>
      <c r="DD302" s="20" t="s">
        <v>1179</v>
      </c>
      <c r="DE302" s="20" t="s">
        <v>1179</v>
      </c>
      <c r="DI302" s="20">
        <v>0</v>
      </c>
      <c r="DP302" s="21" t="s">
        <v>1180</v>
      </c>
      <c r="DQ302" s="21" t="str">
        <f>PartsMaster!$A293</f>
        <v>NCA2270AC</v>
      </c>
      <c r="DR302" s="21" t="s">
        <v>1181</v>
      </c>
      <c r="DS302" s="21" t="str">
        <f>PartsMaster!$K294&amp;" "&amp;PartsMaster!L294&amp;" "&amp;PartsMaster!$M294</f>
        <v xml:space="preserve"> Right </v>
      </c>
    </row>
    <row r="303" spans="1:123" ht="30" hidden="1" x14ac:dyDescent="0.25">
      <c r="A303" s="20" t="s">
        <v>1166</v>
      </c>
      <c r="B303" s="20" t="s">
        <v>1167</v>
      </c>
      <c r="C303" s="20" t="s">
        <v>1168</v>
      </c>
      <c r="D303" s="21" t="str">
        <f>PartsMaster!B294&amp;" "&amp;PartsMaster!$C294</f>
        <v>Jaguar XK8 XKR X100 XJ8 XJR X308 Gasket Camshaft Cover A-Bank</v>
      </c>
      <c r="E303" s="20">
        <v>3000</v>
      </c>
      <c r="F303" s="20" t="s">
        <v>1182</v>
      </c>
      <c r="H303" s="21">
        <f>PartsMaster!$Q294</f>
        <v>0</v>
      </c>
      <c r="I303" s="20">
        <v>9886</v>
      </c>
      <c r="K303" s="20">
        <v>0</v>
      </c>
      <c r="L303" s="20">
        <v>0</v>
      </c>
      <c r="M303" s="21">
        <f>PartsMaster!$D294</f>
        <v>0</v>
      </c>
      <c r="O303" s="20" t="s">
        <v>1169</v>
      </c>
      <c r="P303" s="23">
        <f>PartsMaster!$S294/1.45</f>
        <v>14.482758620689655</v>
      </c>
      <c r="S303" s="20">
        <v>30</v>
      </c>
      <c r="T303" s="20">
        <v>0</v>
      </c>
      <c r="U303" s="20" t="s">
        <v>1170</v>
      </c>
      <c r="Z303" s="26" t="str">
        <f>"&lt;P&gt;"&amp;PartsMaster!$I294&amp;" "&amp;PartsMaster!$H294&amp;"&lt;/P&gt;"&amp;"&lt;P&gt;Jaguar part name "&amp;PartsMaster!$E294&amp;"&lt;/P&gt;&lt;P&gt;Product numbers "&amp;PartsMaster!R294&amp;" "&amp;DQ303&amp;"&lt;/P&gt;&lt;P&gt;Fits starting from VIN/ModelYear "&amp;PartsMaster!$F294&amp;" until VIN/ModelYear "&amp;PartsMaster!$G294&amp;"&lt;/P&gt;&lt;P&gt;Condition: "&amp;PartsMaster!AB294&amp;"&lt;/P&gt;&lt;P&gt; (part source "&amp;PartsMaster!AD294&amp;")&lt;/P&gt;&lt;P&gt;Notes: "&amp;PartsMaster!AA294&amp;"&lt;/P&gt;"</f>
        <v>&lt;P&gt; Gasket / Seal / O-Ring&lt;/P&gt;&lt;P&gt;Jaguar part name &lt;/P&gt;&lt;P&gt;Product numbers  NCA2515AE&lt;/P&gt;&lt;P&gt;Fits starting from VIN/ModelYear  until VIN/ModelYear &lt;/P&gt;&lt;P&gt;Condition: &lt;/P&gt;&lt;P&gt; (part source )&lt;/P&gt;&lt;P&gt;Notes: &lt;/P&gt;</v>
      </c>
      <c r="AA303" s="20" t="s">
        <v>1171</v>
      </c>
      <c r="AC303" s="20">
        <v>0</v>
      </c>
      <c r="AD303" s="20">
        <v>0</v>
      </c>
      <c r="AE303" s="20" t="s">
        <v>1172</v>
      </c>
      <c r="AF303" s="20">
        <v>7</v>
      </c>
      <c r="AG303" s="20">
        <v>0</v>
      </c>
      <c r="AH303" s="20">
        <v>0</v>
      </c>
      <c r="AI303" s="20">
        <v>0</v>
      </c>
      <c r="AJ303" s="20">
        <v>0</v>
      </c>
      <c r="AK303" s="20">
        <v>0</v>
      </c>
      <c r="AO303" s="20" t="s">
        <v>1173</v>
      </c>
      <c r="AR303" s="20">
        <v>0</v>
      </c>
      <c r="AS303" s="20">
        <v>10112</v>
      </c>
      <c r="AV303" s="20" t="s">
        <v>1174</v>
      </c>
      <c r="AX303" s="20">
        <v>62128510024</v>
      </c>
      <c r="AY303" s="20">
        <v>62035811024</v>
      </c>
      <c r="AZ303" s="20">
        <v>55187694024</v>
      </c>
      <c r="BA303" s="20" t="s">
        <v>1175</v>
      </c>
      <c r="BB303" s="20" t="s">
        <v>1176</v>
      </c>
      <c r="BC303" s="20" t="s">
        <v>1177</v>
      </c>
      <c r="BD303" s="20">
        <v>1</v>
      </c>
      <c r="BE303" s="20">
        <v>0</v>
      </c>
      <c r="BF303" s="20">
        <v>0</v>
      </c>
      <c r="BG303" s="20">
        <v>0</v>
      </c>
      <c r="BN303" s="20" t="s">
        <v>1178</v>
      </c>
      <c r="BV303" s="20">
        <v>0</v>
      </c>
      <c r="CL303" s="20">
        <v>0</v>
      </c>
      <c r="DD303" s="20" t="s">
        <v>1179</v>
      </c>
      <c r="DE303" s="20" t="s">
        <v>1179</v>
      </c>
      <c r="DI303" s="20">
        <v>0</v>
      </c>
      <c r="DP303" s="21" t="s">
        <v>1180</v>
      </c>
      <c r="DQ303" s="21" t="str">
        <f>PartsMaster!$A294</f>
        <v>NCA2515AE</v>
      </c>
      <c r="DR303" s="21" t="s">
        <v>1181</v>
      </c>
      <c r="DS303" s="21" t="str">
        <f>PartsMaster!$K295&amp;" "&amp;PartsMaster!L295&amp;" "&amp;PartsMaster!$M295</f>
        <v xml:space="preserve"> Left </v>
      </c>
    </row>
    <row r="304" spans="1:123" ht="30" hidden="1" x14ac:dyDescent="0.25">
      <c r="A304" s="20" t="s">
        <v>1166</v>
      </c>
      <c r="B304" s="20" t="s">
        <v>1167</v>
      </c>
      <c r="C304" s="20" t="s">
        <v>1168</v>
      </c>
      <c r="D304" s="21" t="str">
        <f>PartsMaster!B295&amp;" "&amp;PartsMaster!$C295</f>
        <v>Jaguar XK8 XKR X100 XJ8 XJR X308 Gasket Camshaft Cover B-Bank</v>
      </c>
      <c r="E304" s="20">
        <v>3000</v>
      </c>
      <c r="F304" s="20" t="s">
        <v>1182</v>
      </c>
      <c r="H304" s="21">
        <f>PartsMaster!$Q295</f>
        <v>0</v>
      </c>
      <c r="I304" s="20">
        <v>9886</v>
      </c>
      <c r="K304" s="20">
        <v>0</v>
      </c>
      <c r="L304" s="20">
        <v>0</v>
      </c>
      <c r="M304" s="21">
        <f>PartsMaster!$D295</f>
        <v>0</v>
      </c>
      <c r="O304" s="20" t="s">
        <v>1169</v>
      </c>
      <c r="P304" s="23">
        <f>PartsMaster!$S295/1.45</f>
        <v>14.482758620689655</v>
      </c>
      <c r="S304" s="20">
        <v>30</v>
      </c>
      <c r="T304" s="20">
        <v>0</v>
      </c>
      <c r="U304" s="20" t="s">
        <v>1170</v>
      </c>
      <c r="Z304" s="26" t="str">
        <f>"&lt;P&gt;"&amp;PartsMaster!$I295&amp;" "&amp;PartsMaster!$H295&amp;"&lt;/P&gt;"&amp;"&lt;P&gt;Jaguar part name "&amp;PartsMaster!$E295&amp;"&lt;/P&gt;&lt;P&gt;Product numbers "&amp;PartsMaster!R295&amp;" "&amp;DQ304&amp;"&lt;/P&gt;&lt;P&gt;Fits starting from VIN/ModelYear "&amp;PartsMaster!$F295&amp;" until VIN/ModelYear "&amp;PartsMaster!$G295&amp;"&lt;/P&gt;&lt;P&gt;Condition: "&amp;PartsMaster!AB295&amp;"&lt;/P&gt;&lt;P&gt; (part source "&amp;PartsMaster!AD295&amp;")&lt;/P&gt;&lt;P&gt;Notes: "&amp;PartsMaster!AA295&amp;"&lt;/P&gt;"</f>
        <v>&lt;P&gt; Gasket / Seal / O-Ring&lt;/P&gt;&lt;P&gt;Jaguar part name &lt;/P&gt;&lt;P&gt;Product numbers  NCA2516AE&lt;/P&gt;&lt;P&gt;Fits starting from VIN/ModelYear  until VIN/ModelYear &lt;/P&gt;&lt;P&gt;Condition: &lt;/P&gt;&lt;P&gt; (part source )&lt;/P&gt;&lt;P&gt;Notes: &lt;/P&gt;</v>
      </c>
      <c r="AA304" s="20" t="s">
        <v>1171</v>
      </c>
      <c r="AC304" s="20">
        <v>0</v>
      </c>
      <c r="AD304" s="20">
        <v>0</v>
      </c>
      <c r="AE304" s="20" t="s">
        <v>1172</v>
      </c>
      <c r="AF304" s="20">
        <v>7</v>
      </c>
      <c r="AG304" s="20">
        <v>0</v>
      </c>
      <c r="AH304" s="20">
        <v>0</v>
      </c>
      <c r="AI304" s="20">
        <v>0</v>
      </c>
      <c r="AJ304" s="20">
        <v>0</v>
      </c>
      <c r="AK304" s="20">
        <v>0</v>
      </c>
      <c r="AO304" s="20" t="s">
        <v>1173</v>
      </c>
      <c r="AR304" s="20">
        <v>0</v>
      </c>
      <c r="AS304" s="20">
        <v>10112</v>
      </c>
      <c r="AV304" s="20" t="s">
        <v>1174</v>
      </c>
      <c r="AX304" s="20">
        <v>62128510024</v>
      </c>
      <c r="AY304" s="20">
        <v>62035811024</v>
      </c>
      <c r="AZ304" s="20">
        <v>55187694024</v>
      </c>
      <c r="BA304" s="20" t="s">
        <v>1175</v>
      </c>
      <c r="BB304" s="20" t="s">
        <v>1176</v>
      </c>
      <c r="BC304" s="20" t="s">
        <v>1177</v>
      </c>
      <c r="BD304" s="20">
        <v>1</v>
      </c>
      <c r="BE304" s="20">
        <v>0</v>
      </c>
      <c r="BF304" s="20">
        <v>0</v>
      </c>
      <c r="BG304" s="20">
        <v>0</v>
      </c>
      <c r="BN304" s="20" t="s">
        <v>1178</v>
      </c>
      <c r="BV304" s="20">
        <v>0</v>
      </c>
      <c r="CL304" s="20">
        <v>0</v>
      </c>
      <c r="DD304" s="20" t="s">
        <v>1179</v>
      </c>
      <c r="DE304" s="20" t="s">
        <v>1179</v>
      </c>
      <c r="DI304" s="20">
        <v>0</v>
      </c>
      <c r="DP304" s="21" t="s">
        <v>1180</v>
      </c>
      <c r="DQ304" s="21" t="str">
        <f>PartsMaster!$A295</f>
        <v>NCA2516AE</v>
      </c>
      <c r="DR304" s="21" t="s">
        <v>1181</v>
      </c>
      <c r="DS304" s="21" t="str">
        <f>PartsMaster!$K296&amp;" "&amp;PartsMaster!L296&amp;" "&amp;PartsMaster!$M296</f>
        <v>Fron Left/Right Top</v>
      </c>
    </row>
    <row r="305" spans="1:123" ht="30" hidden="1" x14ac:dyDescent="0.25">
      <c r="A305" s="20" t="s">
        <v>1166</v>
      </c>
      <c r="B305" s="20" t="s">
        <v>1167</v>
      </c>
      <c r="C305" s="20" t="s">
        <v>1168</v>
      </c>
      <c r="D305" s="21" t="str">
        <f>PartsMaster!B296&amp;" "&amp;PartsMaster!$C296</f>
        <v>Jaguar XK8 XKR X100 XJ8 XJR X308 Tappet Adjustment Shim</v>
      </c>
      <c r="E305" s="20">
        <v>3000</v>
      </c>
      <c r="F305" s="20" t="s">
        <v>1182</v>
      </c>
      <c r="H305" s="21">
        <f>PartsMaster!$Q296</f>
        <v>0</v>
      </c>
      <c r="I305" s="20">
        <v>9886</v>
      </c>
      <c r="K305" s="20">
        <v>0</v>
      </c>
      <c r="L305" s="20">
        <v>0</v>
      </c>
      <c r="M305" s="21">
        <f>PartsMaster!$D296</f>
        <v>24</v>
      </c>
      <c r="O305" s="20" t="s">
        <v>1169</v>
      </c>
      <c r="P305" s="23">
        <f>PartsMaster!$S296/1.45</f>
        <v>6.8965517241379315</v>
      </c>
      <c r="S305" s="20">
        <v>30</v>
      </c>
      <c r="T305" s="20">
        <v>0</v>
      </c>
      <c r="U305" s="20" t="s">
        <v>1170</v>
      </c>
      <c r="Z305" s="26" t="str">
        <f>"&lt;P&gt;"&amp;PartsMaster!$I296&amp;" "&amp;PartsMaster!$H296&amp;"&lt;/P&gt;"&amp;"&lt;P&gt;Jaguar part name "&amp;PartsMaster!$E296&amp;"&lt;/P&gt;&lt;P&gt;Product numbers "&amp;PartsMaster!R296&amp;" "&amp;DQ305&amp;"&lt;/P&gt;&lt;P&gt;Fits starting from VIN/ModelYear "&amp;PartsMaster!$F296&amp;" until VIN/ModelYear "&amp;PartsMaster!$G296&amp;"&lt;/P&gt;&lt;P&gt;Condition: "&amp;PartsMaster!AB296&amp;"&lt;/P&gt;&lt;P&gt; (part source "&amp;PartsMaster!AD296&amp;")&lt;/P&gt;&lt;P&gt;Notes: "&amp;PartsMaster!AA296&amp;"&lt;/P&gt;"</f>
        <v>&lt;P&gt;Engine Shim&lt;/P&gt;&lt;P&gt;Jaguar part name ENGINE/CAMSHAFTS AND VALVE GEAR - Tappet Adjustment Shim&lt;/P&gt;&lt;P&gt;Product numbers  NCA2542DAx&lt;/P&gt;&lt;P&gt;Fits starting from VIN/ModelYear X100 MY1996 - X308 xxx until VIN/ModelYear X100 031302 - X308 XXX&lt;/P&gt;&lt;P&gt;Condition: Dismantled from MY1997 XK8 Convertible USA VIN 0136xx&lt;/P&gt;&lt;P&gt; (part source )&lt;/P&gt;&lt;P&gt;Notes: Need to measure shim thicknesses!!!&lt;/P&gt;</v>
      </c>
      <c r="AA305" s="20" t="s">
        <v>1171</v>
      </c>
      <c r="AC305" s="20">
        <v>0</v>
      </c>
      <c r="AD305" s="20">
        <v>0</v>
      </c>
      <c r="AE305" s="20" t="s">
        <v>1172</v>
      </c>
      <c r="AF305" s="20">
        <v>7</v>
      </c>
      <c r="AG305" s="20">
        <v>0</v>
      </c>
      <c r="AH305" s="20">
        <v>0</v>
      </c>
      <c r="AI305" s="20">
        <v>0</v>
      </c>
      <c r="AJ305" s="20">
        <v>0</v>
      </c>
      <c r="AK305" s="20">
        <v>0</v>
      </c>
      <c r="AO305" s="20" t="s">
        <v>1173</v>
      </c>
      <c r="AR305" s="20">
        <v>0</v>
      </c>
      <c r="AS305" s="20">
        <v>10112</v>
      </c>
      <c r="AV305" s="20" t="s">
        <v>1174</v>
      </c>
      <c r="AX305" s="20">
        <v>62128510024</v>
      </c>
      <c r="AY305" s="20">
        <v>62035811024</v>
      </c>
      <c r="AZ305" s="20">
        <v>55187694024</v>
      </c>
      <c r="BA305" s="20" t="s">
        <v>1175</v>
      </c>
      <c r="BB305" s="20" t="s">
        <v>1176</v>
      </c>
      <c r="BC305" s="20" t="s">
        <v>1177</v>
      </c>
      <c r="BD305" s="20">
        <v>1</v>
      </c>
      <c r="BE305" s="20">
        <v>0</v>
      </c>
      <c r="BF305" s="20">
        <v>0</v>
      </c>
      <c r="BG305" s="20">
        <v>0</v>
      </c>
      <c r="BN305" s="20" t="s">
        <v>1178</v>
      </c>
      <c r="BV305" s="20">
        <v>0</v>
      </c>
      <c r="CL305" s="20">
        <v>0</v>
      </c>
      <c r="DD305" s="20" t="s">
        <v>1179</v>
      </c>
      <c r="DE305" s="20" t="s">
        <v>1179</v>
      </c>
      <c r="DI305" s="20">
        <v>0</v>
      </c>
      <c r="DP305" s="21" t="s">
        <v>1180</v>
      </c>
      <c r="DQ305" s="21" t="str">
        <f>PartsMaster!$A296</f>
        <v>NCA2542DAx</v>
      </c>
      <c r="DR305" s="21" t="s">
        <v>1181</v>
      </c>
      <c r="DS305" s="21" t="str">
        <f>PartsMaster!$K297&amp;" "&amp;PartsMaster!L297&amp;" "&amp;PartsMaster!$M297</f>
        <v xml:space="preserve">  </v>
      </c>
    </row>
    <row r="306" spans="1:123" ht="45" hidden="1" x14ac:dyDescent="0.25">
      <c r="A306" s="20" t="s">
        <v>1166</v>
      </c>
      <c r="B306" s="20" t="s">
        <v>1167</v>
      </c>
      <c r="C306" s="20" t="s">
        <v>1168</v>
      </c>
      <c r="D306" s="21" t="str">
        <f>PartsMaster!B314&amp;" "&amp;PartsMaster!$C314</f>
        <v>Jaguar XK8 XKR X100 PICK UP PIPE O-RING</v>
      </c>
      <c r="E306" s="20">
        <v>3000</v>
      </c>
      <c r="F306" s="20" t="s">
        <v>1182</v>
      </c>
      <c r="H306" s="21" t="str">
        <f>PartsMaster!$Q314</f>
        <v>PICK UP PIPE O-RING</v>
      </c>
      <c r="I306" s="20">
        <v>9886</v>
      </c>
      <c r="K306" s="20">
        <v>0</v>
      </c>
      <c r="L306" s="20">
        <v>0</v>
      </c>
      <c r="M306" s="21">
        <f>PartsMaster!$D314</f>
        <v>0</v>
      </c>
      <c r="O306" s="20" t="s">
        <v>1169</v>
      </c>
      <c r="P306" s="23">
        <f>PartsMaster!$S314/1.45</f>
        <v>0</v>
      </c>
      <c r="S306" s="20">
        <v>30</v>
      </c>
      <c r="T306" s="20">
        <v>0</v>
      </c>
      <c r="U306" s="20" t="s">
        <v>1170</v>
      </c>
      <c r="Z306" s="26" t="str">
        <f>"&lt;P&gt;"&amp;PartsMaster!$I314&amp;" "&amp;PartsMaster!$H314&amp;"&lt;/P&gt;"&amp;"&lt;P&gt;Jaguar part name "&amp;PartsMaster!$E314&amp;"&lt;/P&gt;&lt;P&gt;Product numbers "&amp;PartsMaster!R314&amp;" "&amp;DQ306&amp;"&lt;/P&gt;&lt;P&gt;Fits starting from VIN/ModelYear "&amp;PartsMaster!$F314&amp;" until VIN/ModelYear "&amp;PartsMaster!$G314&amp;"&lt;/P&gt;&lt;P&gt;Condition: "&amp;PartsMaster!AB314&amp;"&lt;/P&gt;&lt;P&gt; (part source "&amp;PartsMaster!AD314&amp;")&lt;/P&gt;&lt;P&gt;Notes: "&amp;PartsMaster!AA314&amp;"&lt;/P&gt;"</f>
        <v>&lt;P&gt;Engine Oil Gasket / Seal / O-Ring&lt;/P&gt;&lt;P&gt;Jaguar part name &lt;/P&gt;&lt;P&gt;Product numbers NCE1746AA NCE1746AA&lt;/P&gt;&lt;P&gt;Fits starting from VIN/ModelYear  until VIN/ModelYear &lt;/P&gt;&lt;P&gt;Condition: British Parts&lt;/P&gt;&lt;P&gt; (part source )&lt;/P&gt;&lt;P&gt;Notes: &lt;/P&gt;</v>
      </c>
      <c r="AA306" s="20" t="s">
        <v>1171</v>
      </c>
      <c r="AC306" s="20">
        <v>0</v>
      </c>
      <c r="AD306" s="20">
        <v>0</v>
      </c>
      <c r="AE306" s="20" t="s">
        <v>1172</v>
      </c>
      <c r="AF306" s="20">
        <v>7</v>
      </c>
      <c r="AG306" s="20">
        <v>0</v>
      </c>
      <c r="AH306" s="20">
        <v>0</v>
      </c>
      <c r="AI306" s="20">
        <v>0</v>
      </c>
      <c r="AJ306" s="20">
        <v>0</v>
      </c>
      <c r="AK306" s="20">
        <v>0</v>
      </c>
      <c r="AO306" s="20" t="s">
        <v>1173</v>
      </c>
      <c r="AR306" s="20">
        <v>0</v>
      </c>
      <c r="AS306" s="20">
        <v>10112</v>
      </c>
      <c r="AV306" s="20" t="s">
        <v>1174</v>
      </c>
      <c r="AX306" s="20">
        <v>62128510024</v>
      </c>
      <c r="AY306" s="20">
        <v>62035811024</v>
      </c>
      <c r="AZ306" s="20">
        <v>55187694024</v>
      </c>
      <c r="BA306" s="20" t="s">
        <v>1175</v>
      </c>
      <c r="BB306" s="20" t="s">
        <v>1176</v>
      </c>
      <c r="BC306" s="20" t="s">
        <v>1177</v>
      </c>
      <c r="BD306" s="20">
        <v>1</v>
      </c>
      <c r="BE306" s="20">
        <v>0</v>
      </c>
      <c r="BF306" s="20">
        <v>0</v>
      </c>
      <c r="BG306" s="20">
        <v>0</v>
      </c>
      <c r="BN306" s="20" t="s">
        <v>1178</v>
      </c>
      <c r="BV306" s="20">
        <v>0</v>
      </c>
      <c r="CL306" s="20">
        <v>0</v>
      </c>
      <c r="DD306" s="20" t="s">
        <v>1179</v>
      </c>
      <c r="DE306" s="20" t="s">
        <v>1179</v>
      </c>
      <c r="DI306" s="20">
        <v>0</v>
      </c>
      <c r="DP306" s="21" t="s">
        <v>1180</v>
      </c>
      <c r="DQ306" s="21" t="str">
        <f>PartsMaster!$A314</f>
        <v>NCE1746AA</v>
      </c>
      <c r="DR306" s="21" t="s">
        <v>1181</v>
      </c>
      <c r="DS306" s="21" t="str">
        <f>PartsMaster!$K315&amp;" "&amp;PartsMaster!L315&amp;" "&amp;PartsMaster!$M315</f>
        <v xml:space="preserve">  </v>
      </c>
    </row>
    <row r="307" spans="1:123" ht="30" x14ac:dyDescent="0.25">
      <c r="A307" s="20" t="s">
        <v>1166</v>
      </c>
      <c r="B307" s="20" t="s">
        <v>1167</v>
      </c>
      <c r="C307" s="20" t="s">
        <v>1168</v>
      </c>
      <c r="D307" s="21" t="str">
        <f>PartsMaster!B365&amp;" "&amp;PartsMaster!$C365</f>
        <v>Jaguar XK8 XKR X100 XJ8 XJR X308 Seal Camshaft Cover Center</v>
      </c>
      <c r="E307" s="20">
        <v>3000</v>
      </c>
      <c r="F307" s="20" t="s">
        <v>1182</v>
      </c>
      <c r="H307" s="21" t="str">
        <f>PartsMaster!$Q365</f>
        <v>Camshaft Cover Centre Seal</v>
      </c>
      <c r="I307" s="20">
        <v>9886</v>
      </c>
      <c r="K307" s="20">
        <v>0</v>
      </c>
      <c r="L307" s="20">
        <v>0</v>
      </c>
      <c r="M307" s="21">
        <f>PartsMaster!$D365</f>
        <v>0</v>
      </c>
      <c r="O307" s="20" t="s">
        <v>1169</v>
      </c>
      <c r="P307" s="23">
        <f>PartsMaster!$S365/1.45</f>
        <v>0</v>
      </c>
      <c r="S307" s="20">
        <v>30</v>
      </c>
      <c r="T307" s="20">
        <v>0</v>
      </c>
      <c r="U307" s="20" t="s">
        <v>1170</v>
      </c>
      <c r="Z307" s="26" t="str">
        <f>"&lt;P&gt;"&amp;PartsMaster!$I365&amp;" "&amp;PartsMaster!$H365&amp;"&lt;/P&gt;"&amp;"&lt;P&gt;Jaguar part name "&amp;PartsMaster!$E365&amp;"&lt;/P&gt;&lt;P&gt;Product numbers "&amp;PartsMaster!R365&amp;" "&amp;DQ307&amp;"&lt;/P&gt;&lt;P&gt;Fits starting from VIN/ModelYear "&amp;PartsMaster!$F365&amp;" until VIN/ModelYear "&amp;PartsMaster!$G365&amp;"&lt;/P&gt;&lt;P&gt;Condition: "&amp;PartsMaster!AB365&amp;"&lt;/P&gt;&lt;P&gt; (part source "&amp;PartsMaster!AD365&amp;")&lt;/P&gt;&lt;P&gt;Notes: "&amp;PartsMaster!AA365&amp;"&lt;/P&gt;"</f>
        <v>&lt;P&gt; Gasket / Seal / O-Ring&lt;/P&gt;&lt;P&gt;Jaguar part name &lt;/P&gt;&lt;P&gt;Product numbers AJ87242 0&lt;/P&gt;&lt;P&gt;Fits starting from VIN/ModelYear X100 4.0L, 1996 - X308 4.0L, 1997 until VIN/ModelYear X100 4.0L, 2006 - X308 4.0L, 2002&lt;/P&gt;&lt;P&gt;Condition: &lt;/P&gt;&lt;P&gt; (part source )&lt;/P&gt;&lt;P&gt;Notes: &lt;/P&gt;</v>
      </c>
      <c r="AA307" s="20" t="s">
        <v>1171</v>
      </c>
      <c r="AC307" s="20">
        <v>0</v>
      </c>
      <c r="AD307" s="20">
        <v>0</v>
      </c>
      <c r="AE307" s="20" t="s">
        <v>1172</v>
      </c>
      <c r="AF307" s="20">
        <v>7</v>
      </c>
      <c r="AG307" s="20">
        <v>0</v>
      </c>
      <c r="AH307" s="20">
        <v>0</v>
      </c>
      <c r="AI307" s="20">
        <v>0</v>
      </c>
      <c r="AJ307" s="20">
        <v>0</v>
      </c>
      <c r="AK307" s="20">
        <v>0</v>
      </c>
      <c r="AO307" s="20" t="s">
        <v>1173</v>
      </c>
      <c r="AR307" s="20">
        <v>0</v>
      </c>
      <c r="AS307" s="20">
        <v>10112</v>
      </c>
      <c r="AV307" s="20" t="s">
        <v>1174</v>
      </c>
      <c r="AX307" s="20">
        <v>62128510024</v>
      </c>
      <c r="AY307" s="20">
        <v>62035811024</v>
      </c>
      <c r="AZ307" s="20">
        <v>55187694024</v>
      </c>
      <c r="BA307" s="20" t="s">
        <v>1175</v>
      </c>
      <c r="BB307" s="20" t="s">
        <v>1176</v>
      </c>
      <c r="BC307" s="20" t="s">
        <v>1177</v>
      </c>
      <c r="BD307" s="20">
        <v>1</v>
      </c>
      <c r="BE307" s="20">
        <v>0</v>
      </c>
      <c r="BF307" s="20">
        <v>0</v>
      </c>
      <c r="BG307" s="20">
        <v>0</v>
      </c>
      <c r="BN307" s="20" t="s">
        <v>1178</v>
      </c>
      <c r="BV307" s="20">
        <v>0</v>
      </c>
      <c r="CL307" s="20">
        <v>0</v>
      </c>
      <c r="DD307" s="20" t="s">
        <v>1179</v>
      </c>
      <c r="DE307" s="20" t="s">
        <v>1179</v>
      </c>
      <c r="DI307" s="20">
        <v>0</v>
      </c>
      <c r="DP307" s="21" t="s">
        <v>1180</v>
      </c>
      <c r="DQ307" s="21">
        <f>PartsMaster!$A365</f>
        <v>0</v>
      </c>
      <c r="DR307" s="21" t="s">
        <v>1181</v>
      </c>
      <c r="DS307" s="21" t="str">
        <f>PartsMaster!$K366&amp;" "&amp;PartsMaster!L366&amp;" "&amp;PartsMaster!$M366</f>
        <v xml:space="preserve">  </v>
      </c>
    </row>
    <row r="308" spans="1:123" hidden="1" x14ac:dyDescent="0.25">
      <c r="A308" s="20" t="s">
        <v>1166</v>
      </c>
      <c r="B308" s="20" t="s">
        <v>1167</v>
      </c>
      <c r="C308" s="20" t="s">
        <v>1168</v>
      </c>
      <c r="D308" s="21" t="str">
        <f>PartsMaster!B300&amp;" "&amp;PartsMaster!$C300</f>
        <v>Jaguar XK8 XKR X100 GASKET-EXHAUST MANIFOLD</v>
      </c>
      <c r="E308" s="20">
        <v>3000</v>
      </c>
      <c r="F308" s="20" t="s">
        <v>1182</v>
      </c>
      <c r="H308" s="21" t="str">
        <f>PartsMaster!$Q300</f>
        <v>GASKET-EXHAUST MANIFOLD</v>
      </c>
      <c r="I308" s="20">
        <v>9886</v>
      </c>
      <c r="K308" s="20">
        <v>0</v>
      </c>
      <c r="L308" s="20">
        <v>0</v>
      </c>
      <c r="M308" s="21">
        <f>PartsMaster!$D300</f>
        <v>0</v>
      </c>
      <c r="O308" s="20" t="s">
        <v>1169</v>
      </c>
      <c r="P308" s="23">
        <f>PartsMaster!$S300/1.45</f>
        <v>0</v>
      </c>
      <c r="S308" s="20">
        <v>30</v>
      </c>
      <c r="T308" s="20">
        <v>0</v>
      </c>
      <c r="U308" s="20" t="s">
        <v>1170</v>
      </c>
      <c r="Z308" s="26" t="str">
        <f>"&lt;P&gt;"&amp;PartsMaster!$I300&amp;" "&amp;PartsMaster!$H300&amp;"&lt;/P&gt;"&amp;"&lt;P&gt;Jaguar part name "&amp;PartsMaster!$E300&amp;"&lt;/P&gt;&lt;P&gt;Product numbers "&amp;PartsMaster!R300&amp;" "&amp;DQ308&amp;"&lt;/P&gt;&lt;P&gt;Fits starting from VIN/ModelYear "&amp;PartsMaster!$F300&amp;" until VIN/ModelYear "&amp;PartsMaster!$G300&amp;"&lt;/P&gt;&lt;P&gt;Condition: "&amp;PartsMaster!AB300&amp;"&lt;/P&gt;&lt;P&gt; (part source "&amp;PartsMaster!AD300&amp;")&lt;/P&gt;&lt;P&gt;Notes: "&amp;PartsMaster!AA300&amp;"&lt;/P&gt;"</f>
        <v>&lt;P&gt;Engine Exchaust Gasket / Seal / O-Ring&lt;/P&gt;&lt;P&gt;Jaguar part name &lt;/P&gt;&lt;P&gt;Product numbers NCA2906AE NCA2906AE&lt;/P&gt;&lt;P&gt;Fits starting from VIN/ModelYear  until VIN/ModelYear &lt;/P&gt;&lt;P&gt;Condition: British Parts&lt;/P&gt;&lt;P&gt; (part source )&lt;/P&gt;&lt;P&gt;Notes: &lt;/P&gt;</v>
      </c>
      <c r="AA308" s="20" t="s">
        <v>1171</v>
      </c>
      <c r="AC308" s="20">
        <v>0</v>
      </c>
      <c r="AD308" s="20">
        <v>0</v>
      </c>
      <c r="AE308" s="20" t="s">
        <v>1172</v>
      </c>
      <c r="AF308" s="20">
        <v>7</v>
      </c>
      <c r="AG308" s="20">
        <v>0</v>
      </c>
      <c r="AH308" s="20">
        <v>0</v>
      </c>
      <c r="AI308" s="20">
        <v>0</v>
      </c>
      <c r="AJ308" s="20">
        <v>0</v>
      </c>
      <c r="AK308" s="20">
        <v>0</v>
      </c>
      <c r="AO308" s="20" t="s">
        <v>1173</v>
      </c>
      <c r="AR308" s="20">
        <v>0</v>
      </c>
      <c r="AS308" s="20">
        <v>10112</v>
      </c>
      <c r="AV308" s="20" t="s">
        <v>1174</v>
      </c>
      <c r="AX308" s="20">
        <v>62128510024</v>
      </c>
      <c r="AY308" s="20">
        <v>62035811024</v>
      </c>
      <c r="AZ308" s="20">
        <v>55187694024</v>
      </c>
      <c r="BA308" s="20" t="s">
        <v>1175</v>
      </c>
      <c r="BB308" s="20" t="s">
        <v>1176</v>
      </c>
      <c r="BC308" s="20" t="s">
        <v>1177</v>
      </c>
      <c r="BD308" s="20">
        <v>1</v>
      </c>
      <c r="BE308" s="20">
        <v>0</v>
      </c>
      <c r="BF308" s="20">
        <v>0</v>
      </c>
      <c r="BG308" s="20">
        <v>0</v>
      </c>
      <c r="BN308" s="20" t="s">
        <v>1178</v>
      </c>
      <c r="BV308" s="20">
        <v>0</v>
      </c>
      <c r="CL308" s="20">
        <v>0</v>
      </c>
      <c r="DD308" s="20" t="s">
        <v>1179</v>
      </c>
      <c r="DE308" s="20" t="s">
        <v>1179</v>
      </c>
      <c r="DI308" s="20">
        <v>0</v>
      </c>
      <c r="DP308" s="21" t="s">
        <v>1180</v>
      </c>
      <c r="DQ308" s="21" t="str">
        <f>PartsMaster!$A300</f>
        <v>NCA2906AE</v>
      </c>
      <c r="DR308" s="21" t="s">
        <v>1181</v>
      </c>
      <c r="DS308" s="21" t="str">
        <f>PartsMaster!$K301&amp;" "&amp;PartsMaster!L301&amp;" "&amp;PartsMaster!$M301</f>
        <v xml:space="preserve">  </v>
      </c>
    </row>
    <row r="309" spans="1:123" ht="30" x14ac:dyDescent="0.25">
      <c r="A309" s="20" t="s">
        <v>1166</v>
      </c>
      <c r="B309" s="20" t="s">
        <v>1167</v>
      </c>
      <c r="C309" s="20" t="s">
        <v>1168</v>
      </c>
      <c r="D309" s="21" t="str">
        <f>PartsMaster!B366&amp;" "&amp;PartsMaster!$C366</f>
        <v>Jaguar XK8 XKR X100 XJ8 XJR X308 Seal Camshaft Cover VVT</v>
      </c>
      <c r="E309" s="20">
        <v>3000</v>
      </c>
      <c r="F309" s="20" t="s">
        <v>1182</v>
      </c>
      <c r="H309" s="21" t="str">
        <f>PartsMaster!$Q366</f>
        <v>Camshaft Cover Oil Seal For Variable 
Valve Timing Sensor V8 Engines</v>
      </c>
      <c r="I309" s="20">
        <v>9886</v>
      </c>
      <c r="K309" s="20">
        <v>0</v>
      </c>
      <c r="L309" s="20">
        <v>0</v>
      </c>
      <c r="M309" s="21">
        <f>PartsMaster!$D366</f>
        <v>0</v>
      </c>
      <c r="O309" s="20" t="s">
        <v>1169</v>
      </c>
      <c r="P309" s="23">
        <f>PartsMaster!$S366/1.45</f>
        <v>0</v>
      </c>
      <c r="S309" s="20">
        <v>30</v>
      </c>
      <c r="T309" s="20">
        <v>0</v>
      </c>
      <c r="U309" s="20" t="s">
        <v>1170</v>
      </c>
      <c r="Z309" s="26" t="str">
        <f>"&lt;P&gt;"&amp;PartsMaster!$I366&amp;" "&amp;PartsMaster!$H366&amp;"&lt;/P&gt;"&amp;"&lt;P&gt;Jaguar part name "&amp;PartsMaster!$E366&amp;"&lt;/P&gt;&lt;P&gt;Product numbers "&amp;PartsMaster!R366&amp;" "&amp;DQ309&amp;"&lt;/P&gt;&lt;P&gt;Fits starting from VIN/ModelYear "&amp;PartsMaster!$F366&amp;" until VIN/ModelYear "&amp;PartsMaster!$G366&amp;"&lt;/P&gt;&lt;P&gt;Condition: "&amp;PartsMaster!AB366&amp;"&lt;/P&gt;&lt;P&gt; (part source "&amp;PartsMaster!AD366&amp;")&lt;/P&gt;&lt;P&gt;Notes: "&amp;PartsMaster!AA366&amp;"&lt;/P&gt;"</f>
        <v>&lt;P&gt; Gasket / Seal / O-Ring&lt;/P&gt;&lt;P&gt;Jaguar part name &lt;/P&gt;&lt;P&gt;Product numbers AJ82856 0&lt;/P&gt;&lt;P&gt;Fits starting from VIN/ModelYear X100, 1996 - X308, 1997 until VIN/ModelYear X100, 2006 - X308, 2002&lt;/P&gt;&lt;P&gt;Condition: &lt;/P&gt;&lt;P&gt; (part source )&lt;/P&gt;&lt;P&gt;Notes: &lt;/P&gt;</v>
      </c>
      <c r="AA309" s="20" t="s">
        <v>1171</v>
      </c>
      <c r="AC309" s="20">
        <v>0</v>
      </c>
      <c r="AD309" s="20">
        <v>0</v>
      </c>
      <c r="AE309" s="20" t="s">
        <v>1172</v>
      </c>
      <c r="AF309" s="20">
        <v>7</v>
      </c>
      <c r="AG309" s="20">
        <v>0</v>
      </c>
      <c r="AH309" s="20">
        <v>0</v>
      </c>
      <c r="AI309" s="20">
        <v>0</v>
      </c>
      <c r="AJ309" s="20">
        <v>0</v>
      </c>
      <c r="AK309" s="20">
        <v>0</v>
      </c>
      <c r="AO309" s="20" t="s">
        <v>1173</v>
      </c>
      <c r="AR309" s="20">
        <v>0</v>
      </c>
      <c r="AS309" s="20">
        <v>10112</v>
      </c>
      <c r="AV309" s="20" t="s">
        <v>1174</v>
      </c>
      <c r="AX309" s="20">
        <v>62128510024</v>
      </c>
      <c r="AY309" s="20">
        <v>62035811024</v>
      </c>
      <c r="AZ309" s="20">
        <v>55187694024</v>
      </c>
      <c r="BA309" s="20" t="s">
        <v>1175</v>
      </c>
      <c r="BB309" s="20" t="s">
        <v>1176</v>
      </c>
      <c r="BC309" s="20" t="s">
        <v>1177</v>
      </c>
      <c r="BD309" s="20">
        <v>1</v>
      </c>
      <c r="BE309" s="20">
        <v>0</v>
      </c>
      <c r="BF309" s="20">
        <v>0</v>
      </c>
      <c r="BG309" s="20">
        <v>0</v>
      </c>
      <c r="BN309" s="20" t="s">
        <v>1178</v>
      </c>
      <c r="BV309" s="20">
        <v>0</v>
      </c>
      <c r="CL309" s="20">
        <v>0</v>
      </c>
      <c r="DD309" s="20" t="s">
        <v>1179</v>
      </c>
      <c r="DE309" s="20" t="s">
        <v>1179</v>
      </c>
      <c r="DI309" s="20">
        <v>0</v>
      </c>
      <c r="DP309" s="21" t="s">
        <v>1180</v>
      </c>
      <c r="DQ309" s="21">
        <f>PartsMaster!$A366</f>
        <v>0</v>
      </c>
      <c r="DR309" s="21" t="s">
        <v>1181</v>
      </c>
      <c r="DS309" s="21" t="str">
        <f>PartsMaster!$K367&amp;" "&amp;PartsMaster!L367&amp;" "&amp;PartsMaster!$M367</f>
        <v>Front Left Low</v>
      </c>
    </row>
    <row r="310" spans="1:123" hidden="1" x14ac:dyDescent="0.25">
      <c r="A310" s="20" t="s">
        <v>1166</v>
      </c>
      <c r="B310" s="20" t="s">
        <v>1167</v>
      </c>
      <c r="C310" s="20" t="s">
        <v>1168</v>
      </c>
      <c r="D310" s="21" t="str">
        <f>PartsMaster!B302&amp;" "&amp;PartsMaster!$C302</f>
        <v>Jaguar XK8 XKR X100 GASKET-SEAL</v>
      </c>
      <c r="E310" s="20">
        <v>3000</v>
      </c>
      <c r="F310" s="20" t="s">
        <v>1182</v>
      </c>
      <c r="H310" s="21" t="str">
        <f>PartsMaster!$Q302</f>
        <v>GASKET-SEAL</v>
      </c>
      <c r="I310" s="20">
        <v>9886</v>
      </c>
      <c r="K310" s="20">
        <v>0</v>
      </c>
      <c r="L310" s="20">
        <v>0</v>
      </c>
      <c r="M310" s="21">
        <f>PartsMaster!$D302</f>
        <v>0</v>
      </c>
      <c r="O310" s="20" t="s">
        <v>1169</v>
      </c>
      <c r="P310" s="23">
        <f>PartsMaster!$S302/1.45</f>
        <v>0</v>
      </c>
      <c r="S310" s="20">
        <v>30</v>
      </c>
      <c r="T310" s="20">
        <v>0</v>
      </c>
      <c r="U310" s="20" t="s">
        <v>1170</v>
      </c>
      <c r="Z310" s="26" t="str">
        <f>"&lt;P&gt;"&amp;PartsMaster!$I302&amp;" "&amp;PartsMaster!$H302&amp;"&lt;/P&gt;"&amp;"&lt;P&gt;Jaguar part name "&amp;PartsMaster!$E302&amp;"&lt;/P&gt;&lt;P&gt;Product numbers "&amp;PartsMaster!R302&amp;" "&amp;DQ310&amp;"&lt;/P&gt;&lt;P&gt;Fits starting from VIN/ModelYear "&amp;PartsMaster!$F302&amp;" until VIN/ModelYear "&amp;PartsMaster!$G302&amp;"&lt;/P&gt;&lt;P&gt;Condition: "&amp;PartsMaster!AB302&amp;"&lt;/P&gt;&lt;P&gt; (part source "&amp;PartsMaster!AD302&amp;")&lt;/P&gt;&lt;P&gt;Notes: "&amp;PartsMaster!AA302&amp;"&lt;/P&gt;"</f>
        <v>&lt;P&gt;Engine Inlet Gasket / Seal / O-Ring&lt;/P&gt;&lt;P&gt;Jaguar part name &lt;/P&gt;&lt;P&gt;Product numbers NCA3015BA NCA3015BA&lt;/P&gt;&lt;P&gt;Fits starting from VIN/ModelYear  until VIN/ModelYear &lt;/P&gt;&lt;P&gt;Condition: British Parts&lt;/P&gt;&lt;P&gt; (part source )&lt;/P&gt;&lt;P&gt;Notes: &lt;/P&gt;</v>
      </c>
      <c r="AA310" s="20" t="s">
        <v>1171</v>
      </c>
      <c r="AC310" s="20">
        <v>0</v>
      </c>
      <c r="AD310" s="20">
        <v>0</v>
      </c>
      <c r="AE310" s="20" t="s">
        <v>1172</v>
      </c>
      <c r="AF310" s="20">
        <v>7</v>
      </c>
      <c r="AG310" s="20">
        <v>0</v>
      </c>
      <c r="AH310" s="20">
        <v>0</v>
      </c>
      <c r="AI310" s="20">
        <v>0</v>
      </c>
      <c r="AJ310" s="20">
        <v>0</v>
      </c>
      <c r="AK310" s="20">
        <v>0</v>
      </c>
      <c r="AO310" s="20" t="s">
        <v>1173</v>
      </c>
      <c r="AR310" s="20">
        <v>0</v>
      </c>
      <c r="AS310" s="20">
        <v>10112</v>
      </c>
      <c r="AV310" s="20" t="s">
        <v>1174</v>
      </c>
      <c r="AX310" s="20">
        <v>62128510024</v>
      </c>
      <c r="AY310" s="20">
        <v>62035811024</v>
      </c>
      <c r="AZ310" s="20">
        <v>55187694024</v>
      </c>
      <c r="BA310" s="20" t="s">
        <v>1175</v>
      </c>
      <c r="BB310" s="20" t="s">
        <v>1176</v>
      </c>
      <c r="BC310" s="20" t="s">
        <v>1177</v>
      </c>
      <c r="BD310" s="20">
        <v>1</v>
      </c>
      <c r="BE310" s="20">
        <v>0</v>
      </c>
      <c r="BF310" s="20">
        <v>0</v>
      </c>
      <c r="BG310" s="20">
        <v>0</v>
      </c>
      <c r="BN310" s="20" t="s">
        <v>1178</v>
      </c>
      <c r="BV310" s="20">
        <v>0</v>
      </c>
      <c r="CL310" s="20">
        <v>0</v>
      </c>
      <c r="DD310" s="20" t="s">
        <v>1179</v>
      </c>
      <c r="DE310" s="20" t="s">
        <v>1179</v>
      </c>
      <c r="DI310" s="20">
        <v>0</v>
      </c>
      <c r="DP310" s="21" t="s">
        <v>1180</v>
      </c>
      <c r="DQ310" s="21" t="str">
        <f>PartsMaster!$A302</f>
        <v>NCA3015BA</v>
      </c>
      <c r="DR310" s="21" t="s">
        <v>1181</v>
      </c>
      <c r="DS310" s="21" t="str">
        <f>PartsMaster!$K303&amp;" "&amp;PartsMaster!L303&amp;" "&amp;PartsMaster!$M303</f>
        <v xml:space="preserve">  </v>
      </c>
    </row>
    <row r="311" spans="1:123" ht="30" hidden="1" x14ac:dyDescent="0.25">
      <c r="A311" s="20" t="s">
        <v>1166</v>
      </c>
      <c r="B311" s="20" t="s">
        <v>1167</v>
      </c>
      <c r="C311" s="20" t="s">
        <v>1168</v>
      </c>
      <c r="D311" s="21" t="str">
        <f>PartsMaster!B303&amp;" "&amp;PartsMaster!$C303</f>
        <v>Jaguar XK8 XKR X100 GASKET-INLET MANIFOLD</v>
      </c>
      <c r="E311" s="20">
        <v>3000</v>
      </c>
      <c r="F311" s="20" t="s">
        <v>1182</v>
      </c>
      <c r="H311" s="21" t="str">
        <f>PartsMaster!$Q303</f>
        <v>GASKET-INLET MANIFOLD</v>
      </c>
      <c r="I311" s="20">
        <v>9886</v>
      </c>
      <c r="K311" s="20">
        <v>0</v>
      </c>
      <c r="L311" s="20">
        <v>0</v>
      </c>
      <c r="M311" s="21">
        <f>PartsMaster!$D303</f>
        <v>0</v>
      </c>
      <c r="O311" s="20" t="s">
        <v>1169</v>
      </c>
      <c r="P311" s="23">
        <f>PartsMaster!$S303/1.45</f>
        <v>0</v>
      </c>
      <c r="S311" s="20">
        <v>30</v>
      </c>
      <c r="T311" s="20">
        <v>0</v>
      </c>
      <c r="U311" s="20" t="s">
        <v>1170</v>
      </c>
      <c r="Z311" s="26" t="str">
        <f>"&lt;P&gt;"&amp;PartsMaster!$I303&amp;" "&amp;PartsMaster!$H303&amp;"&lt;/P&gt;"&amp;"&lt;P&gt;Jaguar part name "&amp;PartsMaster!$E303&amp;"&lt;/P&gt;&lt;P&gt;Product numbers "&amp;PartsMaster!R303&amp;" "&amp;DQ311&amp;"&lt;/P&gt;&lt;P&gt;Fits starting from VIN/ModelYear "&amp;PartsMaster!$F303&amp;" until VIN/ModelYear "&amp;PartsMaster!$G303&amp;"&lt;/P&gt;&lt;P&gt;Condition: "&amp;PartsMaster!AB303&amp;"&lt;/P&gt;&lt;P&gt; (part source "&amp;PartsMaster!AD303&amp;")&lt;/P&gt;&lt;P&gt;Notes: "&amp;PartsMaster!AA303&amp;"&lt;/P&gt;"</f>
        <v>&lt;P&gt;Engine Inlet Gasket / Seal / O-Ring&lt;/P&gt;&lt;P&gt;Jaguar part name &lt;/P&gt;&lt;P&gt;Product numbers NCA3016BB NCA3016BB&lt;/P&gt;&lt;P&gt;Fits starting from VIN/ModelYear  until VIN/ModelYear &lt;/P&gt;&lt;P&gt;Condition: British Parts&lt;/P&gt;&lt;P&gt; (part source )&lt;/P&gt;&lt;P&gt;Notes: &lt;/P&gt;</v>
      </c>
      <c r="AA311" s="20" t="s">
        <v>1171</v>
      </c>
      <c r="AC311" s="20">
        <v>0</v>
      </c>
      <c r="AD311" s="20">
        <v>0</v>
      </c>
      <c r="AE311" s="20" t="s">
        <v>1172</v>
      </c>
      <c r="AF311" s="20">
        <v>7</v>
      </c>
      <c r="AG311" s="20">
        <v>0</v>
      </c>
      <c r="AH311" s="20">
        <v>0</v>
      </c>
      <c r="AI311" s="20">
        <v>0</v>
      </c>
      <c r="AJ311" s="20">
        <v>0</v>
      </c>
      <c r="AK311" s="20">
        <v>0</v>
      </c>
      <c r="AO311" s="20" t="s">
        <v>1173</v>
      </c>
      <c r="AR311" s="20">
        <v>0</v>
      </c>
      <c r="AS311" s="20">
        <v>10112</v>
      </c>
      <c r="AV311" s="20" t="s">
        <v>1174</v>
      </c>
      <c r="AX311" s="20">
        <v>62128510024</v>
      </c>
      <c r="AY311" s="20">
        <v>62035811024</v>
      </c>
      <c r="AZ311" s="20">
        <v>55187694024</v>
      </c>
      <c r="BA311" s="20" t="s">
        <v>1175</v>
      </c>
      <c r="BB311" s="20" t="s">
        <v>1176</v>
      </c>
      <c r="BC311" s="20" t="s">
        <v>1177</v>
      </c>
      <c r="BD311" s="20">
        <v>1</v>
      </c>
      <c r="BE311" s="20">
        <v>0</v>
      </c>
      <c r="BF311" s="20">
        <v>0</v>
      </c>
      <c r="BG311" s="20">
        <v>0</v>
      </c>
      <c r="BN311" s="20" t="s">
        <v>1178</v>
      </c>
      <c r="BV311" s="20">
        <v>0</v>
      </c>
      <c r="CL311" s="20">
        <v>0</v>
      </c>
      <c r="DD311" s="20" t="s">
        <v>1179</v>
      </c>
      <c r="DE311" s="20" t="s">
        <v>1179</v>
      </c>
      <c r="DI311" s="20">
        <v>0</v>
      </c>
      <c r="DP311" s="21" t="s">
        <v>1180</v>
      </c>
      <c r="DQ311" s="21" t="str">
        <f>PartsMaster!$A303</f>
        <v>NCA3016BB</v>
      </c>
      <c r="DR311" s="21" t="s">
        <v>1181</v>
      </c>
      <c r="DS311" s="21" t="str">
        <f>PartsMaster!$K304&amp;" "&amp;PartsMaster!L304&amp;" "&amp;PartsMaster!$M304</f>
        <v xml:space="preserve">  </v>
      </c>
    </row>
    <row r="312" spans="1:123" ht="75" hidden="1" x14ac:dyDescent="0.25">
      <c r="A312" s="20" t="s">
        <v>1166</v>
      </c>
      <c r="B312" s="20" t="s">
        <v>1167</v>
      </c>
      <c r="C312" s="20" t="s">
        <v>1168</v>
      </c>
      <c r="D312" s="21" t="str">
        <f>PartsMaster!B304&amp;" "&amp;PartsMaster!$C304</f>
        <v>Jaguar XK8 XKR X100 GASKET-THROTTLE BODY</v>
      </c>
      <c r="E312" s="20">
        <v>3000</v>
      </c>
      <c r="F312" s="20" t="s">
        <v>1182</v>
      </c>
      <c r="H312" s="21" t="str">
        <f>PartsMaster!$Q304</f>
        <v>GASKET-THROTTLE BODY</v>
      </c>
      <c r="I312" s="20">
        <v>9886</v>
      </c>
      <c r="K312" s="20">
        <v>0</v>
      </c>
      <c r="L312" s="20">
        <v>0</v>
      </c>
      <c r="M312" s="21">
        <f>PartsMaster!$D304</f>
        <v>0</v>
      </c>
      <c r="O312" s="20" t="s">
        <v>1169</v>
      </c>
      <c r="P312" s="23">
        <f>PartsMaster!$S304/1.45</f>
        <v>0</v>
      </c>
      <c r="S312" s="20">
        <v>30</v>
      </c>
      <c r="T312" s="20">
        <v>0</v>
      </c>
      <c r="U312" s="20" t="s">
        <v>1170</v>
      </c>
      <c r="Z312" s="26" t="str">
        <f>"&lt;P&gt;"&amp;PartsMaster!$I304&amp;" "&amp;PartsMaster!$H304&amp;"&lt;/P&gt;"&amp;"&lt;P&gt;Jaguar part name "&amp;PartsMaster!$E304&amp;"&lt;/P&gt;&lt;P&gt;Product numbers "&amp;PartsMaster!R304&amp;" "&amp;DQ312&amp;"&lt;/P&gt;&lt;P&gt;Fits starting from VIN/ModelYear "&amp;PartsMaster!$F304&amp;" until VIN/ModelYear "&amp;PartsMaster!$G304&amp;"&lt;/P&gt;&lt;P&gt;Condition: "&amp;PartsMaster!AB304&amp;"&lt;/P&gt;&lt;P&gt; (part source "&amp;PartsMaster!AD304&amp;")&lt;/P&gt;&lt;P&gt;Notes: "&amp;PartsMaster!AA304&amp;"&lt;/P&gt;"</f>
        <v>&lt;P&gt;Engine Inlet Gasket / Seal / O-Ring&lt;/P&gt;&lt;P&gt;Jaguar part name &lt;/P&gt;&lt;P&gt;Product numbers NCA3021BA NCA3021BA&lt;/P&gt;&lt;P&gt;Fits starting from VIN/ModelYear  until VIN/ModelYear &lt;/P&gt;&lt;P&gt;Condition: British Parts&lt;/P&gt;&lt;P&gt; (part source )&lt;/P&gt;&lt;P&gt;Notes: &lt;/P&gt;</v>
      </c>
      <c r="AA312" s="20" t="s">
        <v>1171</v>
      </c>
      <c r="AC312" s="20">
        <v>0</v>
      </c>
      <c r="AD312" s="20">
        <v>0</v>
      </c>
      <c r="AE312" s="20" t="s">
        <v>1172</v>
      </c>
      <c r="AF312" s="20">
        <v>7</v>
      </c>
      <c r="AG312" s="20">
        <v>0</v>
      </c>
      <c r="AH312" s="20">
        <v>0</v>
      </c>
      <c r="AI312" s="20">
        <v>0</v>
      </c>
      <c r="AJ312" s="20">
        <v>0</v>
      </c>
      <c r="AK312" s="20">
        <v>0</v>
      </c>
      <c r="AO312" s="20" t="s">
        <v>1173</v>
      </c>
      <c r="AR312" s="20">
        <v>0</v>
      </c>
      <c r="AS312" s="20">
        <v>10112</v>
      </c>
      <c r="AV312" s="20" t="s">
        <v>1174</v>
      </c>
      <c r="AX312" s="20">
        <v>62128510024</v>
      </c>
      <c r="AY312" s="20">
        <v>62035811024</v>
      </c>
      <c r="AZ312" s="20">
        <v>55187694024</v>
      </c>
      <c r="BA312" s="20" t="s">
        <v>1175</v>
      </c>
      <c r="BB312" s="20" t="s">
        <v>1176</v>
      </c>
      <c r="BC312" s="20" t="s">
        <v>1177</v>
      </c>
      <c r="BD312" s="20">
        <v>1</v>
      </c>
      <c r="BE312" s="20">
        <v>0</v>
      </c>
      <c r="BF312" s="20">
        <v>0</v>
      </c>
      <c r="BG312" s="20">
        <v>0</v>
      </c>
      <c r="BN312" s="20" t="s">
        <v>1178</v>
      </c>
      <c r="BV312" s="20">
        <v>0</v>
      </c>
      <c r="CL312" s="20">
        <v>0</v>
      </c>
      <c r="DD312" s="20" t="s">
        <v>1179</v>
      </c>
      <c r="DE312" s="20" t="s">
        <v>1179</v>
      </c>
      <c r="DI312" s="20">
        <v>0</v>
      </c>
      <c r="DP312" s="21" t="s">
        <v>1180</v>
      </c>
      <c r="DQ312" s="21" t="str">
        <f>PartsMaster!$A304</f>
        <v>NCA3021BA</v>
      </c>
      <c r="DR312" s="21" t="s">
        <v>1181</v>
      </c>
      <c r="DS312" s="21" t="str">
        <f>PartsMaster!$K305&amp;" "&amp;PartsMaster!L305&amp;" "&amp;PartsMaster!$M305</f>
        <v xml:space="preserve">  </v>
      </c>
    </row>
    <row r="313" spans="1:123" ht="30" hidden="1" x14ac:dyDescent="0.25">
      <c r="A313" s="20" t="s">
        <v>1166</v>
      </c>
      <c r="B313" s="20" t="s">
        <v>1167</v>
      </c>
      <c r="C313" s="20" t="s">
        <v>1168</v>
      </c>
      <c r="D313" s="21" t="str">
        <f>PartsMaster!B305&amp;" "&amp;PartsMaster!$C305</f>
        <v>Jaguar XK8 XKR X100 SPARK PLUG</v>
      </c>
      <c r="E313" s="20">
        <v>3000</v>
      </c>
      <c r="F313" s="20" t="s">
        <v>1182</v>
      </c>
      <c r="H313" s="21" t="str">
        <f>PartsMaster!$Q305</f>
        <v>SPARK PLUG</v>
      </c>
      <c r="I313" s="20">
        <v>9886</v>
      </c>
      <c r="K313" s="20">
        <v>0</v>
      </c>
      <c r="L313" s="20">
        <v>0</v>
      </c>
      <c r="M313" s="21">
        <f>PartsMaster!$D305</f>
        <v>0</v>
      </c>
      <c r="O313" s="20" t="s">
        <v>1169</v>
      </c>
      <c r="P313" s="23">
        <f>PartsMaster!$S305/1.45</f>
        <v>0</v>
      </c>
      <c r="S313" s="20">
        <v>30</v>
      </c>
      <c r="T313" s="20">
        <v>0</v>
      </c>
      <c r="U313" s="20" t="s">
        <v>1170</v>
      </c>
      <c r="Z313" s="26" t="str">
        <f>"&lt;P&gt;"&amp;PartsMaster!$I305&amp;" "&amp;PartsMaster!$H305&amp;"&lt;/P&gt;"&amp;"&lt;P&gt;Jaguar part name "&amp;PartsMaster!$E305&amp;"&lt;/P&gt;&lt;P&gt;Product numbers "&amp;PartsMaster!R305&amp;" "&amp;DQ313&amp;"&lt;/P&gt;&lt;P&gt;Fits starting from VIN/ModelYear "&amp;PartsMaster!$F305&amp;" until VIN/ModelYear "&amp;PartsMaster!$G305&amp;"&lt;/P&gt;&lt;P&gt;Condition: "&amp;PartsMaster!AB305&amp;"&lt;/P&gt;&lt;P&gt; (part source "&amp;PartsMaster!AD305&amp;")&lt;/P&gt;&lt;P&gt;Notes: "&amp;PartsMaster!AA305&amp;"&lt;/P&gt;"</f>
        <v>&lt;P&gt;Engine ignition &lt;/P&gt;&lt;P&gt;Jaguar part name &lt;/P&gt;&lt;P&gt;Product numbers NCA3850DA2 NCA3850DA2&lt;/P&gt;&lt;P&gt;Fits starting from VIN/ModelYear  until VIN/ModelYear &lt;/P&gt;&lt;P&gt;Condition: British Parts&lt;/P&gt;&lt;P&gt; (part source )&lt;/P&gt;&lt;P&gt;Notes: &lt;/P&gt;</v>
      </c>
      <c r="AA313" s="20" t="s">
        <v>1171</v>
      </c>
      <c r="AC313" s="20">
        <v>0</v>
      </c>
      <c r="AD313" s="20">
        <v>0</v>
      </c>
      <c r="AE313" s="20" t="s">
        <v>1172</v>
      </c>
      <c r="AF313" s="20">
        <v>7</v>
      </c>
      <c r="AG313" s="20">
        <v>0</v>
      </c>
      <c r="AH313" s="20">
        <v>0</v>
      </c>
      <c r="AI313" s="20">
        <v>0</v>
      </c>
      <c r="AJ313" s="20">
        <v>0</v>
      </c>
      <c r="AK313" s="20">
        <v>0</v>
      </c>
      <c r="AO313" s="20" t="s">
        <v>1173</v>
      </c>
      <c r="AR313" s="20">
        <v>0</v>
      </c>
      <c r="AS313" s="20">
        <v>10112</v>
      </c>
      <c r="AV313" s="20" t="s">
        <v>1174</v>
      </c>
      <c r="AX313" s="20">
        <v>62128510024</v>
      </c>
      <c r="AY313" s="20">
        <v>62035811024</v>
      </c>
      <c r="AZ313" s="20">
        <v>55187694024</v>
      </c>
      <c r="BA313" s="20" t="s">
        <v>1175</v>
      </c>
      <c r="BB313" s="20" t="s">
        <v>1176</v>
      </c>
      <c r="BC313" s="20" t="s">
        <v>1177</v>
      </c>
      <c r="BD313" s="20">
        <v>1</v>
      </c>
      <c r="BE313" s="20">
        <v>0</v>
      </c>
      <c r="BF313" s="20">
        <v>0</v>
      </c>
      <c r="BG313" s="20">
        <v>0</v>
      </c>
      <c r="BN313" s="20" t="s">
        <v>1178</v>
      </c>
      <c r="BV313" s="20">
        <v>0</v>
      </c>
      <c r="CL313" s="20">
        <v>0</v>
      </c>
      <c r="DD313" s="20" t="s">
        <v>1179</v>
      </c>
      <c r="DE313" s="20" t="s">
        <v>1179</v>
      </c>
      <c r="DI313" s="20">
        <v>0</v>
      </c>
      <c r="DP313" s="21" t="s">
        <v>1180</v>
      </c>
      <c r="DQ313" s="21" t="str">
        <f>PartsMaster!$A305</f>
        <v>NCA3850DA2</v>
      </c>
      <c r="DR313" s="21" t="s">
        <v>1181</v>
      </c>
      <c r="DS313" s="21" t="str">
        <f>PartsMaster!$K306&amp;" "&amp;PartsMaster!L306&amp;" "&amp;PartsMaster!$M306</f>
        <v xml:space="preserve">  </v>
      </c>
    </row>
    <row r="314" spans="1:123" ht="30" hidden="1" x14ac:dyDescent="0.25">
      <c r="A314" s="20" t="s">
        <v>1166</v>
      </c>
      <c r="B314" s="20" t="s">
        <v>1167</v>
      </c>
      <c r="C314" s="20" t="s">
        <v>1168</v>
      </c>
      <c r="D314" s="21" t="str">
        <f>PartsMaster!B306&amp;" "&amp;PartsMaster!$C306</f>
        <v>Jaguar XK8 XKR X100 SPARK PLUG</v>
      </c>
      <c r="E314" s="20">
        <v>3000</v>
      </c>
      <c r="F314" s="20" t="s">
        <v>1182</v>
      </c>
      <c r="H314" s="21" t="str">
        <f>PartsMaster!$Q306</f>
        <v>SPARK PLUG</v>
      </c>
      <c r="I314" s="20">
        <v>9886</v>
      </c>
      <c r="K314" s="20">
        <v>0</v>
      </c>
      <c r="L314" s="20">
        <v>0</v>
      </c>
      <c r="M314" s="21">
        <f>PartsMaster!$D306</f>
        <v>0</v>
      </c>
      <c r="O314" s="20" t="s">
        <v>1169</v>
      </c>
      <c r="P314" s="23">
        <f>PartsMaster!$S306/1.45</f>
        <v>0</v>
      </c>
      <c r="S314" s="20">
        <v>30</v>
      </c>
      <c r="T314" s="20">
        <v>0</v>
      </c>
      <c r="U314" s="20" t="s">
        <v>1170</v>
      </c>
      <c r="Z314" s="26" t="str">
        <f>"&lt;P&gt;"&amp;PartsMaster!$I306&amp;" "&amp;PartsMaster!$H306&amp;"&lt;/P&gt;"&amp;"&lt;P&gt;Jaguar part name "&amp;PartsMaster!$E306&amp;"&lt;/P&gt;&lt;P&gt;Product numbers "&amp;PartsMaster!R306&amp;" "&amp;DQ314&amp;"&lt;/P&gt;&lt;P&gt;Fits starting from VIN/ModelYear "&amp;PartsMaster!$F306&amp;" until VIN/ModelYear "&amp;PartsMaster!$G306&amp;"&lt;/P&gt;&lt;P&gt;Condition: "&amp;PartsMaster!AB306&amp;"&lt;/P&gt;&lt;P&gt; (part source "&amp;PartsMaster!AD306&amp;")&lt;/P&gt;&lt;P&gt;Notes: "&amp;PartsMaster!AA306&amp;"&lt;/P&gt;"</f>
        <v>&lt;P&gt;Engine ignition &lt;/P&gt;&lt;P&gt;Jaguar part name &lt;/P&gt;&lt;P&gt;Product numbers NCA3850FA NCA3850FA&lt;/P&gt;&lt;P&gt;Fits starting from VIN/ModelYear  until VIN/ModelYear &lt;/P&gt;&lt;P&gt;Condition: British Parts&lt;/P&gt;&lt;P&gt; (part source )&lt;/P&gt;&lt;P&gt;Notes: &lt;/P&gt;</v>
      </c>
      <c r="AA314" s="20" t="s">
        <v>1171</v>
      </c>
      <c r="AC314" s="20">
        <v>0</v>
      </c>
      <c r="AD314" s="20">
        <v>0</v>
      </c>
      <c r="AE314" s="20" t="s">
        <v>1172</v>
      </c>
      <c r="AF314" s="20">
        <v>7</v>
      </c>
      <c r="AG314" s="20">
        <v>0</v>
      </c>
      <c r="AH314" s="20">
        <v>0</v>
      </c>
      <c r="AI314" s="20">
        <v>0</v>
      </c>
      <c r="AJ314" s="20">
        <v>0</v>
      </c>
      <c r="AK314" s="20">
        <v>0</v>
      </c>
      <c r="AO314" s="20" t="s">
        <v>1173</v>
      </c>
      <c r="AR314" s="20">
        <v>0</v>
      </c>
      <c r="AS314" s="20">
        <v>10112</v>
      </c>
      <c r="AV314" s="20" t="s">
        <v>1174</v>
      </c>
      <c r="AX314" s="20">
        <v>62128510024</v>
      </c>
      <c r="AY314" s="20">
        <v>62035811024</v>
      </c>
      <c r="AZ314" s="20">
        <v>55187694024</v>
      </c>
      <c r="BA314" s="20" t="s">
        <v>1175</v>
      </c>
      <c r="BB314" s="20" t="s">
        <v>1176</v>
      </c>
      <c r="BC314" s="20" t="s">
        <v>1177</v>
      </c>
      <c r="BD314" s="20">
        <v>1</v>
      </c>
      <c r="BE314" s="20">
        <v>0</v>
      </c>
      <c r="BF314" s="20">
        <v>0</v>
      </c>
      <c r="BG314" s="20">
        <v>0</v>
      </c>
      <c r="BN314" s="20" t="s">
        <v>1178</v>
      </c>
      <c r="BV314" s="20">
        <v>0</v>
      </c>
      <c r="CL314" s="20">
        <v>0</v>
      </c>
      <c r="DD314" s="20" t="s">
        <v>1179</v>
      </c>
      <c r="DE314" s="20" t="s">
        <v>1179</v>
      </c>
      <c r="DI314" s="20">
        <v>0</v>
      </c>
      <c r="DP314" s="21" t="s">
        <v>1180</v>
      </c>
      <c r="DQ314" s="21" t="str">
        <f>PartsMaster!$A306</f>
        <v>NCA3850FA</v>
      </c>
      <c r="DR314" s="21" t="s">
        <v>1181</v>
      </c>
      <c r="DS314" s="21" t="str">
        <f>PartsMaster!$K307&amp;" "&amp;PartsMaster!L307&amp;" "&amp;PartsMaster!$M307</f>
        <v xml:space="preserve">  </v>
      </c>
    </row>
    <row r="315" spans="1:123" ht="30" hidden="1" x14ac:dyDescent="0.25">
      <c r="A315" s="20" t="s">
        <v>1166</v>
      </c>
      <c r="B315" s="20" t="s">
        <v>1167</v>
      </c>
      <c r="C315" s="20" t="s">
        <v>1168</v>
      </c>
      <c r="D315" s="21" t="str">
        <f>PartsMaster!B308&amp;" "&amp;PartsMaster!$C308</f>
        <v>Jaguar XK8 XKR X100 Heater feed hose</v>
      </c>
      <c r="E315" s="20">
        <v>3000</v>
      </c>
      <c r="F315" s="20" t="s">
        <v>1182</v>
      </c>
      <c r="H315" s="21" t="str">
        <f>PartsMaster!$Q308</f>
        <v>Heater feed hose</v>
      </c>
      <c r="I315" s="20">
        <v>9886</v>
      </c>
      <c r="K315" s="20">
        <v>0</v>
      </c>
      <c r="L315" s="20">
        <v>0</v>
      </c>
      <c r="M315" s="21">
        <f>PartsMaster!$D308</f>
        <v>1</v>
      </c>
      <c r="O315" s="20" t="s">
        <v>1169</v>
      </c>
      <c r="P315" s="23">
        <f>PartsMaster!$S308/1.45</f>
        <v>0</v>
      </c>
      <c r="S315" s="20">
        <v>30</v>
      </c>
      <c r="T315" s="20">
        <v>0</v>
      </c>
      <c r="U315" s="20" t="s">
        <v>1170</v>
      </c>
      <c r="Z315" s="26" t="str">
        <f>"&lt;P&gt;"&amp;PartsMaster!$I308&amp;" "&amp;PartsMaster!$H308&amp;"&lt;/P&gt;"&amp;"&lt;P&gt;Jaguar part name "&amp;PartsMaster!$E308&amp;"&lt;/P&gt;&lt;P&gt;Product numbers "&amp;PartsMaster!R308&amp;" "&amp;DQ315&amp;"&lt;/P&gt;&lt;P&gt;Fits starting from VIN/ModelYear "&amp;PartsMaster!$F308&amp;" until VIN/ModelYear "&amp;PartsMaster!$G308&amp;"&lt;/P&gt;&lt;P&gt;Condition: "&amp;PartsMaster!AB308&amp;"&lt;/P&gt;&lt;P&gt; (part source "&amp;PartsMaster!AD308&amp;")&lt;/P&gt;&lt;P&gt;Notes: "&amp;PartsMaster!AA308&amp;"&lt;/P&gt;"</f>
        <v>&lt;P&gt;Engine Cooling Hose / Pipe&lt;/P&gt;&lt;P&gt;Jaguar part name AIR CONDITIONING/HEATING/VENTILATION/PIPES AND HOSES - Heater pipes feed and return - Heatr feed hose&lt;/P&gt;&lt;P&gt;Product numbers NCA3945CD NCA3945CD&lt;/P&gt;&lt;P&gt;Fits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315" s="20" t="s">
        <v>1171</v>
      </c>
      <c r="AC315" s="20">
        <v>0</v>
      </c>
      <c r="AD315" s="20">
        <v>0</v>
      </c>
      <c r="AE315" s="20" t="s">
        <v>1172</v>
      </c>
      <c r="AF315" s="20">
        <v>7</v>
      </c>
      <c r="AG315" s="20">
        <v>0</v>
      </c>
      <c r="AH315" s="20">
        <v>0</v>
      </c>
      <c r="AI315" s="20">
        <v>0</v>
      </c>
      <c r="AJ315" s="20">
        <v>0</v>
      </c>
      <c r="AK315" s="20">
        <v>0</v>
      </c>
      <c r="AO315" s="20" t="s">
        <v>1173</v>
      </c>
      <c r="AR315" s="20">
        <v>0</v>
      </c>
      <c r="AS315" s="20">
        <v>10112</v>
      </c>
      <c r="AV315" s="20" t="s">
        <v>1174</v>
      </c>
      <c r="AX315" s="20">
        <v>62128510024</v>
      </c>
      <c r="AY315" s="20">
        <v>62035811024</v>
      </c>
      <c r="AZ315" s="20">
        <v>55187694024</v>
      </c>
      <c r="BA315" s="20" t="s">
        <v>1175</v>
      </c>
      <c r="BB315" s="20" t="s">
        <v>1176</v>
      </c>
      <c r="BC315" s="20" t="s">
        <v>1177</v>
      </c>
      <c r="BD315" s="20">
        <v>1</v>
      </c>
      <c r="BE315" s="20">
        <v>0</v>
      </c>
      <c r="BF315" s="20">
        <v>0</v>
      </c>
      <c r="BG315" s="20">
        <v>0</v>
      </c>
      <c r="BN315" s="20" t="s">
        <v>1178</v>
      </c>
      <c r="BV315" s="20">
        <v>0</v>
      </c>
      <c r="CL315" s="20">
        <v>0</v>
      </c>
      <c r="DD315" s="20" t="s">
        <v>1179</v>
      </c>
      <c r="DE315" s="20" t="s">
        <v>1179</v>
      </c>
      <c r="DI315" s="20">
        <v>0</v>
      </c>
      <c r="DP315" s="21" t="s">
        <v>1180</v>
      </c>
      <c r="DQ315" s="21" t="str">
        <f>PartsMaster!$A308</f>
        <v>NCA3945CD</v>
      </c>
      <c r="DR315" s="21" t="s">
        <v>1181</v>
      </c>
      <c r="DS315" s="21" t="str">
        <f>PartsMaster!$K309&amp;" "&amp;PartsMaster!L309&amp;" "&amp;PartsMaster!$M309</f>
        <v xml:space="preserve">  </v>
      </c>
    </row>
    <row r="316" spans="1:123" ht="30" hidden="1" x14ac:dyDescent="0.25">
      <c r="A316" s="20" t="s">
        <v>1166</v>
      </c>
      <c r="B316" s="20" t="s">
        <v>1167</v>
      </c>
      <c r="C316" s="20" t="s">
        <v>1168</v>
      </c>
      <c r="D316" s="21" t="str">
        <f>PartsMaster!B307&amp;" "&amp;PartsMaster!$C307</f>
        <v>Jaguar XK8 XKR X100 SPARK PLUG</v>
      </c>
      <c r="E316" s="20">
        <v>3000</v>
      </c>
      <c r="F316" s="20" t="s">
        <v>1182</v>
      </c>
      <c r="H316" s="21" t="str">
        <f>PartsMaster!$Q307</f>
        <v>SPARK PLUG</v>
      </c>
      <c r="I316" s="20">
        <v>9886</v>
      </c>
      <c r="K316" s="20">
        <v>0</v>
      </c>
      <c r="L316" s="20">
        <v>0</v>
      </c>
      <c r="M316" s="21">
        <f>PartsMaster!$D307</f>
        <v>0</v>
      </c>
      <c r="O316" s="20" t="s">
        <v>1169</v>
      </c>
      <c r="P316" s="23">
        <f>PartsMaster!$S307/1.45</f>
        <v>0</v>
      </c>
      <c r="S316" s="20">
        <v>30</v>
      </c>
      <c r="T316" s="20">
        <v>0</v>
      </c>
      <c r="U316" s="20" t="s">
        <v>1170</v>
      </c>
      <c r="Z316" s="26" t="str">
        <f>"&lt;P&gt;"&amp;PartsMaster!$I307&amp;" "&amp;PartsMaster!$H307&amp;"&lt;/P&gt;"&amp;"&lt;P&gt;Jaguar part name "&amp;PartsMaster!$E307&amp;"&lt;/P&gt;&lt;P&gt;Product numbers "&amp;PartsMaster!R307&amp;" "&amp;DQ316&amp;"&lt;/P&gt;&lt;P&gt;Fits starting from VIN/ModelYear "&amp;PartsMaster!$F307&amp;" until VIN/ModelYear "&amp;PartsMaster!$G307&amp;"&lt;/P&gt;&lt;P&gt;Condition: "&amp;PartsMaster!AB307&amp;"&lt;/P&gt;&lt;P&gt; (part source "&amp;PartsMaster!AD307&amp;")&lt;/P&gt;&lt;P&gt;Notes: "&amp;PartsMaster!AA307&amp;"&lt;/P&gt;"</f>
        <v>&lt;P&gt;Engine ignition &lt;/P&gt;&lt;P&gt;Jaguar part name &lt;/P&gt;&lt;P&gt;Product numbers NCA3850FA1 NCA3850FA1&lt;/P&gt;&lt;P&gt;Fits starting from VIN/ModelYear 18108 until VIN/ModelYear 31302&lt;/P&gt;&lt;P&gt;Condition: British Parts&lt;/P&gt;&lt;P&gt; (part source )&lt;/P&gt;&lt;P&gt;Notes: &lt;/P&gt;</v>
      </c>
      <c r="AA316" s="20" t="s">
        <v>1171</v>
      </c>
      <c r="AC316" s="20">
        <v>0</v>
      </c>
      <c r="AD316" s="20">
        <v>0</v>
      </c>
      <c r="AE316" s="20" t="s">
        <v>1172</v>
      </c>
      <c r="AF316" s="20">
        <v>7</v>
      </c>
      <c r="AG316" s="20">
        <v>0</v>
      </c>
      <c r="AH316" s="20">
        <v>0</v>
      </c>
      <c r="AI316" s="20">
        <v>0</v>
      </c>
      <c r="AJ316" s="20">
        <v>0</v>
      </c>
      <c r="AK316" s="20">
        <v>0</v>
      </c>
      <c r="AO316" s="20" t="s">
        <v>1173</v>
      </c>
      <c r="AR316" s="20">
        <v>0</v>
      </c>
      <c r="AS316" s="20">
        <v>10112</v>
      </c>
      <c r="AV316" s="20" t="s">
        <v>1174</v>
      </c>
      <c r="AX316" s="20">
        <v>62128510024</v>
      </c>
      <c r="AY316" s="20">
        <v>62035811024</v>
      </c>
      <c r="AZ316" s="20">
        <v>55187694024</v>
      </c>
      <c r="BA316" s="20" t="s">
        <v>1175</v>
      </c>
      <c r="BB316" s="20" t="s">
        <v>1176</v>
      </c>
      <c r="BC316" s="20" t="s">
        <v>1177</v>
      </c>
      <c r="BD316" s="20">
        <v>1</v>
      </c>
      <c r="BE316" s="20">
        <v>0</v>
      </c>
      <c r="BF316" s="20">
        <v>0</v>
      </c>
      <c r="BG316" s="20">
        <v>0</v>
      </c>
      <c r="BN316" s="20" t="s">
        <v>1178</v>
      </c>
      <c r="BV316" s="20">
        <v>0</v>
      </c>
      <c r="CL316" s="20">
        <v>0</v>
      </c>
      <c r="DD316" s="20" t="s">
        <v>1179</v>
      </c>
      <c r="DE316" s="20" t="s">
        <v>1179</v>
      </c>
      <c r="DI316" s="20">
        <v>0</v>
      </c>
      <c r="DP316" s="21" t="s">
        <v>1180</v>
      </c>
      <c r="DQ316" s="21" t="str">
        <f>PartsMaster!$A307</f>
        <v>NCA3850FA1</v>
      </c>
      <c r="DR316" s="21" t="s">
        <v>1181</v>
      </c>
      <c r="DS316" s="21" t="str">
        <f>PartsMaster!$K308&amp;" "&amp;PartsMaster!L308&amp;" "&amp;PartsMaster!$M308</f>
        <v>Front  Top</v>
      </c>
    </row>
    <row r="317" spans="1:123" ht="75" x14ac:dyDescent="0.25">
      <c r="A317" s="20" t="s">
        <v>1166</v>
      </c>
      <c r="B317" s="20" t="s">
        <v>1167</v>
      </c>
      <c r="C317" s="20" t="s">
        <v>1168</v>
      </c>
      <c r="D317" s="21" t="str">
        <f>PartsMaster!B27&amp;" "&amp;PartsMaster!$C27</f>
        <v>Jaguar XK8 XKR X100 Engine Drive Belt Idler Pulley (kia?)</v>
      </c>
      <c r="E317" s="20">
        <v>3000</v>
      </c>
      <c r="F317" s="20" t="s">
        <v>1182</v>
      </c>
      <c r="H317" s="21" t="str">
        <f>PartsMaster!$Q27</f>
        <v xml:space="preserve">Idler Pulley 
</v>
      </c>
      <c r="I317" s="20">
        <v>9886</v>
      </c>
      <c r="K317" s="20">
        <v>0</v>
      </c>
      <c r="L317" s="20">
        <v>0</v>
      </c>
      <c r="M317" s="21">
        <f>PartsMaster!$D27</f>
        <v>0</v>
      </c>
      <c r="O317" s="20" t="s">
        <v>1169</v>
      </c>
      <c r="P317" s="23">
        <f>PartsMaster!$S27/1.45</f>
        <v>0</v>
      </c>
      <c r="S317" s="20">
        <v>30</v>
      </c>
      <c r="T317" s="20">
        <v>0</v>
      </c>
      <c r="U317" s="20" t="s">
        <v>1170</v>
      </c>
      <c r="Z317" s="26" t="str">
        <f>"&lt;P&gt;"&amp;PartsMaster!$I27&amp;" "&amp;PartsMaster!$H27&amp;"&lt;/P&gt;"&amp;"&lt;P&gt;Jaguar part name "&amp;PartsMaster!$E27&amp;"&lt;/P&gt;&lt;P&gt;Product numbers "&amp;PartsMaster!R27&amp;" "&amp;DQ317&amp;"&lt;/P&gt;&lt;P&gt;Fits starting from VIN/ModelYear "&amp;PartsMaster!$F27&amp;" until VIN/ModelYear "&amp;PartsMaster!$G27&amp;"&lt;/P&gt;&lt;P&gt;Condition: "&amp;PartsMaster!AB27&amp;"&lt;/P&gt;&lt;P&gt; (part source "&amp;PartsMaster!AD27&amp;")&lt;/P&gt;&lt;P&gt;Notes: "&amp;PartsMaster!AA27&amp;"&lt;/P&gt;"</f>
        <v>&lt;P&gt;Engine &lt;/P&gt;&lt;P&gt;Jaguar part name &lt;/P&gt;&lt;P&gt;Product numbers C2C22758 C2C22758&lt;/P&gt;&lt;P&gt;Fits starting from VIN/ModelYear XK8 4.0 V8 1996
X308 XJ8 &amp; XJR V8 1997
S Type V8 2002 M45255  until VIN/ModelYear XK8 2006 
X308 XJ8 &amp; XJR V8 2002
S Type V8 2009 &lt;/P&gt;&lt;P&gt;Condition: &lt;/P&gt;&lt;P&gt; (part source )&lt;/P&gt;&lt;P&gt;Notes: &lt;/P&gt;</v>
      </c>
      <c r="AA317" s="20" t="s">
        <v>1171</v>
      </c>
      <c r="AC317" s="20">
        <v>0</v>
      </c>
      <c r="AD317" s="20">
        <v>0</v>
      </c>
      <c r="AE317" s="20" t="s">
        <v>1172</v>
      </c>
      <c r="AF317" s="20">
        <v>7</v>
      </c>
      <c r="AG317" s="20">
        <v>0</v>
      </c>
      <c r="AH317" s="20">
        <v>0</v>
      </c>
      <c r="AI317" s="20">
        <v>0</v>
      </c>
      <c r="AJ317" s="20">
        <v>0</v>
      </c>
      <c r="AK317" s="20">
        <v>0</v>
      </c>
      <c r="AO317" s="20" t="s">
        <v>1173</v>
      </c>
      <c r="AR317" s="20">
        <v>0</v>
      </c>
      <c r="AS317" s="20">
        <v>10112</v>
      </c>
      <c r="AV317" s="20" t="s">
        <v>1174</v>
      </c>
      <c r="AX317" s="20">
        <v>62128510024</v>
      </c>
      <c r="AY317" s="20">
        <v>62035811024</v>
      </c>
      <c r="AZ317" s="20">
        <v>55187694024</v>
      </c>
      <c r="BA317" s="20" t="s">
        <v>1175</v>
      </c>
      <c r="BB317" s="20" t="s">
        <v>1176</v>
      </c>
      <c r="BC317" s="20" t="s">
        <v>1177</v>
      </c>
      <c r="BD317" s="20">
        <v>1</v>
      </c>
      <c r="BE317" s="20">
        <v>0</v>
      </c>
      <c r="BF317" s="20">
        <v>0</v>
      </c>
      <c r="BG317" s="20">
        <v>0</v>
      </c>
      <c r="BN317" s="20" t="s">
        <v>1178</v>
      </c>
      <c r="BV317" s="20">
        <v>0</v>
      </c>
      <c r="CL317" s="20">
        <v>0</v>
      </c>
      <c r="DD317" s="20" t="s">
        <v>1179</v>
      </c>
      <c r="DE317" s="20" t="s">
        <v>1179</v>
      </c>
      <c r="DI317" s="20">
        <v>0</v>
      </c>
      <c r="DP317" s="21" t="s">
        <v>1180</v>
      </c>
      <c r="DQ317" s="21" t="str">
        <f>PartsMaster!$A27</f>
        <v>C2C22758</v>
      </c>
      <c r="DR317" s="21" t="s">
        <v>1181</v>
      </c>
      <c r="DS317" s="21" t="str">
        <f>PartsMaster!$K28&amp;" "&amp;PartsMaster!L28&amp;" "&amp;PartsMaster!$M28</f>
        <v xml:space="preserve">  </v>
      </c>
    </row>
    <row r="318" spans="1:123" hidden="1" x14ac:dyDescent="0.25">
      <c r="A318" s="20" t="s">
        <v>1166</v>
      </c>
      <c r="B318" s="20" t="s">
        <v>1167</v>
      </c>
      <c r="C318" s="20" t="s">
        <v>1168</v>
      </c>
      <c r="D318" s="21" t="str">
        <f>PartsMaster!B310&amp;" "&amp;PartsMaster!$C310</f>
        <v>Jaguar XK8 XKR X100 Belt Tensioner with roller (kia?)</v>
      </c>
      <c r="E318" s="20">
        <v>3000</v>
      </c>
      <c r="F318" s="20" t="s">
        <v>1182</v>
      </c>
      <c r="H318" s="21">
        <f>PartsMaster!$Q310</f>
        <v>0</v>
      </c>
      <c r="I318" s="20">
        <v>9886</v>
      </c>
      <c r="K318" s="20">
        <v>0</v>
      </c>
      <c r="L318" s="20">
        <v>0</v>
      </c>
      <c r="M318" s="21">
        <f>PartsMaster!$D310</f>
        <v>0</v>
      </c>
      <c r="O318" s="20" t="s">
        <v>1169</v>
      </c>
      <c r="P318" s="23">
        <f>PartsMaster!$S310/1.45</f>
        <v>0</v>
      </c>
      <c r="S318" s="20">
        <v>30</v>
      </c>
      <c r="T318" s="20">
        <v>0</v>
      </c>
      <c r="U318" s="20" t="s">
        <v>1170</v>
      </c>
      <c r="Z318" s="26" t="str">
        <f>"&lt;P&gt;"&amp;PartsMaster!$I310&amp;" "&amp;PartsMaster!$H310&amp;"&lt;/P&gt;"&amp;"&lt;P&gt;Jaguar part name "&amp;PartsMaster!$E310&amp;"&lt;/P&gt;&lt;P&gt;Product numbers "&amp;PartsMaster!R310&amp;" "&amp;DQ318&amp;"&lt;/P&gt;&lt;P&gt;Fits starting from VIN/ModelYear "&amp;PartsMaster!$F310&amp;" until VIN/ModelYear "&amp;PartsMaster!$G310&amp;"&lt;/P&gt;&lt;P&gt;Condition: "&amp;PartsMaster!AB310&amp;"&lt;/P&gt;&lt;P&gt; (part source "&amp;PartsMaster!AD310&amp;")&lt;/P&gt;&lt;P&gt;Notes: "&amp;PartsMaster!AA310&amp;"&lt;/P&gt;"</f>
        <v>&lt;P&gt;Engine Belt&lt;/P&gt;&lt;P&gt;Jaguar part name &lt;/P&gt;&lt;P&gt;Product numbers  NCA7739AC (NCA7739AE)&lt;/P&gt;&lt;P&gt;Fits starting from VIN/ModelYear  until VIN/ModelYear &lt;/P&gt;&lt;P&gt;Condition: &lt;/P&gt;&lt;P&gt; (part source )&lt;/P&gt;&lt;P&gt;Notes: &lt;/P&gt;</v>
      </c>
      <c r="AA318" s="20" t="s">
        <v>1171</v>
      </c>
      <c r="AC318" s="20">
        <v>0</v>
      </c>
      <c r="AD318" s="20">
        <v>0</v>
      </c>
      <c r="AE318" s="20" t="s">
        <v>1172</v>
      </c>
      <c r="AF318" s="20">
        <v>7</v>
      </c>
      <c r="AG318" s="20">
        <v>0</v>
      </c>
      <c r="AH318" s="20">
        <v>0</v>
      </c>
      <c r="AI318" s="20">
        <v>0</v>
      </c>
      <c r="AJ318" s="20">
        <v>0</v>
      </c>
      <c r="AK318" s="20">
        <v>0</v>
      </c>
      <c r="AO318" s="20" t="s">
        <v>1173</v>
      </c>
      <c r="AR318" s="20">
        <v>0</v>
      </c>
      <c r="AS318" s="20">
        <v>10112</v>
      </c>
      <c r="AV318" s="20" t="s">
        <v>1174</v>
      </c>
      <c r="AX318" s="20">
        <v>62128510024</v>
      </c>
      <c r="AY318" s="20">
        <v>62035811024</v>
      </c>
      <c r="AZ318" s="20">
        <v>55187694024</v>
      </c>
      <c r="BA318" s="20" t="s">
        <v>1175</v>
      </c>
      <c r="BB318" s="20" t="s">
        <v>1176</v>
      </c>
      <c r="BC318" s="20" t="s">
        <v>1177</v>
      </c>
      <c r="BD318" s="20">
        <v>1</v>
      </c>
      <c r="BE318" s="20">
        <v>0</v>
      </c>
      <c r="BF318" s="20">
        <v>0</v>
      </c>
      <c r="BG318" s="20">
        <v>0</v>
      </c>
      <c r="BN318" s="20" t="s">
        <v>1178</v>
      </c>
      <c r="BV318" s="20">
        <v>0</v>
      </c>
      <c r="CL318" s="20">
        <v>0</v>
      </c>
      <c r="DD318" s="20" t="s">
        <v>1179</v>
      </c>
      <c r="DE318" s="20" t="s">
        <v>1179</v>
      </c>
      <c r="DI318" s="20">
        <v>0</v>
      </c>
      <c r="DP318" s="21" t="s">
        <v>1180</v>
      </c>
      <c r="DQ318" s="21" t="str">
        <f>PartsMaster!$A310</f>
        <v>NCA7739AC (NCA7739AE)</v>
      </c>
      <c r="DR318" s="21" t="s">
        <v>1181</v>
      </c>
      <c r="DS318" s="21" t="str">
        <f>PartsMaster!$K311&amp;" "&amp;PartsMaster!L311&amp;" "&amp;PartsMaster!$M311</f>
        <v xml:space="preserve">  </v>
      </c>
    </row>
    <row r="319" spans="1:123" hidden="1" x14ac:dyDescent="0.25">
      <c r="A319" s="20" t="s">
        <v>1166</v>
      </c>
      <c r="B319" s="20" t="s">
        <v>1167</v>
      </c>
      <c r="C319" s="20" t="s">
        <v>1168</v>
      </c>
      <c r="D319" s="21" t="str">
        <f>PartsMaster!B311&amp;" "&amp;PartsMaster!$C311</f>
        <v>Jaguar XK8 XKR X100 OIL SEAL</v>
      </c>
      <c r="E319" s="20">
        <v>3000</v>
      </c>
      <c r="F319" s="20" t="s">
        <v>1182</v>
      </c>
      <c r="H319" s="21" t="str">
        <f>PartsMaster!$Q311</f>
        <v>OIL SEAL</v>
      </c>
      <c r="I319" s="20">
        <v>9886</v>
      </c>
      <c r="K319" s="20">
        <v>0</v>
      </c>
      <c r="L319" s="20">
        <v>0</v>
      </c>
      <c r="M319" s="21">
        <f>PartsMaster!$D311</f>
        <v>0</v>
      </c>
      <c r="O319" s="20" t="s">
        <v>1169</v>
      </c>
      <c r="P319" s="23">
        <f>PartsMaster!$S311/1.45</f>
        <v>0</v>
      </c>
      <c r="S319" s="20">
        <v>30</v>
      </c>
      <c r="T319" s="20">
        <v>0</v>
      </c>
      <c r="U319" s="20" t="s">
        <v>1170</v>
      </c>
      <c r="Z319" s="26" t="str">
        <f>"&lt;P&gt;"&amp;PartsMaster!$I311&amp;" "&amp;PartsMaster!$H311&amp;"&lt;/P&gt;"&amp;"&lt;P&gt;Jaguar part name "&amp;PartsMaster!$E311&amp;"&lt;/P&gt;&lt;P&gt;Product numbers "&amp;PartsMaster!R311&amp;" "&amp;DQ319&amp;"&lt;/P&gt;&lt;P&gt;Fits starting from VIN/ModelYear "&amp;PartsMaster!$F311&amp;" until VIN/ModelYear "&amp;PartsMaster!$G311&amp;"&lt;/P&gt;&lt;P&gt;Condition: "&amp;PartsMaster!AB311&amp;"&lt;/P&gt;&lt;P&gt; (part source "&amp;PartsMaster!AD311&amp;")&lt;/P&gt;&lt;P&gt;Notes: "&amp;PartsMaster!AA311&amp;"&lt;/P&gt;"</f>
        <v>&lt;P&gt;Engine Oil Gasket / Seal / O-Ring&lt;/P&gt;&lt;P&gt;Jaguar part name &lt;/P&gt;&lt;P&gt;Product numbers NCC2142AA NCC2142AA&lt;/P&gt;&lt;P&gt;Fits starting from VIN/ModelYear  until VIN/ModelYear &lt;/P&gt;&lt;P&gt;Condition: British Parts&lt;/P&gt;&lt;P&gt; (part source )&lt;/P&gt;&lt;P&gt;Notes: &lt;/P&gt;</v>
      </c>
      <c r="AA319" s="20" t="s">
        <v>1171</v>
      </c>
      <c r="AC319" s="20">
        <v>0</v>
      </c>
      <c r="AD319" s="20">
        <v>0</v>
      </c>
      <c r="AE319" s="20" t="s">
        <v>1172</v>
      </c>
      <c r="AF319" s="20">
        <v>7</v>
      </c>
      <c r="AG319" s="20">
        <v>0</v>
      </c>
      <c r="AH319" s="20">
        <v>0</v>
      </c>
      <c r="AI319" s="20">
        <v>0</v>
      </c>
      <c r="AJ319" s="20">
        <v>0</v>
      </c>
      <c r="AK319" s="20">
        <v>0</v>
      </c>
      <c r="AO319" s="20" t="s">
        <v>1173</v>
      </c>
      <c r="AR319" s="20">
        <v>0</v>
      </c>
      <c r="AS319" s="20">
        <v>10112</v>
      </c>
      <c r="AV319" s="20" t="s">
        <v>1174</v>
      </c>
      <c r="AX319" s="20">
        <v>62128510024</v>
      </c>
      <c r="AY319" s="20">
        <v>62035811024</v>
      </c>
      <c r="AZ319" s="20">
        <v>55187694024</v>
      </c>
      <c r="BA319" s="20" t="s">
        <v>1175</v>
      </c>
      <c r="BB319" s="20" t="s">
        <v>1176</v>
      </c>
      <c r="BC319" s="20" t="s">
        <v>1177</v>
      </c>
      <c r="BD319" s="20">
        <v>1</v>
      </c>
      <c r="BE319" s="20">
        <v>0</v>
      </c>
      <c r="BF319" s="20">
        <v>0</v>
      </c>
      <c r="BG319" s="20">
        <v>0</v>
      </c>
      <c r="BN319" s="20" t="s">
        <v>1178</v>
      </c>
      <c r="BV319" s="20">
        <v>0</v>
      </c>
      <c r="CL319" s="20">
        <v>0</v>
      </c>
      <c r="DD319" s="20" t="s">
        <v>1179</v>
      </c>
      <c r="DE319" s="20" t="s">
        <v>1179</v>
      </c>
      <c r="DI319" s="20">
        <v>0</v>
      </c>
      <c r="DP319" s="21" t="s">
        <v>1180</v>
      </c>
      <c r="DQ319" s="21" t="str">
        <f>PartsMaster!$A311</f>
        <v>NCC2142AA</v>
      </c>
      <c r="DR319" s="21" t="s">
        <v>1181</v>
      </c>
      <c r="DS319" s="21" t="str">
        <f>PartsMaster!$K312&amp;" "&amp;PartsMaster!L312&amp;" "&amp;PartsMaster!$M312</f>
        <v xml:space="preserve">  </v>
      </c>
    </row>
    <row r="320" spans="1:123" ht="30" hidden="1" x14ac:dyDescent="0.25">
      <c r="A320" s="20" t="s">
        <v>1166</v>
      </c>
      <c r="B320" s="20" t="s">
        <v>1167</v>
      </c>
      <c r="C320" s="20" t="s">
        <v>1168</v>
      </c>
      <c r="D320" s="21" t="str">
        <f>PartsMaster!B312&amp;" "&amp;PartsMaster!$C312</f>
        <v>Jaguar XK8 XKR X100 HEAD GASKET</v>
      </c>
      <c r="E320" s="20">
        <v>3000</v>
      </c>
      <c r="F320" s="20" t="s">
        <v>1182</v>
      </c>
      <c r="H320" s="21" t="str">
        <f>PartsMaster!$Q312</f>
        <v>HEAD GASKET</v>
      </c>
      <c r="I320" s="20">
        <v>9886</v>
      </c>
      <c r="K320" s="20">
        <v>0</v>
      </c>
      <c r="L320" s="20">
        <v>0</v>
      </c>
      <c r="M320" s="21">
        <f>PartsMaster!$D312</f>
        <v>0</v>
      </c>
      <c r="O320" s="20" t="s">
        <v>1169</v>
      </c>
      <c r="P320" s="23">
        <f>PartsMaster!$S312/1.45</f>
        <v>0</v>
      </c>
      <c r="S320" s="20">
        <v>30</v>
      </c>
      <c r="T320" s="20">
        <v>0</v>
      </c>
      <c r="U320" s="20" t="s">
        <v>1170</v>
      </c>
      <c r="Z320" s="26" t="str">
        <f>"&lt;P&gt;"&amp;PartsMaster!$I312&amp;" "&amp;PartsMaster!$H312&amp;"&lt;/P&gt;"&amp;"&lt;P&gt;Jaguar part name "&amp;PartsMaster!$E312&amp;"&lt;/P&gt;&lt;P&gt;Product numbers "&amp;PartsMaster!R312&amp;" "&amp;DQ320&amp;"&lt;/P&gt;&lt;P&gt;Fits starting from VIN/ModelYear "&amp;PartsMaster!$F312&amp;" until VIN/ModelYear "&amp;PartsMaster!$G312&amp;"&lt;/P&gt;&lt;P&gt;Condition: "&amp;PartsMaster!AB312&amp;"&lt;/P&gt;&lt;P&gt; (part source "&amp;PartsMaster!AD312&amp;")&lt;/P&gt;&lt;P&gt;Notes: "&amp;PartsMaster!AA312&amp;"&lt;/P&gt;"</f>
        <v>&lt;P&gt;Engine Gasket / Seal / O-Ring&lt;/P&gt;&lt;P&gt;Jaguar part name &lt;/P&gt;&lt;P&gt;Product numbers NCC2541BC NCC2541BC&lt;/P&gt;&lt;P&gt;Fits starting from VIN/ModelYear  until VIN/ModelYear &lt;/P&gt;&lt;P&gt;Condition: British Parts&lt;/P&gt;&lt;P&gt; (part source )&lt;/P&gt;&lt;P&gt;Notes: &lt;/P&gt;</v>
      </c>
      <c r="AA320" s="20" t="s">
        <v>1171</v>
      </c>
      <c r="AC320" s="20">
        <v>0</v>
      </c>
      <c r="AD320" s="20">
        <v>0</v>
      </c>
      <c r="AE320" s="20" t="s">
        <v>1172</v>
      </c>
      <c r="AF320" s="20">
        <v>7</v>
      </c>
      <c r="AG320" s="20">
        <v>0</v>
      </c>
      <c r="AH320" s="20">
        <v>0</v>
      </c>
      <c r="AI320" s="20">
        <v>0</v>
      </c>
      <c r="AJ320" s="20">
        <v>0</v>
      </c>
      <c r="AK320" s="20">
        <v>0</v>
      </c>
      <c r="AO320" s="20" t="s">
        <v>1173</v>
      </c>
      <c r="AR320" s="20">
        <v>0</v>
      </c>
      <c r="AS320" s="20">
        <v>10112</v>
      </c>
      <c r="AV320" s="20" t="s">
        <v>1174</v>
      </c>
      <c r="AX320" s="20">
        <v>62128510024</v>
      </c>
      <c r="AY320" s="20">
        <v>62035811024</v>
      </c>
      <c r="AZ320" s="20">
        <v>55187694024</v>
      </c>
      <c r="BA320" s="20" t="s">
        <v>1175</v>
      </c>
      <c r="BB320" s="20" t="s">
        <v>1176</v>
      </c>
      <c r="BC320" s="20" t="s">
        <v>1177</v>
      </c>
      <c r="BD320" s="20">
        <v>1</v>
      </c>
      <c r="BE320" s="20">
        <v>0</v>
      </c>
      <c r="BF320" s="20">
        <v>0</v>
      </c>
      <c r="BG320" s="20">
        <v>0</v>
      </c>
      <c r="BN320" s="20" t="s">
        <v>1178</v>
      </c>
      <c r="BV320" s="20">
        <v>0</v>
      </c>
      <c r="CL320" s="20">
        <v>0</v>
      </c>
      <c r="DD320" s="20" t="s">
        <v>1179</v>
      </c>
      <c r="DE320" s="20" t="s">
        <v>1179</v>
      </c>
      <c r="DI320" s="20">
        <v>0</v>
      </c>
      <c r="DP320" s="21" t="s">
        <v>1180</v>
      </c>
      <c r="DQ320" s="21" t="str">
        <f>PartsMaster!$A312</f>
        <v>NCC2541BC</v>
      </c>
      <c r="DR320" s="21" t="s">
        <v>1181</v>
      </c>
      <c r="DS320" s="21" t="str">
        <f>PartsMaster!$K313&amp;" "&amp;PartsMaster!L313&amp;" "&amp;PartsMaster!$M313</f>
        <v>Front Center Top</v>
      </c>
    </row>
    <row r="321" spans="1:123" ht="60" x14ac:dyDescent="0.25">
      <c r="A321" s="20" t="s">
        <v>1166</v>
      </c>
      <c r="B321" s="20" t="s">
        <v>1167</v>
      </c>
      <c r="C321" s="20" t="s">
        <v>1168</v>
      </c>
      <c r="D321" s="21" t="str">
        <f>PartsMaster!B48&amp;" "&amp;PartsMaster!$C48</f>
        <v>Jaguar XK8 XKR X100 Plenum cover aka Windscreen air intake grille aka Cowl plate</v>
      </c>
      <c r="E321" s="20">
        <v>3000</v>
      </c>
      <c r="F321" s="20" t="s">
        <v>1182</v>
      </c>
      <c r="H321" s="21">
        <f>PartsMaster!$Q48</f>
        <v>0</v>
      </c>
      <c r="I321" s="20">
        <v>9886</v>
      </c>
      <c r="K321" s="20">
        <v>0</v>
      </c>
      <c r="L321" s="20">
        <v>0</v>
      </c>
      <c r="M321" s="21">
        <f>PartsMaster!$D48</f>
        <v>0</v>
      </c>
      <c r="O321" s="20" t="s">
        <v>1169</v>
      </c>
      <c r="P321" s="23">
        <f>PartsMaster!$S48/1.45</f>
        <v>0</v>
      </c>
      <c r="S321" s="20">
        <v>30</v>
      </c>
      <c r="T321" s="20">
        <v>0</v>
      </c>
      <c r="U321" s="20" t="s">
        <v>1170</v>
      </c>
      <c r="Z321" s="26" t="str">
        <f>"&lt;P&gt;"&amp;PartsMaster!$I48&amp;" "&amp;PartsMaster!$H48&amp;"&lt;/P&gt;"&amp;"&lt;P&gt;Jaguar part name "&amp;PartsMaster!$E48&amp;"&lt;/P&gt;&lt;P&gt;Product numbers "&amp;PartsMaster!R48&amp;" "&amp;DQ321&amp;"&lt;/P&gt;&lt;P&gt;Fits starting from VIN/ModelYear "&amp;PartsMaster!$F48&amp;" until VIN/ModelYear "&amp;PartsMaster!$G48&amp;"&lt;/P&gt;&lt;P&gt;Condition: "&amp;PartsMaster!AB48&amp;"&lt;/P&gt;&lt;P&gt; (part source "&amp;PartsMaster!AD48&amp;")&lt;/P&gt;&lt;P&gt;Notes: "&amp;PartsMaster!AA48&amp;"&lt;/P&gt;"</f>
        <v>&lt;P&gt;Cap / Cover Cap / Cover / Trim&lt;/P&gt;&lt;P&gt;Jaguar part name &lt;/P&gt;&lt;P&gt;Product numbers  EU HJA3833AD
C2N2776 (RHD) C2N2777(LHD) 
HJA3832AG (RHD)
HJA3833AG (LHD)&lt;/P&gt;&lt;P&gt;Fits starting from VIN/ModelYear  until VIN/ModelYear &lt;/P&gt;&lt;P&gt;Condition: eBay&lt;/P&gt;&lt;P&gt; (part source )&lt;/P&gt;&lt;P&gt;Notes: &lt;/P&gt;</v>
      </c>
      <c r="AA321" s="20" t="s">
        <v>1171</v>
      </c>
      <c r="AC321" s="20">
        <v>0</v>
      </c>
      <c r="AD321" s="20">
        <v>0</v>
      </c>
      <c r="AE321" s="20" t="s">
        <v>1172</v>
      </c>
      <c r="AF321" s="20">
        <v>7</v>
      </c>
      <c r="AG321" s="20">
        <v>0</v>
      </c>
      <c r="AH321" s="20">
        <v>0</v>
      </c>
      <c r="AI321" s="20">
        <v>0</v>
      </c>
      <c r="AJ321" s="20">
        <v>0</v>
      </c>
      <c r="AK321" s="20">
        <v>0</v>
      </c>
      <c r="AO321" s="20" t="s">
        <v>1173</v>
      </c>
      <c r="AR321" s="20">
        <v>0</v>
      </c>
      <c r="AS321" s="20">
        <v>10112</v>
      </c>
      <c r="AV321" s="20" t="s">
        <v>1174</v>
      </c>
      <c r="AX321" s="20">
        <v>62128510024</v>
      </c>
      <c r="AY321" s="20">
        <v>62035811024</v>
      </c>
      <c r="AZ321" s="20">
        <v>55187694024</v>
      </c>
      <c r="BA321" s="20" t="s">
        <v>1175</v>
      </c>
      <c r="BB321" s="20" t="s">
        <v>1176</v>
      </c>
      <c r="BC321" s="20" t="s">
        <v>1177</v>
      </c>
      <c r="BD321" s="20">
        <v>1</v>
      </c>
      <c r="BE321" s="20">
        <v>0</v>
      </c>
      <c r="BF321" s="20">
        <v>0</v>
      </c>
      <c r="BG321" s="20">
        <v>0</v>
      </c>
      <c r="BN321" s="20" t="s">
        <v>1178</v>
      </c>
      <c r="BV321" s="20">
        <v>0</v>
      </c>
      <c r="CL321" s="20">
        <v>0</v>
      </c>
      <c r="DD321" s="20" t="s">
        <v>1179</v>
      </c>
      <c r="DE321" s="20" t="s">
        <v>1179</v>
      </c>
      <c r="DI321" s="20">
        <v>0</v>
      </c>
      <c r="DP321" s="21" t="s">
        <v>1180</v>
      </c>
      <c r="DQ321" s="21" t="str">
        <f>PartsMaster!$A48</f>
        <v>EU HJA3833AD
C2N2776 (RHD) C2N2777(LHD) 
HJA3832AG (RHD)
HJA3833AG (LHD)</v>
      </c>
      <c r="DR321" s="21" t="s">
        <v>1181</v>
      </c>
      <c r="DS321" s="21" t="str">
        <f>PartsMaster!$K49&amp;" "&amp;PartsMaster!L49&amp;" "&amp;PartsMaster!$M49</f>
        <v xml:space="preserve">  </v>
      </c>
    </row>
    <row r="322" spans="1:123" x14ac:dyDescent="0.25">
      <c r="A322" s="20" t="s">
        <v>1166</v>
      </c>
      <c r="B322" s="20" t="s">
        <v>1167</v>
      </c>
      <c r="C322" s="20" t="s">
        <v>1168</v>
      </c>
      <c r="D322" s="21" t="str">
        <f>PartsMaster!B28&amp;" "&amp;PartsMaster!$C28</f>
        <v>Jaguar XJ8 XJR X308 Cabin Fresh Air Pollen Filter</v>
      </c>
      <c r="E322" s="20">
        <v>3000</v>
      </c>
      <c r="F322" s="20" t="s">
        <v>1182</v>
      </c>
      <c r="H322" s="21">
        <f>PartsMaster!$Q28</f>
        <v>0</v>
      </c>
      <c r="I322" s="20">
        <v>9886</v>
      </c>
      <c r="K322" s="20">
        <v>0</v>
      </c>
      <c r="L322" s="20">
        <v>0</v>
      </c>
      <c r="M322" s="21">
        <f>PartsMaster!$D28</f>
        <v>0</v>
      </c>
      <c r="O322" s="20" t="s">
        <v>1169</v>
      </c>
      <c r="P322" s="23">
        <f>PartsMaster!$S28/1.45</f>
        <v>13.793103448275863</v>
      </c>
      <c r="S322" s="20">
        <v>30</v>
      </c>
      <c r="T322" s="20">
        <v>0</v>
      </c>
      <c r="U322" s="20" t="s">
        <v>1170</v>
      </c>
      <c r="Z322" s="26" t="str">
        <f>"&lt;P&gt;"&amp;PartsMaster!$I28&amp;" "&amp;PartsMaster!$H28&amp;"&lt;/P&gt;"&amp;"&lt;P&gt;Jaguar part name "&amp;PartsMaster!$E28&amp;"&lt;/P&gt;&lt;P&gt;Product numbers "&amp;PartsMaster!R28&amp;" "&amp;DQ322&amp;"&lt;/P&gt;&lt;P&gt;Fits starting from VIN/ModelYear "&amp;PartsMaster!$F28&amp;" until VIN/ModelYear "&amp;PartsMaster!$G28&amp;"&lt;/P&gt;&lt;P&gt;Condition: "&amp;PartsMaster!AB28&amp;"&lt;/P&gt;&lt;P&gt; (part source "&amp;PartsMaster!AD28&amp;")&lt;/P&gt;&lt;P&gt;Notes: "&amp;PartsMaster!AA28&amp;"&lt;/P&gt;"</f>
        <v>&lt;P&gt; Filter&lt;/P&gt;&lt;P&gt;Jaguar part name &lt;/P&gt;&lt;P&gt;Product numbers  C2C6884&lt;/P&gt;&lt;P&gt;Fits starting from VIN/ModelYear  until VIN/ModelYear &lt;/P&gt;&lt;P&gt;Condition: &lt;/P&gt;&lt;P&gt; (part source )&lt;/P&gt;&lt;P&gt;Notes: &lt;/P&gt;</v>
      </c>
      <c r="AA322" s="20" t="s">
        <v>1171</v>
      </c>
      <c r="AC322" s="20">
        <v>0</v>
      </c>
      <c r="AD322" s="20">
        <v>0</v>
      </c>
      <c r="AE322" s="20" t="s">
        <v>1172</v>
      </c>
      <c r="AF322" s="20">
        <v>7</v>
      </c>
      <c r="AG322" s="20">
        <v>0</v>
      </c>
      <c r="AH322" s="20">
        <v>0</v>
      </c>
      <c r="AI322" s="20">
        <v>0</v>
      </c>
      <c r="AJ322" s="20">
        <v>0</v>
      </c>
      <c r="AK322" s="20">
        <v>0</v>
      </c>
      <c r="AO322" s="20" t="s">
        <v>1173</v>
      </c>
      <c r="AR322" s="20">
        <v>0</v>
      </c>
      <c r="AS322" s="20">
        <v>10112</v>
      </c>
      <c r="AV322" s="20" t="s">
        <v>1174</v>
      </c>
      <c r="AX322" s="20">
        <v>62128510024</v>
      </c>
      <c r="AY322" s="20">
        <v>62035811024</v>
      </c>
      <c r="AZ322" s="20">
        <v>55187694024</v>
      </c>
      <c r="BA322" s="20" t="s">
        <v>1175</v>
      </c>
      <c r="BB322" s="20" t="s">
        <v>1176</v>
      </c>
      <c r="BC322" s="20" t="s">
        <v>1177</v>
      </c>
      <c r="BD322" s="20">
        <v>1</v>
      </c>
      <c r="BE322" s="20">
        <v>0</v>
      </c>
      <c r="BF322" s="20">
        <v>0</v>
      </c>
      <c r="BG322" s="20">
        <v>0</v>
      </c>
      <c r="BN322" s="20" t="s">
        <v>1178</v>
      </c>
      <c r="BV322" s="20">
        <v>0</v>
      </c>
      <c r="CL322" s="20">
        <v>0</v>
      </c>
      <c r="DD322" s="20" t="s">
        <v>1179</v>
      </c>
      <c r="DE322" s="20" t="s">
        <v>1179</v>
      </c>
      <c r="DI322" s="20">
        <v>0</v>
      </c>
      <c r="DP322" s="21" t="s">
        <v>1180</v>
      </c>
      <c r="DQ322" s="21" t="str">
        <f>PartsMaster!$A28</f>
        <v>C2C6884</v>
      </c>
      <c r="DR322" s="21" t="s">
        <v>1181</v>
      </c>
      <c r="DS322" s="21" t="str">
        <f>PartsMaster!$K29&amp;" "&amp;PartsMaster!L29&amp;" "&amp;PartsMaster!$M29</f>
        <v xml:space="preserve">Front Left/Right </v>
      </c>
    </row>
    <row r="323" spans="1:123" ht="30" x14ac:dyDescent="0.25">
      <c r="A323" s="20" t="s">
        <v>1166</v>
      </c>
      <c r="B323" s="20" t="s">
        <v>1167</v>
      </c>
      <c r="C323" s="20" t="s">
        <v>1168</v>
      </c>
      <c r="D323" s="21" t="str">
        <f>PartsMaster!B29&amp;" "&amp;PartsMaster!$C29</f>
        <v>Jaguar XK8 XKR X100 Wheelarch Liner - Plastic Screw rivet</v>
      </c>
      <c r="E323" s="20">
        <v>3000</v>
      </c>
      <c r="F323" s="20" t="s">
        <v>1182</v>
      </c>
      <c r="H323" s="21" t="str">
        <f>PartsMaster!$Q29</f>
        <v>RIVET</v>
      </c>
      <c r="I323" s="20">
        <v>9886</v>
      </c>
      <c r="K323" s="20">
        <v>0</v>
      </c>
      <c r="L323" s="20">
        <v>0</v>
      </c>
      <c r="M323" s="21">
        <f>PartsMaster!$D29</f>
        <v>0</v>
      </c>
      <c r="O323" s="20" t="s">
        <v>1169</v>
      </c>
      <c r="P323" s="23">
        <f>PartsMaster!$S29/1.45</f>
        <v>0</v>
      </c>
      <c r="S323" s="20">
        <v>30</v>
      </c>
      <c r="T323" s="20">
        <v>0</v>
      </c>
      <c r="U323" s="20" t="s">
        <v>1170</v>
      </c>
      <c r="Z323" s="26" t="str">
        <f>"&lt;P&gt;"&amp;PartsMaster!$I29&amp;" "&amp;PartsMaster!$H29&amp;"&lt;/P&gt;"&amp;"&lt;P&gt;Jaguar part name "&amp;PartsMaster!$E29&amp;"&lt;/P&gt;&lt;P&gt;Product numbers "&amp;PartsMaster!R29&amp;" "&amp;DQ323&amp;"&lt;/P&gt;&lt;P&gt;Fits starting from VIN/ModelYear "&amp;PartsMaster!$F29&amp;" until VIN/ModelYear "&amp;PartsMaster!$G29&amp;"&lt;/P&gt;&lt;P&gt;Condition: "&amp;PartsMaster!AB29&amp;"&lt;/P&gt;&lt;P&gt; (part source "&amp;PartsMaster!AD29&amp;")&lt;/P&gt;&lt;P&gt;Notes: "&amp;PartsMaster!AA29&amp;"&lt;/P&gt;"</f>
        <v>&lt;P&gt;Mounting Bolt / Screw&lt;/P&gt;&lt;P&gt;Jaguar part name &lt;/P&gt;&lt;P&gt;Product numbers C2S9354020 C2S9354020 / 
KRS113230&lt;/P&gt;&lt;P&gt;Fits starting from VIN/ModelYear  until VIN/ModelYear &lt;/P&gt;&lt;P&gt;Condition: SNG Barratt&lt;/P&gt;&lt;P&gt; (part source )&lt;/P&gt;&lt;P&gt;Notes: &lt;/P&gt;</v>
      </c>
      <c r="AA323" s="20" t="s">
        <v>1171</v>
      </c>
      <c r="AC323" s="20">
        <v>0</v>
      </c>
      <c r="AD323" s="20">
        <v>0</v>
      </c>
      <c r="AE323" s="20" t="s">
        <v>1172</v>
      </c>
      <c r="AF323" s="20">
        <v>7</v>
      </c>
      <c r="AG323" s="20">
        <v>0</v>
      </c>
      <c r="AH323" s="20">
        <v>0</v>
      </c>
      <c r="AI323" s="20">
        <v>0</v>
      </c>
      <c r="AJ323" s="20">
        <v>0</v>
      </c>
      <c r="AK323" s="20">
        <v>0</v>
      </c>
      <c r="AO323" s="20" t="s">
        <v>1173</v>
      </c>
      <c r="AR323" s="20">
        <v>0</v>
      </c>
      <c r="AS323" s="20">
        <v>10112</v>
      </c>
      <c r="AV323" s="20" t="s">
        <v>1174</v>
      </c>
      <c r="AX323" s="20">
        <v>62128510024</v>
      </c>
      <c r="AY323" s="20">
        <v>62035811024</v>
      </c>
      <c r="AZ323" s="20">
        <v>55187694024</v>
      </c>
      <c r="BA323" s="20" t="s">
        <v>1175</v>
      </c>
      <c r="BB323" s="20" t="s">
        <v>1176</v>
      </c>
      <c r="BC323" s="20" t="s">
        <v>1177</v>
      </c>
      <c r="BD323" s="20">
        <v>1</v>
      </c>
      <c r="BE323" s="20">
        <v>0</v>
      </c>
      <c r="BF323" s="20">
        <v>0</v>
      </c>
      <c r="BG323" s="20">
        <v>0</v>
      </c>
      <c r="BN323" s="20" t="s">
        <v>1178</v>
      </c>
      <c r="BV323" s="20">
        <v>0</v>
      </c>
      <c r="CL323" s="20">
        <v>0</v>
      </c>
      <c r="DD323" s="20" t="s">
        <v>1179</v>
      </c>
      <c r="DE323" s="20" t="s">
        <v>1179</v>
      </c>
      <c r="DI323" s="20">
        <v>0</v>
      </c>
      <c r="DP323" s="21" t="s">
        <v>1180</v>
      </c>
      <c r="DQ323" s="21" t="str">
        <f>PartsMaster!$A29</f>
        <v>C2S9354020 / 
KRS113230</v>
      </c>
      <c r="DR323" s="21" t="s">
        <v>1181</v>
      </c>
      <c r="DS323" s="21" t="str">
        <f>PartsMaster!$K30&amp;" "&amp;PartsMaster!L30&amp;" "&amp;PartsMaster!$M30</f>
        <v>Rear Left/right Bottom</v>
      </c>
    </row>
    <row r="324" spans="1:123" ht="105" x14ac:dyDescent="0.25">
      <c r="A324" s="20" t="s">
        <v>1166</v>
      </c>
      <c r="B324" s="20" t="s">
        <v>1167</v>
      </c>
      <c r="C324" s="20" t="s">
        <v>1168</v>
      </c>
      <c r="D324" s="21" t="str">
        <f>PartsMaster!B18&amp;" "&amp;PartsMaster!$C18</f>
        <v>Jaguar XK8 XKR X100 XJ8 XJR X308 Crankshaft Damper Bolt</v>
      </c>
      <c r="E324" s="20">
        <v>3000</v>
      </c>
      <c r="F324" s="20" t="s">
        <v>1182</v>
      </c>
      <c r="H324" s="21" t="str">
        <f>PartsMaster!$Q18</f>
        <v xml:space="preserve">Crankshaft Bolt </v>
      </c>
      <c r="I324" s="20">
        <v>9886</v>
      </c>
      <c r="K324" s="20">
        <v>0</v>
      </c>
      <c r="L324" s="20">
        <v>0</v>
      </c>
      <c r="M324" s="21">
        <f>PartsMaster!$D18</f>
        <v>0</v>
      </c>
      <c r="O324" s="20" t="s">
        <v>1169</v>
      </c>
      <c r="P324" s="23">
        <f>PartsMaster!$S18/1.45</f>
        <v>0</v>
      </c>
      <c r="S324" s="20">
        <v>30</v>
      </c>
      <c r="T324" s="20">
        <v>0</v>
      </c>
      <c r="U324" s="20" t="s">
        <v>1170</v>
      </c>
      <c r="Z324" s="26" t="str">
        <f>"&lt;P&gt;"&amp;PartsMaster!$I18&amp;" "&amp;PartsMaster!$H18&amp;"&lt;/P&gt;"&amp;"&lt;P&gt;Jaguar part name "&amp;PartsMaster!$E18&amp;"&lt;/P&gt;&lt;P&gt;Product numbers "&amp;PartsMaster!R18&amp;" "&amp;DQ324&amp;"&lt;/P&gt;&lt;P&gt;Fits starting from VIN/ModelYear "&amp;PartsMaster!$F18&amp;" until VIN/ModelYear "&amp;PartsMaster!$G18&amp;"&lt;/P&gt;&lt;P&gt;Condition: "&amp;PartsMaster!AB18&amp;"&lt;/P&gt;&lt;P&gt; (part source "&amp;PartsMaster!AD18&amp;")&lt;/P&gt;&lt;P&gt;Notes: "&amp;PartsMaster!AA18&amp;"&lt;/P&gt;"</f>
        <v>&lt;P&gt;Engine Bolt / Screw&lt;/P&gt;&lt;P&gt;Jaguar part name Jaguar Crankshaft Front Damper Bolt&lt;/P&gt;&lt;P&gt;Product numbers AJ89909 AJ89909&lt;/P&gt;&lt;P&gt;Fits starting from VIN/ModelYear XK8 4.0 V8 1996
X308 XJ8 3.2 &amp; 4.0 V8 1998 
S Type 4.0 V8
XJ X350 2003  until VIN/ModelYear XK8 4.0 V8 2006 
X308 XJ8 3.2 &amp; 4.0 V8 2002 
S Type 4.0 V8 N52047 
XJ X350 Vin G49700&lt;/P&gt;&lt;P&gt;Condition: British Parts&lt;/P&gt;&lt;P&gt; (part source )&lt;/P&gt;&lt;P&gt;Notes: &lt;/P&gt;</v>
      </c>
      <c r="AA324" s="20" t="s">
        <v>1171</v>
      </c>
      <c r="AC324" s="20">
        <v>0</v>
      </c>
      <c r="AD324" s="20">
        <v>0</v>
      </c>
      <c r="AE324" s="20" t="s">
        <v>1172</v>
      </c>
      <c r="AF324" s="20">
        <v>7</v>
      </c>
      <c r="AG324" s="20">
        <v>0</v>
      </c>
      <c r="AH324" s="20">
        <v>0</v>
      </c>
      <c r="AI324" s="20">
        <v>0</v>
      </c>
      <c r="AJ324" s="20">
        <v>0</v>
      </c>
      <c r="AK324" s="20">
        <v>0</v>
      </c>
      <c r="AO324" s="20" t="s">
        <v>1173</v>
      </c>
      <c r="AR324" s="20">
        <v>0</v>
      </c>
      <c r="AS324" s="20">
        <v>10112</v>
      </c>
      <c r="AV324" s="20" t="s">
        <v>1174</v>
      </c>
      <c r="AX324" s="20">
        <v>62128510024</v>
      </c>
      <c r="AY324" s="20">
        <v>62035811024</v>
      </c>
      <c r="AZ324" s="20">
        <v>55187694024</v>
      </c>
      <c r="BA324" s="20" t="s">
        <v>1175</v>
      </c>
      <c r="BB324" s="20" t="s">
        <v>1176</v>
      </c>
      <c r="BC324" s="20" t="s">
        <v>1177</v>
      </c>
      <c r="BD324" s="20">
        <v>1</v>
      </c>
      <c r="BE324" s="20">
        <v>0</v>
      </c>
      <c r="BF324" s="20">
        <v>0</v>
      </c>
      <c r="BG324" s="20">
        <v>0</v>
      </c>
      <c r="BN324" s="20" t="s">
        <v>1178</v>
      </c>
      <c r="BV324" s="20">
        <v>0</v>
      </c>
      <c r="CL324" s="20">
        <v>0</v>
      </c>
      <c r="DD324" s="20" t="s">
        <v>1179</v>
      </c>
      <c r="DE324" s="20" t="s">
        <v>1179</v>
      </c>
      <c r="DI324" s="20">
        <v>0</v>
      </c>
      <c r="DP324" s="21" t="s">
        <v>1180</v>
      </c>
      <c r="DQ324" s="21" t="str">
        <f>PartsMaster!$A18</f>
        <v>AJ89909</v>
      </c>
      <c r="DR324" s="21" t="s">
        <v>1181</v>
      </c>
      <c r="DS324" s="21" t="str">
        <f>PartsMaster!$K19&amp;" "&amp;PartsMaster!L19&amp;" "&amp;PartsMaster!$M19</f>
        <v xml:space="preserve">  </v>
      </c>
    </row>
    <row r="325" spans="1:123" hidden="1" x14ac:dyDescent="0.25">
      <c r="A325" s="20" t="s">
        <v>1166</v>
      </c>
      <c r="B325" s="20" t="s">
        <v>1167</v>
      </c>
      <c r="C325" s="20" t="s">
        <v>1168</v>
      </c>
      <c r="D325" s="21" t="str">
        <f>PartsMaster!B317&amp;" "&amp;PartsMaster!$C317</f>
        <v>Jaguar XK8 XKR X100 Gearbox (Exchange) - XK8</v>
      </c>
      <c r="E325" s="20">
        <v>3000</v>
      </c>
      <c r="F325" s="20" t="s">
        <v>1182</v>
      </c>
      <c r="H325" s="21">
        <f>PartsMaster!$Q317</f>
        <v>0</v>
      </c>
      <c r="I325" s="20">
        <v>9886</v>
      </c>
      <c r="K325" s="20">
        <v>0</v>
      </c>
      <c r="L325" s="20">
        <v>0</v>
      </c>
      <c r="M325" s="21">
        <f>PartsMaster!$D317</f>
        <v>0</v>
      </c>
      <c r="O325" s="20" t="s">
        <v>1169</v>
      </c>
      <c r="P325" s="23">
        <f>PartsMaster!$S317/1.45</f>
        <v>0</v>
      </c>
      <c r="S325" s="20">
        <v>30</v>
      </c>
      <c r="T325" s="20">
        <v>0</v>
      </c>
      <c r="U325" s="20" t="s">
        <v>1170</v>
      </c>
      <c r="Z325" s="26" t="str">
        <f>"&lt;P&gt;"&amp;PartsMaster!$I317&amp;" "&amp;PartsMaster!$H317&amp;"&lt;/P&gt;"&amp;"&lt;P&gt;Jaguar part name "&amp;PartsMaster!$E317&amp;"&lt;/P&gt;&lt;P&gt;Product numbers "&amp;PartsMaster!R317&amp;" "&amp;DQ325&amp;"&lt;/P&gt;&lt;P&gt;Fits starting from VIN/ModelYear "&amp;PartsMaster!$F317&amp;" until VIN/ModelYear "&amp;PartsMaster!$G317&amp;"&lt;/P&gt;&lt;P&gt;Condition: "&amp;PartsMaster!AB317&amp;"&lt;/P&gt;&lt;P&gt; (part source "&amp;PartsMaster!AD317&amp;")&lt;/P&gt;&lt;P&gt;Notes: "&amp;PartsMaster!AA317&amp;"&lt;/P&gt;"</f>
        <v>&lt;P&gt;Automatic Gearbox Gearbox&lt;/P&gt;&lt;P&gt;Jaguar part name Automatic gearbox&lt;/P&gt;&lt;P&gt;Product numbers  NJA4400AFE&lt;/P&gt;&lt;P&gt;Fits starting from VIN/ModelYear  until VIN/ModelYear 009694&lt;/P&gt;&lt;P&gt;Condition: &lt;/P&gt;&lt;P&gt; (part source )&lt;/P&gt;&lt;P&gt;Notes: &lt;/P&gt;</v>
      </c>
      <c r="AA325" s="20" t="s">
        <v>1171</v>
      </c>
      <c r="AC325" s="20">
        <v>0</v>
      </c>
      <c r="AD325" s="20">
        <v>0</v>
      </c>
      <c r="AE325" s="20" t="s">
        <v>1172</v>
      </c>
      <c r="AF325" s="20">
        <v>7</v>
      </c>
      <c r="AG325" s="20">
        <v>0</v>
      </c>
      <c r="AH325" s="20">
        <v>0</v>
      </c>
      <c r="AI325" s="20">
        <v>0</v>
      </c>
      <c r="AJ325" s="20">
        <v>0</v>
      </c>
      <c r="AK325" s="20">
        <v>0</v>
      </c>
      <c r="AO325" s="20" t="s">
        <v>1173</v>
      </c>
      <c r="AR325" s="20">
        <v>0</v>
      </c>
      <c r="AS325" s="20">
        <v>10112</v>
      </c>
      <c r="AV325" s="20" t="s">
        <v>1174</v>
      </c>
      <c r="AX325" s="20">
        <v>62128510024</v>
      </c>
      <c r="AY325" s="20">
        <v>62035811024</v>
      </c>
      <c r="AZ325" s="20">
        <v>55187694024</v>
      </c>
      <c r="BA325" s="20" t="s">
        <v>1175</v>
      </c>
      <c r="BB325" s="20" t="s">
        <v>1176</v>
      </c>
      <c r="BC325" s="20" t="s">
        <v>1177</v>
      </c>
      <c r="BD325" s="20">
        <v>1</v>
      </c>
      <c r="BE325" s="20">
        <v>0</v>
      </c>
      <c r="BF325" s="20">
        <v>0</v>
      </c>
      <c r="BG325" s="20">
        <v>0</v>
      </c>
      <c r="BN325" s="20" t="s">
        <v>1178</v>
      </c>
      <c r="BV325" s="20">
        <v>0</v>
      </c>
      <c r="CL325" s="20">
        <v>0</v>
      </c>
      <c r="DD325" s="20" t="s">
        <v>1179</v>
      </c>
      <c r="DE325" s="20" t="s">
        <v>1179</v>
      </c>
      <c r="DI325" s="20">
        <v>0</v>
      </c>
      <c r="DP325" s="21" t="s">
        <v>1180</v>
      </c>
      <c r="DQ325" s="21" t="str">
        <f>PartsMaster!$A317</f>
        <v>NJA4400AFE</v>
      </c>
      <c r="DR325" s="21" t="s">
        <v>1181</v>
      </c>
      <c r="DS325" s="21" t="str">
        <f>PartsMaster!$K318&amp;" "&amp;PartsMaster!L318&amp;" "&amp;PartsMaster!$M318</f>
        <v>Center Center Bottom</v>
      </c>
    </row>
    <row r="326" spans="1:123" ht="30" hidden="1" x14ac:dyDescent="0.25">
      <c r="A326" s="20" t="s">
        <v>1166</v>
      </c>
      <c r="B326" s="20" t="s">
        <v>1167</v>
      </c>
      <c r="C326" s="20" t="s">
        <v>1168</v>
      </c>
      <c r="D326" s="21" t="str">
        <f>PartsMaster!B318&amp;" "&amp;PartsMaster!$C318</f>
        <v>Jaguar XK8 XKR X100 Gearbox (New) - XK8</v>
      </c>
      <c r="E326" s="20">
        <v>3000</v>
      </c>
      <c r="F326" s="20" t="s">
        <v>1182</v>
      </c>
      <c r="H326" s="21">
        <f>PartsMaster!$Q318</f>
        <v>0</v>
      </c>
      <c r="I326" s="20">
        <v>9886</v>
      </c>
      <c r="K326" s="20">
        <v>0</v>
      </c>
      <c r="L326" s="20">
        <v>0</v>
      </c>
      <c r="M326" s="21">
        <f>PartsMaster!$D318</f>
        <v>0</v>
      </c>
      <c r="O326" s="20" t="s">
        <v>1169</v>
      </c>
      <c r="P326" s="23">
        <f>PartsMaster!$S318/1.45</f>
        <v>0</v>
      </c>
      <c r="S326" s="20">
        <v>30</v>
      </c>
      <c r="T326" s="20">
        <v>0</v>
      </c>
      <c r="U326" s="20" t="s">
        <v>1170</v>
      </c>
      <c r="Z326" s="26" t="str">
        <f>"&lt;P&gt;"&amp;PartsMaster!$I318&amp;" "&amp;PartsMaster!$H318&amp;"&lt;/P&gt;"&amp;"&lt;P&gt;Jaguar part name "&amp;PartsMaster!$E318&amp;"&lt;/P&gt;&lt;P&gt;Product numbers "&amp;PartsMaster!R318&amp;" "&amp;DQ326&amp;"&lt;/P&gt;&lt;P&gt;Fits starting from VIN/ModelYear "&amp;PartsMaster!$F318&amp;" until VIN/ModelYear "&amp;PartsMaster!$G318&amp;"&lt;/P&gt;&lt;P&gt;Condition: "&amp;PartsMaster!AB318&amp;"&lt;/P&gt;&lt;P&gt; (part source "&amp;PartsMaster!AD318&amp;")&lt;/P&gt;&lt;P&gt;Notes: "&amp;PartsMaster!AA318&amp;"&lt;/P&gt;"</f>
        <v>&lt;P&gt;Automatic Gearbox Gearbox&lt;/P&gt;&lt;P&gt;Jaguar part name Automatic gearbox&lt;/P&gt;&lt;P&gt;Product numbers  NJA4400AFN   (Superceded)&lt;/P&gt;&lt;P&gt;Fits starting from VIN/ModelYear  until VIN/ModelYear 009694&lt;/P&gt;&lt;P&gt;Condition: &lt;/P&gt;&lt;P&gt; (part source )&lt;/P&gt;&lt;P&gt;Notes: &lt;/P&gt;</v>
      </c>
      <c r="AA326" s="20" t="s">
        <v>1171</v>
      </c>
      <c r="AC326" s="20">
        <v>0</v>
      </c>
      <c r="AD326" s="20">
        <v>0</v>
      </c>
      <c r="AE326" s="20" t="s">
        <v>1172</v>
      </c>
      <c r="AF326" s="20">
        <v>7</v>
      </c>
      <c r="AG326" s="20">
        <v>0</v>
      </c>
      <c r="AH326" s="20">
        <v>0</v>
      </c>
      <c r="AI326" s="20">
        <v>0</v>
      </c>
      <c r="AJ326" s="20">
        <v>0</v>
      </c>
      <c r="AK326" s="20">
        <v>0</v>
      </c>
      <c r="AO326" s="20" t="s">
        <v>1173</v>
      </c>
      <c r="AR326" s="20">
        <v>0</v>
      </c>
      <c r="AS326" s="20">
        <v>10112</v>
      </c>
      <c r="AV326" s="20" t="s">
        <v>1174</v>
      </c>
      <c r="AX326" s="20">
        <v>62128510024</v>
      </c>
      <c r="AY326" s="20">
        <v>62035811024</v>
      </c>
      <c r="AZ326" s="20">
        <v>55187694024</v>
      </c>
      <c r="BA326" s="20" t="s">
        <v>1175</v>
      </c>
      <c r="BB326" s="20" t="s">
        <v>1176</v>
      </c>
      <c r="BC326" s="20" t="s">
        <v>1177</v>
      </c>
      <c r="BD326" s="20">
        <v>1</v>
      </c>
      <c r="BE326" s="20">
        <v>0</v>
      </c>
      <c r="BF326" s="20">
        <v>0</v>
      </c>
      <c r="BG326" s="20">
        <v>0</v>
      </c>
      <c r="BN326" s="20" t="s">
        <v>1178</v>
      </c>
      <c r="BV326" s="20">
        <v>0</v>
      </c>
      <c r="CL326" s="20">
        <v>0</v>
      </c>
      <c r="DD326" s="20" t="s">
        <v>1179</v>
      </c>
      <c r="DE326" s="20" t="s">
        <v>1179</v>
      </c>
      <c r="DI326" s="20">
        <v>0</v>
      </c>
      <c r="DP326" s="21" t="s">
        <v>1180</v>
      </c>
      <c r="DQ326" s="21" t="str">
        <f>PartsMaster!$A318</f>
        <v>NJA4400AFN   (Superceded)</v>
      </c>
      <c r="DR326" s="21" t="s">
        <v>1181</v>
      </c>
      <c r="DS326" s="21" t="str">
        <f>PartsMaster!$K319&amp;" "&amp;PartsMaster!L319&amp;" "&amp;PartsMaster!$M319</f>
        <v>Center Center Bottom</v>
      </c>
    </row>
    <row r="327" spans="1:123" ht="60" x14ac:dyDescent="0.25">
      <c r="A327" s="20" t="s">
        <v>1166</v>
      </c>
      <c r="B327" s="20" t="s">
        <v>1167</v>
      </c>
      <c r="C327" s="20" t="s">
        <v>1168</v>
      </c>
      <c r="D327" s="21" t="str">
        <f>PartsMaster!B107&amp;" "&amp;PartsMaster!$C107</f>
        <v>Jaguar XK8 XKR X100 Door mirror - US</v>
      </c>
      <c r="E327" s="20">
        <v>3000</v>
      </c>
      <c r="F327" s="20" t="s">
        <v>1182</v>
      </c>
      <c r="H327" s="21" t="str">
        <f>PartsMaster!$Q107</f>
        <v>Door mirror</v>
      </c>
      <c r="I327" s="20">
        <v>9886</v>
      </c>
      <c r="K327" s="20">
        <v>0</v>
      </c>
      <c r="L327" s="20">
        <v>0</v>
      </c>
      <c r="M327" s="21">
        <f>PartsMaster!$D107</f>
        <v>1</v>
      </c>
      <c r="O327" s="20" t="s">
        <v>1169</v>
      </c>
      <c r="P327" s="23">
        <f>PartsMaster!$S107/1.45</f>
        <v>100</v>
      </c>
      <c r="S327" s="20">
        <v>30</v>
      </c>
      <c r="T327" s="20">
        <v>0</v>
      </c>
      <c r="U327" s="20" t="s">
        <v>1170</v>
      </c>
      <c r="Z327" s="26" t="str">
        <f>"&lt;P&gt;"&amp;PartsMaster!$I107&amp;" "&amp;PartsMaster!$H107&amp;"&lt;/P&gt;"&amp;"&lt;P&gt;Jaguar part name "&amp;PartsMaster!$E107&amp;"&lt;/P&gt;&lt;P&gt;Product numbers "&amp;PartsMaster!R107&amp;" "&amp;DQ327&amp;"&lt;/P&gt;&lt;P&gt;Fits starting from VIN/ModelYear "&amp;PartsMaster!$F107&amp;" until VIN/ModelYear "&amp;PartsMaster!$G107&amp;"&lt;/P&gt;&lt;P&gt;Condition: "&amp;PartsMaster!AB107&amp;"&lt;/P&gt;&lt;P&gt; (part source "&amp;PartsMaster!AD107&amp;")&lt;/P&gt;&lt;P&gt;Notes: "&amp;PartsMaster!AA107&amp;"&lt;/P&gt;"</f>
        <v>&lt;P&gt;Mirrors Mirror&lt;/P&gt;&lt;P&gt;Jaguar part name EXTERIOR FITTINGS AND SUNROOF/DOOR MIRRORS - Door mirror - Less glass/backcover - electrochromatic&lt;/P&gt;&lt;P&gt;Product numbers HJA3403 HJA3403AB&lt;/P&gt;&lt;P&gt;Fits starting from VIN/ModelYear X100 MY1996 until VIN/ModelYear X100 MY2006&lt;/P&gt;&lt;P&gt;Condition: Dismantled from bottom &amp; engine damaged MY1997 XK8 Convertible VIN 0136xx&lt;/P&gt;&lt;P&gt; (part source KK)&lt;/P&gt;&lt;P&gt;Notes: Includes HNA3056AA (Mirror backcover-Blue) and 
HNA3076AA (Mirror glass-with warning- 1400mm-USA)&lt;/P&gt;</v>
      </c>
      <c r="AA327" s="20" t="s">
        <v>1171</v>
      </c>
      <c r="AC327" s="20">
        <v>0</v>
      </c>
      <c r="AD327" s="20">
        <v>0</v>
      </c>
      <c r="AE327" s="20" t="s">
        <v>1172</v>
      </c>
      <c r="AF327" s="20">
        <v>7</v>
      </c>
      <c r="AG327" s="20">
        <v>0</v>
      </c>
      <c r="AH327" s="20">
        <v>0</v>
      </c>
      <c r="AI327" s="20">
        <v>0</v>
      </c>
      <c r="AJ327" s="20">
        <v>0</v>
      </c>
      <c r="AK327" s="20">
        <v>0</v>
      </c>
      <c r="AO327" s="20" t="s">
        <v>1173</v>
      </c>
      <c r="AR327" s="20">
        <v>0</v>
      </c>
      <c r="AS327" s="20">
        <v>10112</v>
      </c>
      <c r="AV327" s="20" t="s">
        <v>1174</v>
      </c>
      <c r="AX327" s="20">
        <v>62128510024</v>
      </c>
      <c r="AY327" s="20">
        <v>62035811024</v>
      </c>
      <c r="AZ327" s="20">
        <v>55187694024</v>
      </c>
      <c r="BA327" s="20" t="s">
        <v>1175</v>
      </c>
      <c r="BB327" s="20" t="s">
        <v>1176</v>
      </c>
      <c r="BC327" s="20" t="s">
        <v>1177</v>
      </c>
      <c r="BD327" s="20">
        <v>1</v>
      </c>
      <c r="BE327" s="20">
        <v>0</v>
      </c>
      <c r="BF327" s="20">
        <v>0</v>
      </c>
      <c r="BG327" s="20">
        <v>0</v>
      </c>
      <c r="BN327" s="20" t="s">
        <v>1178</v>
      </c>
      <c r="BV327" s="20">
        <v>0</v>
      </c>
      <c r="CL327" s="20">
        <v>0</v>
      </c>
      <c r="DD327" s="20" t="s">
        <v>1179</v>
      </c>
      <c r="DE327" s="20" t="s">
        <v>1179</v>
      </c>
      <c r="DI327" s="20">
        <v>0</v>
      </c>
      <c r="DP327" s="21" t="s">
        <v>1180</v>
      </c>
      <c r="DQ327" s="21" t="str">
        <f>PartsMaster!$A107</f>
        <v>HJA3403AB</v>
      </c>
      <c r="DR327" s="21" t="s">
        <v>1181</v>
      </c>
      <c r="DS327" s="21" t="str">
        <f>PartsMaster!$K108&amp;" "&amp;PartsMaster!L108&amp;" "&amp;PartsMaster!$M108</f>
        <v xml:space="preserve"> Right Low</v>
      </c>
    </row>
    <row r="328" spans="1:123" ht="30" x14ac:dyDescent="0.25">
      <c r="A328" s="20" t="s">
        <v>1166</v>
      </c>
      <c r="B328" s="20" t="s">
        <v>1167</v>
      </c>
      <c r="C328" s="20" t="s">
        <v>1168</v>
      </c>
      <c r="D328" s="21" t="str">
        <f>PartsMaster!B108&amp;" "&amp;PartsMaster!$C108</f>
        <v>Jaguar XK8 XKR X100 Alternator Cooling/air Duct to Undertray</v>
      </c>
      <c r="E328" s="20">
        <v>3000</v>
      </c>
      <c r="F328" s="20" t="s">
        <v>1182</v>
      </c>
      <c r="H328" s="21">
        <f>PartsMaster!$Q108</f>
        <v>0</v>
      </c>
      <c r="I328" s="20">
        <v>9886</v>
      </c>
      <c r="K328" s="20">
        <v>0</v>
      </c>
      <c r="L328" s="20">
        <v>0</v>
      </c>
      <c r="M328" s="21">
        <f>PartsMaster!$D108</f>
        <v>0</v>
      </c>
      <c r="O328" s="20" t="s">
        <v>1169</v>
      </c>
      <c r="P328" s="23">
        <f>PartsMaster!$S108/1.45</f>
        <v>0</v>
      </c>
      <c r="S328" s="20">
        <v>30</v>
      </c>
      <c r="T328" s="20">
        <v>0</v>
      </c>
      <c r="U328" s="20" t="s">
        <v>1170</v>
      </c>
      <c r="Z328" s="26" t="str">
        <f>"&lt;P&gt;"&amp;PartsMaster!$I108&amp;" "&amp;PartsMaster!$H108&amp;"&lt;/P&gt;"&amp;"&lt;P&gt;Jaguar part name "&amp;PartsMaster!$E108&amp;"&lt;/P&gt;&lt;P&gt;Product numbers "&amp;PartsMaster!R108&amp;" "&amp;DQ328&amp;"&lt;/P&gt;&lt;P&gt;Fits starting from VIN/ModelYear "&amp;PartsMaster!$F108&amp;" until VIN/ModelYear "&amp;PartsMaster!$G108&amp;"&lt;/P&gt;&lt;P&gt;Condition: "&amp;PartsMaster!AB108&amp;"&lt;/P&gt;&lt;P&gt; (part source "&amp;PartsMaster!AD108&amp;")&lt;/P&gt;&lt;P&gt;Notes: "&amp;PartsMaster!AA108&amp;"&lt;/P&gt;"</f>
        <v>&lt;P&gt;Air Circulation Hose / Pipe / Duct&lt;/P&gt;&lt;P&gt;Jaguar part name Alternator cooling duct&lt;/P&gt;&lt;P&gt;Product numbers  HJA4477AC&lt;/P&gt;&lt;P&gt;Fits starting from VIN/ModelYear  until VIN/ModelYear &lt;/P&gt;&lt;P&gt;Condition: &lt;/P&gt;&lt;P&gt; (part source )&lt;/P&gt;&lt;P&gt;Notes: &lt;/P&gt;</v>
      </c>
      <c r="AA328" s="20" t="s">
        <v>1171</v>
      </c>
      <c r="AC328" s="20">
        <v>0</v>
      </c>
      <c r="AD328" s="20">
        <v>0</v>
      </c>
      <c r="AE328" s="20" t="s">
        <v>1172</v>
      </c>
      <c r="AF328" s="20">
        <v>7</v>
      </c>
      <c r="AG328" s="20">
        <v>0</v>
      </c>
      <c r="AH328" s="20">
        <v>0</v>
      </c>
      <c r="AI328" s="20">
        <v>0</v>
      </c>
      <c r="AJ328" s="20">
        <v>0</v>
      </c>
      <c r="AK328" s="20">
        <v>0</v>
      </c>
      <c r="AO328" s="20" t="s">
        <v>1173</v>
      </c>
      <c r="AR328" s="20">
        <v>0</v>
      </c>
      <c r="AS328" s="20">
        <v>10112</v>
      </c>
      <c r="AV328" s="20" t="s">
        <v>1174</v>
      </c>
      <c r="AX328" s="20">
        <v>62128510024</v>
      </c>
      <c r="AY328" s="20">
        <v>62035811024</v>
      </c>
      <c r="AZ328" s="20">
        <v>55187694024</v>
      </c>
      <c r="BA328" s="20" t="s">
        <v>1175</v>
      </c>
      <c r="BB328" s="20" t="s">
        <v>1176</v>
      </c>
      <c r="BC328" s="20" t="s">
        <v>1177</v>
      </c>
      <c r="BD328" s="20">
        <v>1</v>
      </c>
      <c r="BE328" s="20">
        <v>0</v>
      </c>
      <c r="BF328" s="20">
        <v>0</v>
      </c>
      <c r="BG328" s="20">
        <v>0</v>
      </c>
      <c r="BN328" s="20" t="s">
        <v>1178</v>
      </c>
      <c r="BV328" s="20">
        <v>0</v>
      </c>
      <c r="CL328" s="20">
        <v>0</v>
      </c>
      <c r="DD328" s="20" t="s">
        <v>1179</v>
      </c>
      <c r="DE328" s="20" t="s">
        <v>1179</v>
      </c>
      <c r="DI328" s="20">
        <v>0</v>
      </c>
      <c r="DP328" s="21" t="s">
        <v>1180</v>
      </c>
      <c r="DQ328" s="21" t="str">
        <f>PartsMaster!$A108</f>
        <v>HJA4477AC</v>
      </c>
      <c r="DR328" s="21" t="s">
        <v>1181</v>
      </c>
      <c r="DS328" s="21" t="str">
        <f>PartsMaster!$K109&amp;" "&amp;PartsMaster!L109&amp;" "&amp;PartsMaster!$M109</f>
        <v xml:space="preserve">Front Left </v>
      </c>
    </row>
    <row r="329" spans="1:123" ht="30" hidden="1" x14ac:dyDescent="0.25">
      <c r="A329" s="20" t="s">
        <v>1166</v>
      </c>
      <c r="B329" s="20" t="s">
        <v>1167</v>
      </c>
      <c r="C329" s="20" t="s">
        <v>1168</v>
      </c>
      <c r="D329" s="21" t="str">
        <f>PartsMaster!B321&amp;" "&amp;PartsMaster!$C321</f>
        <v>Jaguar XK8 XKR X100 Exhaust Bracket bush</v>
      </c>
      <c r="E329" s="20">
        <v>3000</v>
      </c>
      <c r="F329" s="20" t="s">
        <v>1182</v>
      </c>
      <c r="H329" s="21" t="str">
        <f>PartsMaster!$Q321</f>
        <v>Bracket bush</v>
      </c>
      <c r="I329" s="20">
        <v>9886</v>
      </c>
      <c r="K329" s="20">
        <v>0</v>
      </c>
      <c r="L329" s="20">
        <v>0</v>
      </c>
      <c r="M329" s="21">
        <f>PartsMaster!$D321</f>
        <v>1</v>
      </c>
      <c r="O329" s="20" t="s">
        <v>1169</v>
      </c>
      <c r="P329" s="23">
        <f>PartsMaster!$S321/1.45</f>
        <v>17.241379310344829</v>
      </c>
      <c r="S329" s="20">
        <v>30</v>
      </c>
      <c r="T329" s="20">
        <v>0</v>
      </c>
      <c r="U329" s="20" t="s">
        <v>1170</v>
      </c>
      <c r="Z329" s="26" t="str">
        <f>"&lt;P&gt;"&amp;PartsMaster!$I321&amp;" "&amp;PartsMaster!$H321&amp;"&lt;/P&gt;"&amp;"&lt;P&gt;Jaguar part name "&amp;PartsMaster!$E321&amp;"&lt;/P&gt;&lt;P&gt;Product numbers "&amp;PartsMaster!R321&amp;" "&amp;DQ329&amp;"&lt;/P&gt;&lt;P&gt;Fits starting from VIN/ModelYear "&amp;PartsMaster!$F321&amp;" until VIN/ModelYear "&amp;PartsMaster!$G321&amp;"&lt;/P&gt;&lt;P&gt;Condition: "&amp;PartsMaster!AB321&amp;"&lt;/P&gt;&lt;P&gt; (part source "&amp;PartsMaster!AD321&amp;")&lt;/P&gt;&lt;P&gt;Notes: "&amp;PartsMaster!AA321&amp;"&lt;/P&gt;"</f>
        <v>&lt;P&gt;Bush Bush&lt;/P&gt;&lt;P&gt;Jaguar part name EXHAUST SYSTEM AND COMPONENTS/EXHAUST SYSTEM - Exhaust mounting rubber - Rear&lt;/P&gt;&lt;P&gt;Product numbers NJA6741BB NJA6741BB&lt;/P&gt;&lt;P&gt;Fits starting from VIN/ModelYear X100 MY1996 until VIN/ModelYear X100 ALL &lt;/P&gt;&lt;P&gt;Condition: Dismantled from bottom &amp; engine damaged MY1997 XK8 Convertible VIN 0136xx&lt;/P&gt;&lt;P&gt; (part source KK)&lt;/P&gt;&lt;P&gt;Notes: &lt;/P&gt;</v>
      </c>
      <c r="AA329" s="20" t="s">
        <v>1171</v>
      </c>
      <c r="AC329" s="20">
        <v>0</v>
      </c>
      <c r="AD329" s="20">
        <v>0</v>
      </c>
      <c r="AE329" s="20" t="s">
        <v>1172</v>
      </c>
      <c r="AF329" s="20">
        <v>7</v>
      </c>
      <c r="AG329" s="20">
        <v>0</v>
      </c>
      <c r="AH329" s="20">
        <v>0</v>
      </c>
      <c r="AI329" s="20">
        <v>0</v>
      </c>
      <c r="AJ329" s="20">
        <v>0</v>
      </c>
      <c r="AK329" s="20">
        <v>0</v>
      </c>
      <c r="AO329" s="20" t="s">
        <v>1173</v>
      </c>
      <c r="AR329" s="20">
        <v>0</v>
      </c>
      <c r="AS329" s="20">
        <v>10112</v>
      </c>
      <c r="AV329" s="20" t="s">
        <v>1174</v>
      </c>
      <c r="AX329" s="20">
        <v>62128510024</v>
      </c>
      <c r="AY329" s="20">
        <v>62035811024</v>
      </c>
      <c r="AZ329" s="20">
        <v>55187694024</v>
      </c>
      <c r="BA329" s="20" t="s">
        <v>1175</v>
      </c>
      <c r="BB329" s="20" t="s">
        <v>1176</v>
      </c>
      <c r="BC329" s="20" t="s">
        <v>1177</v>
      </c>
      <c r="BD329" s="20">
        <v>1</v>
      </c>
      <c r="BE329" s="20">
        <v>0</v>
      </c>
      <c r="BF329" s="20">
        <v>0</v>
      </c>
      <c r="BG329" s="20">
        <v>0</v>
      </c>
      <c r="BN329" s="20" t="s">
        <v>1178</v>
      </c>
      <c r="BV329" s="20">
        <v>0</v>
      </c>
      <c r="CL329" s="20">
        <v>0</v>
      </c>
      <c r="DD329" s="20" t="s">
        <v>1179</v>
      </c>
      <c r="DE329" s="20" t="s">
        <v>1179</v>
      </c>
      <c r="DI329" s="20">
        <v>0</v>
      </c>
      <c r="DP329" s="21" t="s">
        <v>1180</v>
      </c>
      <c r="DQ329" s="21" t="str">
        <f>PartsMaster!$A321</f>
        <v>NJA6741BB</v>
      </c>
      <c r="DR329" s="21" t="s">
        <v>1181</v>
      </c>
      <c r="DS329" s="21" t="str">
        <f>PartsMaster!$K322&amp;" "&amp;PartsMaster!L322&amp;" "&amp;PartsMaster!$M322</f>
        <v>Middle/Rear Left/Right N/A</v>
      </c>
    </row>
    <row r="330" spans="1:123" ht="30" hidden="1" x14ac:dyDescent="0.25">
      <c r="A330" s="20" t="s">
        <v>1166</v>
      </c>
      <c r="B330" s="20" t="s">
        <v>1167</v>
      </c>
      <c r="C330" s="20" t="s">
        <v>1168</v>
      </c>
      <c r="D330" s="21" t="str">
        <f>PartsMaster!B82&amp;" "&amp;PartsMaster!$C82</f>
        <v>Jaguar XK8 XKR X100 Seat  - Mechanism cover</v>
      </c>
      <c r="E330" s="20">
        <v>3000</v>
      </c>
      <c r="F330" s="20" t="s">
        <v>1182</v>
      </c>
      <c r="H330" s="21" t="str">
        <f>PartsMaster!$Q82</f>
        <v xml:space="preserve">COVER-MECHAN </v>
      </c>
      <c r="I330" s="20">
        <v>9886</v>
      </c>
      <c r="K330" s="20">
        <v>0</v>
      </c>
      <c r="L330" s="20">
        <v>0</v>
      </c>
      <c r="M330" s="21">
        <f>PartsMaster!$D82</f>
        <v>0</v>
      </c>
      <c r="O330" s="20" t="s">
        <v>1169</v>
      </c>
      <c r="P330" s="23">
        <f>PartsMaster!$S82/1.45</f>
        <v>0</v>
      </c>
      <c r="S330" s="20">
        <v>30</v>
      </c>
      <c r="T330" s="20">
        <v>0</v>
      </c>
      <c r="U330" s="20" t="s">
        <v>1170</v>
      </c>
      <c r="Z330" s="26" t="str">
        <f>"&lt;P&gt;"&amp;PartsMaster!$I82&amp;" "&amp;PartsMaster!$H82&amp;"&lt;/P&gt;"&amp;"&lt;P&gt;Jaguar part name "&amp;PartsMaster!$E82&amp;"&lt;/P&gt;&lt;P&gt;Product numbers "&amp;PartsMaster!R82&amp;" "&amp;DQ330&amp;"&lt;/P&gt;&lt;P&gt;Fits starting from VIN/ModelYear "&amp;PartsMaster!$F82&amp;" until VIN/ModelYear "&amp;PartsMaster!$G82&amp;"&lt;/P&gt;&lt;P&gt;Condition: "&amp;PartsMaster!AB82&amp;"&lt;/P&gt;&lt;P&gt; (part source "&amp;PartsMaster!AD82&amp;")&lt;/P&gt;&lt;P&gt;Notes: "&amp;PartsMaster!AA82&amp;"&lt;/P&gt;"</f>
        <v>&lt;P&gt;Cap / Cover Cap / Cover / Trim&lt;/P&gt;&lt;P&gt;Jaguar part name SEATING/FRONT SEATS, TRIM AND FITTINGS  - Mechanism cover&lt;/P&gt;&lt;P&gt;Product numbers GJB4730AAAGD  GJA4730AA/AGD
GJA4730AAAGD&lt;/P&gt;&lt;P&gt;Fits starting from VIN/ModelYear 0 until VIN/ModelYear 18107&lt;/P&gt;&lt;P&gt;Condition: SNG Barrat&lt;/P&gt;&lt;P&gt; (part source )&lt;/P&gt;&lt;P&gt;Notes: &lt;/P&gt;</v>
      </c>
      <c r="AA330" s="20" t="s">
        <v>1171</v>
      </c>
      <c r="AC330" s="20">
        <v>0</v>
      </c>
      <c r="AD330" s="20">
        <v>0</v>
      </c>
      <c r="AE330" s="20" t="s">
        <v>1172</v>
      </c>
      <c r="AF330" s="20">
        <v>7</v>
      </c>
      <c r="AG330" s="20">
        <v>0</v>
      </c>
      <c r="AH330" s="20">
        <v>0</v>
      </c>
      <c r="AI330" s="20">
        <v>0</v>
      </c>
      <c r="AJ330" s="20">
        <v>0</v>
      </c>
      <c r="AK330" s="20">
        <v>0</v>
      </c>
      <c r="AO330" s="20" t="s">
        <v>1173</v>
      </c>
      <c r="AR330" s="20">
        <v>0</v>
      </c>
      <c r="AS330" s="20">
        <v>10112</v>
      </c>
      <c r="AV330" s="20" t="s">
        <v>1174</v>
      </c>
      <c r="AX330" s="20">
        <v>62128510024</v>
      </c>
      <c r="AY330" s="20">
        <v>62035811024</v>
      </c>
      <c r="AZ330" s="20">
        <v>55187694024</v>
      </c>
      <c r="BA330" s="20" t="s">
        <v>1175</v>
      </c>
      <c r="BB330" s="20" t="s">
        <v>1176</v>
      </c>
      <c r="BC330" s="20" t="s">
        <v>1177</v>
      </c>
      <c r="BD330" s="20">
        <v>1</v>
      </c>
      <c r="BE330" s="20">
        <v>0</v>
      </c>
      <c r="BF330" s="20">
        <v>0</v>
      </c>
      <c r="BG330" s="20">
        <v>0</v>
      </c>
      <c r="BN330" s="20" t="s">
        <v>1178</v>
      </c>
      <c r="BV330" s="20">
        <v>0</v>
      </c>
      <c r="CL330" s="20">
        <v>0</v>
      </c>
      <c r="DD330" s="20" t="s">
        <v>1179</v>
      </c>
      <c r="DE330" s="20" t="s">
        <v>1179</v>
      </c>
      <c r="DI330" s="20">
        <v>0</v>
      </c>
      <c r="DP330" s="21" t="s">
        <v>1180</v>
      </c>
      <c r="DQ330" s="21" t="str">
        <f>PartsMaster!$A82</f>
        <v>GJA4730AA/AGD
GJA4730AAAGD</v>
      </c>
      <c r="DR330" s="21" t="s">
        <v>1181</v>
      </c>
      <c r="DS330" s="21" t="str">
        <f>PartsMaster!$K83&amp;" "&amp;PartsMaster!L83&amp;" "&amp;PartsMaster!$M83</f>
        <v>Front Left Low</v>
      </c>
    </row>
    <row r="331" spans="1:123" ht="30" hidden="1" x14ac:dyDescent="0.25">
      <c r="A331" s="20" t="s">
        <v>1166</v>
      </c>
      <c r="B331" s="20" t="s">
        <v>1167</v>
      </c>
      <c r="C331" s="20" t="s">
        <v>1168</v>
      </c>
      <c r="D331" s="21" t="str">
        <f>PartsMaster!B323&amp;" "&amp;PartsMaster!$C323</f>
        <v>Jaguar XK8 X100 XJ8 X308 Engine Cover Mounting Short</v>
      </c>
      <c r="E331" s="20">
        <v>3000</v>
      </c>
      <c r="F331" s="20" t="s">
        <v>1182</v>
      </c>
      <c r="H331" s="21" t="str">
        <f>PartsMaster!$Q323</f>
        <v xml:space="preserve">Engine Cover engine bay rubber
</v>
      </c>
      <c r="I331" s="20">
        <v>9886</v>
      </c>
      <c r="K331" s="20">
        <v>0</v>
      </c>
      <c r="L331" s="20">
        <v>0</v>
      </c>
      <c r="M331" s="21">
        <f>PartsMaster!$D323</f>
        <v>1</v>
      </c>
      <c r="O331" s="20" t="s">
        <v>1169</v>
      </c>
      <c r="P331" s="23">
        <f>PartsMaster!$S323/1.45</f>
        <v>6.8965517241379315</v>
      </c>
      <c r="S331" s="20">
        <v>30</v>
      </c>
      <c r="T331" s="20">
        <v>0</v>
      </c>
      <c r="U331" s="20" t="s">
        <v>1170</v>
      </c>
      <c r="Z331" s="26" t="str">
        <f>"&lt;P&gt;"&amp;PartsMaster!$I323&amp;" "&amp;PartsMaster!$H323&amp;"&lt;/P&gt;"&amp;"&lt;P&gt;Jaguar part name "&amp;PartsMaster!$E323&amp;"&lt;/P&gt;&lt;P&gt;Product numbers "&amp;PartsMaster!R323&amp;" "&amp;DQ331&amp;"&lt;/P&gt;&lt;P&gt;Fits starting from VIN/ModelYear "&amp;PartsMaster!$F323&amp;" until VIN/ModelYear "&amp;PartsMaster!$G323&amp;"&lt;/P&gt;&lt;P&gt;Condition: "&amp;PartsMaster!AB323&amp;"&lt;/P&gt;&lt;P&gt; (part source "&amp;PartsMaster!AD323&amp;")&lt;/P&gt;&lt;P&gt;Notes: "&amp;PartsMaster!AA323&amp;"&lt;/P&gt;"</f>
        <v>&lt;P&gt;Trim Mount&lt;/P&gt;&lt;P&gt;Jaguar part name ENGINE/ENGINE Assembly - Engine Cover engine bay rubber
&lt;/P&gt;&lt;P&gt;Product numbers NJA6790CC NJA6790CC&lt;/P&gt;&lt;P&gt;Fits starting from VIN/ModelYear X100 MY1996 - X308 812317 until VIN/ModelYear X100 A30664 - X308 F59525&lt;/P&gt;&lt;P&gt;Condition: Extra Spare Part&lt;/P&gt;&lt;P&gt; (part source SJ)&lt;/P&gt;&lt;P&gt;Notes: Bare&lt;/P&gt;</v>
      </c>
      <c r="AA331" s="20" t="s">
        <v>1171</v>
      </c>
      <c r="AC331" s="20">
        <v>0</v>
      </c>
      <c r="AD331" s="20">
        <v>0</v>
      </c>
      <c r="AE331" s="20" t="s">
        <v>1172</v>
      </c>
      <c r="AF331" s="20">
        <v>7</v>
      </c>
      <c r="AG331" s="20">
        <v>0</v>
      </c>
      <c r="AH331" s="20">
        <v>0</v>
      </c>
      <c r="AI331" s="20">
        <v>0</v>
      </c>
      <c r="AJ331" s="20">
        <v>0</v>
      </c>
      <c r="AK331" s="20">
        <v>0</v>
      </c>
      <c r="AO331" s="20" t="s">
        <v>1173</v>
      </c>
      <c r="AR331" s="20">
        <v>0</v>
      </c>
      <c r="AS331" s="20">
        <v>10112</v>
      </c>
      <c r="AV331" s="20" t="s">
        <v>1174</v>
      </c>
      <c r="AX331" s="20">
        <v>62128510024</v>
      </c>
      <c r="AY331" s="20">
        <v>62035811024</v>
      </c>
      <c r="AZ331" s="20">
        <v>55187694024</v>
      </c>
      <c r="BA331" s="20" t="s">
        <v>1175</v>
      </c>
      <c r="BB331" s="20" t="s">
        <v>1176</v>
      </c>
      <c r="BC331" s="20" t="s">
        <v>1177</v>
      </c>
      <c r="BD331" s="20">
        <v>1</v>
      </c>
      <c r="BE331" s="20">
        <v>0</v>
      </c>
      <c r="BF331" s="20">
        <v>0</v>
      </c>
      <c r="BG331" s="20">
        <v>0</v>
      </c>
      <c r="BN331" s="20" t="s">
        <v>1178</v>
      </c>
      <c r="BV331" s="20">
        <v>0</v>
      </c>
      <c r="CL331" s="20">
        <v>0</v>
      </c>
      <c r="DD331" s="20" t="s">
        <v>1179</v>
      </c>
      <c r="DE331" s="20" t="s">
        <v>1179</v>
      </c>
      <c r="DI331" s="20">
        <v>0</v>
      </c>
      <c r="DP331" s="21" t="s">
        <v>1180</v>
      </c>
      <c r="DQ331" s="21" t="str">
        <f>PartsMaster!$A323</f>
        <v>NJA6790CC</v>
      </c>
      <c r="DR331" s="21" t="s">
        <v>1181</v>
      </c>
      <c r="DS331" s="21" t="str">
        <f>PartsMaster!$K324&amp;" "&amp;PartsMaster!L324&amp;" "&amp;PartsMaster!$M324</f>
        <v>Center Center Bottom</v>
      </c>
    </row>
    <row r="332" spans="1:123" ht="30" hidden="1" x14ac:dyDescent="0.25">
      <c r="A332" s="20" t="s">
        <v>1166</v>
      </c>
      <c r="B332" s="20" t="s">
        <v>1167</v>
      </c>
      <c r="C332" s="20" t="s">
        <v>1168</v>
      </c>
      <c r="D332" s="21" t="str">
        <f>PartsMaster!B324&amp;" "&amp;PartsMaster!$C324</f>
        <v>Jaguar XK8 XKR X100 Gearbox (Exchange) - XJ 4.0L</v>
      </c>
      <c r="E332" s="20">
        <v>3000</v>
      </c>
      <c r="F332" s="20" t="s">
        <v>1182</v>
      </c>
      <c r="H332" s="21">
        <f>PartsMaster!$Q324</f>
        <v>0</v>
      </c>
      <c r="I332" s="20">
        <v>9886</v>
      </c>
      <c r="K332" s="20">
        <v>0</v>
      </c>
      <c r="L332" s="20">
        <v>0</v>
      </c>
      <c r="M332" s="21">
        <f>PartsMaster!$D324</f>
        <v>0</v>
      </c>
      <c r="O332" s="20" t="s">
        <v>1169</v>
      </c>
      <c r="P332" s="23">
        <f>PartsMaster!$S324/1.45</f>
        <v>0</v>
      </c>
      <c r="S332" s="20">
        <v>30</v>
      </c>
      <c r="T332" s="20">
        <v>0</v>
      </c>
      <c r="U332" s="20" t="s">
        <v>1170</v>
      </c>
      <c r="Z332" s="26" t="str">
        <f>"&lt;P&gt;"&amp;PartsMaster!$I324&amp;" "&amp;PartsMaster!$H324&amp;"&lt;/P&gt;"&amp;"&lt;P&gt;Jaguar part name "&amp;PartsMaster!$E324&amp;"&lt;/P&gt;&lt;P&gt;Product numbers "&amp;PartsMaster!R324&amp;" "&amp;DQ332&amp;"&lt;/P&gt;&lt;P&gt;Fits starting from VIN/ModelYear "&amp;PartsMaster!$F324&amp;" until VIN/ModelYear "&amp;PartsMaster!$G324&amp;"&lt;/P&gt;&lt;P&gt;Condition: "&amp;PartsMaster!AB324&amp;"&lt;/P&gt;&lt;P&gt; (part source "&amp;PartsMaster!AD324&amp;")&lt;/P&gt;&lt;P&gt;Notes: "&amp;PartsMaster!AA324&amp;"&lt;/P&gt;"</f>
        <v>&lt;P&gt;Automatic Gearbox Gearbox&lt;/P&gt;&lt;P&gt;Jaguar part name Automatic gearbox&lt;/P&gt;&lt;P&gt;Product numbers  NJB4400ABE &lt;/P&gt;&lt;P&gt;Fits starting from VIN/ModelYear 812317 until VIN/ModelYear 853935&lt;/P&gt;&lt;P&gt;Condition: &lt;/P&gt;&lt;P&gt; (part source )&lt;/P&gt;&lt;P&gt;Notes: &lt;/P&gt;</v>
      </c>
      <c r="AA332" s="20" t="s">
        <v>1171</v>
      </c>
      <c r="AC332" s="20">
        <v>0</v>
      </c>
      <c r="AD332" s="20">
        <v>0</v>
      </c>
      <c r="AE332" s="20" t="s">
        <v>1172</v>
      </c>
      <c r="AF332" s="20">
        <v>7</v>
      </c>
      <c r="AG332" s="20">
        <v>0</v>
      </c>
      <c r="AH332" s="20">
        <v>0</v>
      </c>
      <c r="AI332" s="20">
        <v>0</v>
      </c>
      <c r="AJ332" s="20">
        <v>0</v>
      </c>
      <c r="AK332" s="20">
        <v>0</v>
      </c>
      <c r="AO332" s="20" t="s">
        <v>1173</v>
      </c>
      <c r="AR332" s="20">
        <v>0</v>
      </c>
      <c r="AS332" s="20">
        <v>10112</v>
      </c>
      <c r="AV332" s="20" t="s">
        <v>1174</v>
      </c>
      <c r="AX332" s="20">
        <v>62128510024</v>
      </c>
      <c r="AY332" s="20">
        <v>62035811024</v>
      </c>
      <c r="AZ332" s="20">
        <v>55187694024</v>
      </c>
      <c r="BA332" s="20" t="s">
        <v>1175</v>
      </c>
      <c r="BB332" s="20" t="s">
        <v>1176</v>
      </c>
      <c r="BC332" s="20" t="s">
        <v>1177</v>
      </c>
      <c r="BD332" s="20">
        <v>1</v>
      </c>
      <c r="BE332" s="20">
        <v>0</v>
      </c>
      <c r="BF332" s="20">
        <v>0</v>
      </c>
      <c r="BG332" s="20">
        <v>0</v>
      </c>
      <c r="BN332" s="20" t="s">
        <v>1178</v>
      </c>
      <c r="BV332" s="20">
        <v>0</v>
      </c>
      <c r="CL332" s="20">
        <v>0</v>
      </c>
      <c r="DD332" s="20" t="s">
        <v>1179</v>
      </c>
      <c r="DE332" s="20" t="s">
        <v>1179</v>
      </c>
      <c r="DI332" s="20">
        <v>0</v>
      </c>
      <c r="DP332" s="21" t="s">
        <v>1180</v>
      </c>
      <c r="DQ332" s="21" t="str">
        <f>PartsMaster!$A324</f>
        <v xml:space="preserve">NJB4400ABE </v>
      </c>
      <c r="DR332" s="21" t="s">
        <v>1181</v>
      </c>
      <c r="DS332" s="21" t="str">
        <f>PartsMaster!$K325&amp;" "&amp;PartsMaster!L325&amp;" "&amp;PartsMaster!$M325</f>
        <v>Center Center Bottom</v>
      </c>
    </row>
    <row r="333" spans="1:123" hidden="1" x14ac:dyDescent="0.25">
      <c r="A333" s="20" t="s">
        <v>1166</v>
      </c>
      <c r="B333" s="20" t="s">
        <v>1167</v>
      </c>
      <c r="C333" s="20" t="s">
        <v>1168</v>
      </c>
      <c r="D333" s="21" t="str">
        <f>PartsMaster!B325&amp;" "&amp;PartsMaster!$C325</f>
        <v>Jaguar XK8 XKR X100 Gearbox (Exchange) - XK8</v>
      </c>
      <c r="E333" s="20">
        <v>3000</v>
      </c>
      <c r="F333" s="20" t="s">
        <v>1182</v>
      </c>
      <c r="H333" s="21">
        <f>PartsMaster!$Q325</f>
        <v>0</v>
      </c>
      <c r="I333" s="20">
        <v>9886</v>
      </c>
      <c r="K333" s="20">
        <v>0</v>
      </c>
      <c r="L333" s="20">
        <v>0</v>
      </c>
      <c r="M333" s="21">
        <f>PartsMaster!$D325</f>
        <v>0</v>
      </c>
      <c r="O333" s="20" t="s">
        <v>1169</v>
      </c>
      <c r="P333" s="23">
        <f>PartsMaster!$S325/1.45</f>
        <v>0</v>
      </c>
      <c r="S333" s="20">
        <v>30</v>
      </c>
      <c r="T333" s="20">
        <v>0</v>
      </c>
      <c r="U333" s="20" t="s">
        <v>1170</v>
      </c>
      <c r="Z333" s="26" t="str">
        <f>"&lt;P&gt;"&amp;PartsMaster!$I325&amp;" "&amp;PartsMaster!$H325&amp;"&lt;/P&gt;"&amp;"&lt;P&gt;Jaguar part name "&amp;PartsMaster!$E325&amp;"&lt;/P&gt;&lt;P&gt;Product numbers "&amp;PartsMaster!R325&amp;" "&amp;DQ333&amp;"&lt;/P&gt;&lt;P&gt;Fits starting from VIN/ModelYear "&amp;PartsMaster!$F325&amp;" until VIN/ModelYear "&amp;PartsMaster!$G325&amp;"&lt;/P&gt;&lt;P&gt;Condition: "&amp;PartsMaster!AB325&amp;"&lt;/P&gt;&lt;P&gt; (part source "&amp;PartsMaster!AD325&amp;")&lt;/P&gt;&lt;P&gt;Notes: "&amp;PartsMaster!AA325&amp;"&lt;/P&gt;"</f>
        <v>&lt;P&gt;Automatic Gearbox Gearbox&lt;/P&gt;&lt;P&gt;Jaguar part name Automatic gearbox&lt;/P&gt;&lt;P&gt;Product numbers  NJB4400ABE &lt;/P&gt;&lt;P&gt;Fits starting from VIN/ModelYear 018108 until VIN/ModelYear 031302&lt;/P&gt;&lt;P&gt;Condition: &lt;/P&gt;&lt;P&gt; (part source )&lt;/P&gt;&lt;P&gt;Notes: &lt;/P&gt;</v>
      </c>
      <c r="AA333" s="20" t="s">
        <v>1171</v>
      </c>
      <c r="AC333" s="20">
        <v>0</v>
      </c>
      <c r="AD333" s="20">
        <v>0</v>
      </c>
      <c r="AE333" s="20" t="s">
        <v>1172</v>
      </c>
      <c r="AF333" s="20">
        <v>7</v>
      </c>
      <c r="AG333" s="20">
        <v>0</v>
      </c>
      <c r="AH333" s="20">
        <v>0</v>
      </c>
      <c r="AI333" s="20">
        <v>0</v>
      </c>
      <c r="AJ333" s="20">
        <v>0</v>
      </c>
      <c r="AK333" s="20">
        <v>0</v>
      </c>
      <c r="AO333" s="20" t="s">
        <v>1173</v>
      </c>
      <c r="AR333" s="20">
        <v>0</v>
      </c>
      <c r="AS333" s="20">
        <v>10112</v>
      </c>
      <c r="AV333" s="20" t="s">
        <v>1174</v>
      </c>
      <c r="AX333" s="20">
        <v>62128510024</v>
      </c>
      <c r="AY333" s="20">
        <v>62035811024</v>
      </c>
      <c r="AZ333" s="20">
        <v>55187694024</v>
      </c>
      <c r="BA333" s="20" t="s">
        <v>1175</v>
      </c>
      <c r="BB333" s="20" t="s">
        <v>1176</v>
      </c>
      <c r="BC333" s="20" t="s">
        <v>1177</v>
      </c>
      <c r="BD333" s="20">
        <v>1</v>
      </c>
      <c r="BE333" s="20">
        <v>0</v>
      </c>
      <c r="BF333" s="20">
        <v>0</v>
      </c>
      <c r="BG333" s="20">
        <v>0</v>
      </c>
      <c r="BN333" s="20" t="s">
        <v>1178</v>
      </c>
      <c r="BV333" s="20">
        <v>0</v>
      </c>
      <c r="CL333" s="20">
        <v>0</v>
      </c>
      <c r="DD333" s="20" t="s">
        <v>1179</v>
      </c>
      <c r="DE333" s="20" t="s">
        <v>1179</v>
      </c>
      <c r="DI333" s="20">
        <v>0</v>
      </c>
      <c r="DP333" s="21" t="s">
        <v>1180</v>
      </c>
      <c r="DQ333" s="21" t="str">
        <f>PartsMaster!$A325</f>
        <v xml:space="preserve">NJB4400ABE </v>
      </c>
      <c r="DR333" s="21" t="s">
        <v>1181</v>
      </c>
      <c r="DS333" s="21" t="str">
        <f>PartsMaster!$K326&amp;" "&amp;PartsMaster!L326&amp;" "&amp;PartsMaster!$M326</f>
        <v>Center Center Bottom</v>
      </c>
    </row>
    <row r="334" spans="1:123" hidden="1" x14ac:dyDescent="0.25">
      <c r="A334" s="20" t="s">
        <v>1166</v>
      </c>
      <c r="B334" s="20" t="s">
        <v>1167</v>
      </c>
      <c r="C334" s="20" t="s">
        <v>1168</v>
      </c>
      <c r="D334" s="21" t="str">
        <f>PartsMaster!B326&amp;" "&amp;PartsMaster!$C326</f>
        <v>Jaguar XK8 XKR X100 Gearbox (New) - XJ 4.0L</v>
      </c>
      <c r="E334" s="20">
        <v>3000</v>
      </c>
      <c r="F334" s="20" t="s">
        <v>1182</v>
      </c>
      <c r="H334" s="21">
        <f>PartsMaster!$Q326</f>
        <v>0</v>
      </c>
      <c r="I334" s="20">
        <v>9886</v>
      </c>
      <c r="K334" s="20">
        <v>0</v>
      </c>
      <c r="L334" s="20">
        <v>0</v>
      </c>
      <c r="M334" s="21">
        <f>PartsMaster!$D326</f>
        <v>0</v>
      </c>
      <c r="O334" s="20" t="s">
        <v>1169</v>
      </c>
      <c r="P334" s="23">
        <f>PartsMaster!$S326/1.45</f>
        <v>0</v>
      </c>
      <c r="S334" s="20">
        <v>30</v>
      </c>
      <c r="T334" s="20">
        <v>0</v>
      </c>
      <c r="U334" s="20" t="s">
        <v>1170</v>
      </c>
      <c r="Z334" s="26" t="str">
        <f>"&lt;P&gt;"&amp;PartsMaster!$I326&amp;" "&amp;PartsMaster!$H326&amp;"&lt;/P&gt;"&amp;"&lt;P&gt;Jaguar part name "&amp;PartsMaster!$E326&amp;"&lt;/P&gt;&lt;P&gt;Product numbers "&amp;PartsMaster!R326&amp;" "&amp;DQ334&amp;"&lt;/P&gt;&lt;P&gt;Fits starting from VIN/ModelYear "&amp;PartsMaster!$F326&amp;" until VIN/ModelYear "&amp;PartsMaster!$G326&amp;"&lt;/P&gt;&lt;P&gt;Condition: "&amp;PartsMaster!AB326&amp;"&lt;/P&gt;&lt;P&gt; (part source "&amp;PartsMaster!AD326&amp;")&lt;/P&gt;&lt;P&gt;Notes: "&amp;PartsMaster!AA326&amp;"&lt;/P&gt;"</f>
        <v>&lt;P&gt;Automatic Gearbox Gearbox&lt;/P&gt;&lt;P&gt;Jaguar part name Automatic gearbox&lt;/P&gt;&lt;P&gt;Product numbers  NJB4400ABN&lt;/P&gt;&lt;P&gt;Fits starting from VIN/ModelYear 812317 until VIN/ModelYear 853935&lt;/P&gt;&lt;P&gt;Condition: &lt;/P&gt;&lt;P&gt; (part source )&lt;/P&gt;&lt;P&gt;Notes: &lt;/P&gt;</v>
      </c>
      <c r="AA334" s="20" t="s">
        <v>1171</v>
      </c>
      <c r="AC334" s="20">
        <v>0</v>
      </c>
      <c r="AD334" s="20">
        <v>0</v>
      </c>
      <c r="AE334" s="20" t="s">
        <v>1172</v>
      </c>
      <c r="AF334" s="20">
        <v>7</v>
      </c>
      <c r="AG334" s="20">
        <v>0</v>
      </c>
      <c r="AH334" s="20">
        <v>0</v>
      </c>
      <c r="AI334" s="20">
        <v>0</v>
      </c>
      <c r="AJ334" s="20">
        <v>0</v>
      </c>
      <c r="AK334" s="20">
        <v>0</v>
      </c>
      <c r="AO334" s="20" t="s">
        <v>1173</v>
      </c>
      <c r="AR334" s="20">
        <v>0</v>
      </c>
      <c r="AS334" s="20">
        <v>10112</v>
      </c>
      <c r="AV334" s="20" t="s">
        <v>1174</v>
      </c>
      <c r="AX334" s="20">
        <v>62128510024</v>
      </c>
      <c r="AY334" s="20">
        <v>62035811024</v>
      </c>
      <c r="AZ334" s="20">
        <v>55187694024</v>
      </c>
      <c r="BA334" s="20" t="s">
        <v>1175</v>
      </c>
      <c r="BB334" s="20" t="s">
        <v>1176</v>
      </c>
      <c r="BC334" s="20" t="s">
        <v>1177</v>
      </c>
      <c r="BD334" s="20">
        <v>1</v>
      </c>
      <c r="BE334" s="20">
        <v>0</v>
      </c>
      <c r="BF334" s="20">
        <v>0</v>
      </c>
      <c r="BG334" s="20">
        <v>0</v>
      </c>
      <c r="BN334" s="20" t="s">
        <v>1178</v>
      </c>
      <c r="BV334" s="20">
        <v>0</v>
      </c>
      <c r="CL334" s="20">
        <v>0</v>
      </c>
      <c r="DD334" s="20" t="s">
        <v>1179</v>
      </c>
      <c r="DE334" s="20" t="s">
        <v>1179</v>
      </c>
      <c r="DI334" s="20">
        <v>0</v>
      </c>
      <c r="DP334" s="21" t="s">
        <v>1180</v>
      </c>
      <c r="DQ334" s="21" t="str">
        <f>PartsMaster!$A326</f>
        <v>NJB4400ABN</v>
      </c>
      <c r="DR334" s="21" t="s">
        <v>1181</v>
      </c>
      <c r="DS334" s="21" t="str">
        <f>PartsMaster!$K327&amp;" "&amp;PartsMaster!L327&amp;" "&amp;PartsMaster!$M327</f>
        <v>Center Center Bottom</v>
      </c>
    </row>
    <row r="335" spans="1:123" ht="30" hidden="1" x14ac:dyDescent="0.25">
      <c r="A335" s="20" t="s">
        <v>1166</v>
      </c>
      <c r="B335" s="20" t="s">
        <v>1167</v>
      </c>
      <c r="C335" s="20" t="s">
        <v>1168</v>
      </c>
      <c r="D335" s="21" t="str">
        <f>PartsMaster!B327&amp;" "&amp;PartsMaster!$C327</f>
        <v>Jaguar XK8 XKR X100 Gearbox (New) - XK8</v>
      </c>
      <c r="E335" s="20">
        <v>3000</v>
      </c>
      <c r="F335" s="20" t="s">
        <v>1182</v>
      </c>
      <c r="H335" s="21">
        <f>PartsMaster!$Q327</f>
        <v>0</v>
      </c>
      <c r="I335" s="20">
        <v>9886</v>
      </c>
      <c r="K335" s="20">
        <v>0</v>
      </c>
      <c r="L335" s="20">
        <v>0</v>
      </c>
      <c r="M335" s="21">
        <f>PartsMaster!$D327</f>
        <v>0</v>
      </c>
      <c r="O335" s="20" t="s">
        <v>1169</v>
      </c>
      <c r="P335" s="23">
        <f>PartsMaster!$S327/1.45</f>
        <v>0</v>
      </c>
      <c r="S335" s="20">
        <v>30</v>
      </c>
      <c r="T335" s="20">
        <v>0</v>
      </c>
      <c r="U335" s="20" t="s">
        <v>1170</v>
      </c>
      <c r="Z335" s="26" t="str">
        <f>"&lt;P&gt;"&amp;PartsMaster!$I327&amp;" "&amp;PartsMaster!$H327&amp;"&lt;/P&gt;"&amp;"&lt;P&gt;Jaguar part name "&amp;PartsMaster!$E327&amp;"&lt;/P&gt;&lt;P&gt;Product numbers "&amp;PartsMaster!R327&amp;" "&amp;DQ335&amp;"&lt;/P&gt;&lt;P&gt;Fits starting from VIN/ModelYear "&amp;PartsMaster!$F327&amp;" until VIN/ModelYear "&amp;PartsMaster!$G327&amp;"&lt;/P&gt;&lt;P&gt;Condition: "&amp;PartsMaster!AB327&amp;"&lt;/P&gt;&lt;P&gt; (part source "&amp;PartsMaster!AD327&amp;")&lt;/P&gt;&lt;P&gt;Notes: "&amp;PartsMaster!AA327&amp;"&lt;/P&gt;"</f>
        <v>&lt;P&gt;Automatic Gearbox Gearbox&lt;/P&gt;&lt;P&gt;Jaguar part name Automatic gearbox&lt;/P&gt;&lt;P&gt;Product numbers  NJB4400ABN  (Superceded)&lt;/P&gt;&lt;P&gt;Fits starting from VIN/ModelYear 018108 until VIN/ModelYear 031302&lt;/P&gt;&lt;P&gt;Condition: &lt;/P&gt;&lt;P&gt; (part source )&lt;/P&gt;&lt;P&gt;Notes: &lt;/P&gt;</v>
      </c>
      <c r="AA335" s="20" t="s">
        <v>1171</v>
      </c>
      <c r="AC335" s="20">
        <v>0</v>
      </c>
      <c r="AD335" s="20">
        <v>0</v>
      </c>
      <c r="AE335" s="20" t="s">
        <v>1172</v>
      </c>
      <c r="AF335" s="20">
        <v>7</v>
      </c>
      <c r="AG335" s="20">
        <v>0</v>
      </c>
      <c r="AH335" s="20">
        <v>0</v>
      </c>
      <c r="AI335" s="20">
        <v>0</v>
      </c>
      <c r="AJ335" s="20">
        <v>0</v>
      </c>
      <c r="AK335" s="20">
        <v>0</v>
      </c>
      <c r="AO335" s="20" t="s">
        <v>1173</v>
      </c>
      <c r="AR335" s="20">
        <v>0</v>
      </c>
      <c r="AS335" s="20">
        <v>10112</v>
      </c>
      <c r="AV335" s="20" t="s">
        <v>1174</v>
      </c>
      <c r="AX335" s="20">
        <v>62128510024</v>
      </c>
      <c r="AY335" s="20">
        <v>62035811024</v>
      </c>
      <c r="AZ335" s="20">
        <v>55187694024</v>
      </c>
      <c r="BA335" s="20" t="s">
        <v>1175</v>
      </c>
      <c r="BB335" s="20" t="s">
        <v>1176</v>
      </c>
      <c r="BC335" s="20" t="s">
        <v>1177</v>
      </c>
      <c r="BD335" s="20">
        <v>1</v>
      </c>
      <c r="BE335" s="20">
        <v>0</v>
      </c>
      <c r="BF335" s="20">
        <v>0</v>
      </c>
      <c r="BG335" s="20">
        <v>0</v>
      </c>
      <c r="BN335" s="20" t="s">
        <v>1178</v>
      </c>
      <c r="BV335" s="20">
        <v>0</v>
      </c>
      <c r="CL335" s="20">
        <v>0</v>
      </c>
      <c r="DD335" s="20" t="s">
        <v>1179</v>
      </c>
      <c r="DE335" s="20" t="s">
        <v>1179</v>
      </c>
      <c r="DI335" s="20">
        <v>0</v>
      </c>
      <c r="DP335" s="21" t="s">
        <v>1180</v>
      </c>
      <c r="DQ335" s="21" t="str">
        <f>PartsMaster!$A327</f>
        <v>NJB4400ABN  (Superceded)</v>
      </c>
      <c r="DR335" s="21" t="s">
        <v>1181</v>
      </c>
      <c r="DS335" s="21" t="str">
        <f>PartsMaster!$K328&amp;" "&amp;PartsMaster!L328&amp;" "&amp;PartsMaster!$M328</f>
        <v xml:space="preserve">Front Left </v>
      </c>
    </row>
    <row r="336" spans="1:123" ht="30" hidden="1" x14ac:dyDescent="0.25">
      <c r="A336" s="20" t="s">
        <v>1166</v>
      </c>
      <c r="B336" s="20" t="s">
        <v>1167</v>
      </c>
      <c r="C336" s="20" t="s">
        <v>1168</v>
      </c>
      <c r="D336" s="21" t="str">
        <f>PartsMaster!B328&amp;" "&amp;PartsMaster!$C328</f>
        <v>Jaguar XK8 XKR X100 XJ8 XJR X308 Engine Cover</v>
      </c>
      <c r="E336" s="20">
        <v>3000</v>
      </c>
      <c r="F336" s="20" t="s">
        <v>1182</v>
      </c>
      <c r="H336" s="21" t="str">
        <f>PartsMaster!$Q328</f>
        <v>Engine Cover - Left - 4.0 L</v>
      </c>
      <c r="I336" s="20">
        <v>9886</v>
      </c>
      <c r="K336" s="20">
        <v>0</v>
      </c>
      <c r="L336" s="20">
        <v>0</v>
      </c>
      <c r="M336" s="21">
        <f>PartsMaster!$D328</f>
        <v>0</v>
      </c>
      <c r="O336" s="20" t="s">
        <v>1169</v>
      </c>
      <c r="P336" s="23">
        <f>PartsMaster!$S328/1.45</f>
        <v>51.724137931034484</v>
      </c>
      <c r="S336" s="20">
        <v>30</v>
      </c>
      <c r="T336" s="20">
        <v>0</v>
      </c>
      <c r="U336" s="20" t="s">
        <v>1170</v>
      </c>
      <c r="Z336" s="26" t="str">
        <f>"&lt;P&gt;"&amp;PartsMaster!$I328&amp;" "&amp;PartsMaster!$H328&amp;"&lt;/P&gt;"&amp;"&lt;P&gt;Jaguar part name "&amp;PartsMaster!$E328&amp;"&lt;/P&gt;&lt;P&gt;Product numbers "&amp;PartsMaster!R328&amp;" "&amp;DQ336&amp;"&lt;/P&gt;&lt;P&gt;Fits starting from VIN/ModelYear "&amp;PartsMaster!$F328&amp;" until VIN/ModelYear "&amp;PartsMaster!$G328&amp;"&lt;/P&gt;&lt;P&gt;Condition: "&amp;PartsMaster!AB328&amp;"&lt;/P&gt;&lt;P&gt; (part source "&amp;PartsMaster!AD328&amp;")&lt;/P&gt;&lt;P&gt;Notes: "&amp;PartsMaster!AA328&amp;"&lt;/P&gt;"</f>
        <v>&lt;P&gt;Cover Cover&lt;/P&gt;&lt;P&gt;Jaguar part name ENGINE/ENGINE ASSEMBLY - Engine Cover&lt;/P&gt;&lt;P&gt;Product numbers NJC2921BB NJC3921BB-NNE3921BB&lt;/P&gt;&lt;P&gt;Fits starting from VIN/ModelYear X100 031303 - X308 853936 until VIN/ModelYear X100 A30644 - X308 F59525&lt;/P&gt;&lt;P&gt;Condition: X100 VIN 1NA15132&lt;/P&gt;&lt;P&gt; (part source )&lt;/P&gt;&lt;P&gt;Notes: 4.0 L&lt;/P&gt;</v>
      </c>
      <c r="AA336" s="20" t="s">
        <v>1171</v>
      </c>
      <c r="AC336" s="20">
        <v>0</v>
      </c>
      <c r="AD336" s="20">
        <v>0</v>
      </c>
      <c r="AE336" s="20" t="s">
        <v>1172</v>
      </c>
      <c r="AF336" s="20">
        <v>7</v>
      </c>
      <c r="AG336" s="20">
        <v>0</v>
      </c>
      <c r="AH336" s="20">
        <v>0</v>
      </c>
      <c r="AI336" s="20">
        <v>0</v>
      </c>
      <c r="AJ336" s="20">
        <v>0</v>
      </c>
      <c r="AK336" s="20">
        <v>0</v>
      </c>
      <c r="AO336" s="20" t="s">
        <v>1173</v>
      </c>
      <c r="AR336" s="20">
        <v>0</v>
      </c>
      <c r="AS336" s="20">
        <v>10112</v>
      </c>
      <c r="AV336" s="20" t="s">
        <v>1174</v>
      </c>
      <c r="AX336" s="20">
        <v>62128510024</v>
      </c>
      <c r="AY336" s="20">
        <v>62035811024</v>
      </c>
      <c r="AZ336" s="20">
        <v>55187694024</v>
      </c>
      <c r="BA336" s="20" t="s">
        <v>1175</v>
      </c>
      <c r="BB336" s="20" t="s">
        <v>1176</v>
      </c>
      <c r="BC336" s="20" t="s">
        <v>1177</v>
      </c>
      <c r="BD336" s="20">
        <v>1</v>
      </c>
      <c r="BE336" s="20">
        <v>0</v>
      </c>
      <c r="BF336" s="20">
        <v>0</v>
      </c>
      <c r="BG336" s="20">
        <v>0</v>
      </c>
      <c r="BN336" s="20" t="s">
        <v>1178</v>
      </c>
      <c r="BV336" s="20">
        <v>0</v>
      </c>
      <c r="CL336" s="20">
        <v>0</v>
      </c>
      <c r="DD336" s="20" t="s">
        <v>1179</v>
      </c>
      <c r="DE336" s="20" t="s">
        <v>1179</v>
      </c>
      <c r="DI336" s="20">
        <v>0</v>
      </c>
      <c r="DP336" s="21" t="s">
        <v>1180</v>
      </c>
      <c r="DQ336" s="21" t="str">
        <f>PartsMaster!$A328</f>
        <v>NJC3921BB-NNE3921BB</v>
      </c>
      <c r="DR336" s="21" t="s">
        <v>1181</v>
      </c>
      <c r="DS336" s="21" t="str">
        <f>PartsMaster!$K329&amp;" "&amp;PartsMaster!L329&amp;" "&amp;PartsMaster!$M329</f>
        <v xml:space="preserve">  </v>
      </c>
    </row>
    <row r="337" spans="1:123" hidden="1" x14ac:dyDescent="0.25">
      <c r="A337" s="20" t="s">
        <v>1166</v>
      </c>
      <c r="B337" s="20" t="s">
        <v>1167</v>
      </c>
      <c r="C337" s="20" t="s">
        <v>1168</v>
      </c>
      <c r="D337" s="21" t="str">
        <f>PartsMaster!B329&amp;" "&amp;PartsMaster!$C329</f>
        <v>Jaguar XK8 XKR X100 GASKET-EXHAUST</v>
      </c>
      <c r="E337" s="20">
        <v>3000</v>
      </c>
      <c r="F337" s="20" t="s">
        <v>1182</v>
      </c>
      <c r="H337" s="21" t="str">
        <f>PartsMaster!$Q329</f>
        <v>GASKET-EXHAUST</v>
      </c>
      <c r="I337" s="20">
        <v>9886</v>
      </c>
      <c r="K337" s="20">
        <v>0</v>
      </c>
      <c r="L337" s="20">
        <v>0</v>
      </c>
      <c r="M337" s="21">
        <f>PartsMaster!$D329</f>
        <v>0</v>
      </c>
      <c r="O337" s="20" t="s">
        <v>1169</v>
      </c>
      <c r="P337" s="23">
        <f>PartsMaster!$S329/1.45</f>
        <v>0</v>
      </c>
      <c r="S337" s="20">
        <v>30</v>
      </c>
      <c r="T337" s="20">
        <v>0</v>
      </c>
      <c r="U337" s="20" t="s">
        <v>1170</v>
      </c>
      <c r="Z337" s="26" t="str">
        <f>"&lt;P&gt;"&amp;PartsMaster!$I329&amp;" "&amp;PartsMaster!$H329&amp;"&lt;/P&gt;"&amp;"&lt;P&gt;Jaguar part name "&amp;PartsMaster!$E329&amp;"&lt;/P&gt;&lt;P&gt;Product numbers "&amp;PartsMaster!R329&amp;" "&amp;DQ337&amp;"&lt;/P&gt;&lt;P&gt;Fits starting from VIN/ModelYear "&amp;PartsMaster!$F329&amp;" until VIN/ModelYear "&amp;PartsMaster!$G329&amp;"&lt;/P&gt;&lt;P&gt;Condition: "&amp;PartsMaster!AB329&amp;"&lt;/P&gt;&lt;P&gt; (part source "&amp;PartsMaster!AD329&amp;")&lt;/P&gt;&lt;P&gt;Notes: "&amp;PartsMaster!AA329&amp;"&lt;/P&gt;"</f>
        <v>&lt;P&gt;Engine Exchaust Gasket / Seal / O-Ring&lt;/P&gt;&lt;P&gt;Jaguar part name &lt;/P&gt;&lt;P&gt;Product numbers NNC6764AB NNC6764AB&lt;/P&gt;&lt;P&gt;Fits starting from VIN/ModelYear  until VIN/ModelYear &lt;/P&gt;&lt;P&gt;Condition: British Parts&lt;/P&gt;&lt;P&gt; (part source )&lt;/P&gt;&lt;P&gt;Notes: &lt;/P&gt;</v>
      </c>
      <c r="AA337" s="20" t="s">
        <v>1171</v>
      </c>
      <c r="AC337" s="20">
        <v>0</v>
      </c>
      <c r="AD337" s="20">
        <v>0</v>
      </c>
      <c r="AE337" s="20" t="s">
        <v>1172</v>
      </c>
      <c r="AF337" s="20">
        <v>7</v>
      </c>
      <c r="AG337" s="20">
        <v>0</v>
      </c>
      <c r="AH337" s="20">
        <v>0</v>
      </c>
      <c r="AI337" s="20">
        <v>0</v>
      </c>
      <c r="AJ337" s="20">
        <v>0</v>
      </c>
      <c r="AK337" s="20">
        <v>0</v>
      </c>
      <c r="AO337" s="20" t="s">
        <v>1173</v>
      </c>
      <c r="AR337" s="20">
        <v>0</v>
      </c>
      <c r="AS337" s="20">
        <v>10112</v>
      </c>
      <c r="AV337" s="20" t="s">
        <v>1174</v>
      </c>
      <c r="AX337" s="20">
        <v>62128510024</v>
      </c>
      <c r="AY337" s="20">
        <v>62035811024</v>
      </c>
      <c r="AZ337" s="20">
        <v>55187694024</v>
      </c>
      <c r="BA337" s="20" t="s">
        <v>1175</v>
      </c>
      <c r="BB337" s="20" t="s">
        <v>1176</v>
      </c>
      <c r="BC337" s="20" t="s">
        <v>1177</v>
      </c>
      <c r="BD337" s="20">
        <v>1</v>
      </c>
      <c r="BE337" s="20">
        <v>0</v>
      </c>
      <c r="BF337" s="20">
        <v>0</v>
      </c>
      <c r="BG337" s="20">
        <v>0</v>
      </c>
      <c r="BN337" s="20" t="s">
        <v>1178</v>
      </c>
      <c r="BV337" s="20">
        <v>0</v>
      </c>
      <c r="CL337" s="20">
        <v>0</v>
      </c>
      <c r="DD337" s="20" t="s">
        <v>1179</v>
      </c>
      <c r="DE337" s="20" t="s">
        <v>1179</v>
      </c>
      <c r="DI337" s="20">
        <v>0</v>
      </c>
      <c r="DP337" s="21" t="s">
        <v>1180</v>
      </c>
      <c r="DQ337" s="21" t="str">
        <f>PartsMaster!$A329</f>
        <v>NNC6764AB</v>
      </c>
      <c r="DR337" s="21" t="s">
        <v>1181</v>
      </c>
      <c r="DS337" s="21" t="str">
        <f>PartsMaster!$K330&amp;" "&amp;PartsMaster!L330&amp;" "&amp;PartsMaster!$M330</f>
        <v xml:space="preserve">  </v>
      </c>
    </row>
    <row r="338" spans="1:123" ht="30" hidden="1" x14ac:dyDescent="0.25">
      <c r="A338" s="20" t="s">
        <v>1166</v>
      </c>
      <c r="B338" s="20" t="s">
        <v>1167</v>
      </c>
      <c r="C338" s="20" t="s">
        <v>1168</v>
      </c>
      <c r="D338" s="21" t="str">
        <f>PartsMaster!B330&amp;" "&amp;PartsMaster!$C330</f>
        <v>Jaguar XK8 XKR X100 GASKET-THROTTLE BODY ADAPTOR</v>
      </c>
      <c r="E338" s="20">
        <v>3000</v>
      </c>
      <c r="F338" s="20" t="s">
        <v>1182</v>
      </c>
      <c r="H338" s="21" t="str">
        <f>PartsMaster!$Q330</f>
        <v>GASKET-THROTTLE BODY ADAPTOR</v>
      </c>
      <c r="I338" s="20">
        <v>9886</v>
      </c>
      <c r="K338" s="20">
        <v>0</v>
      </c>
      <c r="L338" s="20">
        <v>0</v>
      </c>
      <c r="M338" s="21">
        <f>PartsMaster!$D330</f>
        <v>0</v>
      </c>
      <c r="O338" s="20" t="s">
        <v>1169</v>
      </c>
      <c r="P338" s="23">
        <f>PartsMaster!$S330/1.45</f>
        <v>0</v>
      </c>
      <c r="S338" s="20">
        <v>30</v>
      </c>
      <c r="T338" s="20">
        <v>0</v>
      </c>
      <c r="U338" s="20" t="s">
        <v>1170</v>
      </c>
      <c r="Z338" s="26" t="str">
        <f>"&lt;P&gt;"&amp;PartsMaster!$I330&amp;" "&amp;PartsMaster!$H330&amp;"&lt;/P&gt;"&amp;"&lt;P&gt;Jaguar part name "&amp;PartsMaster!$E330&amp;"&lt;/P&gt;&lt;P&gt;Product numbers "&amp;PartsMaster!R330&amp;" "&amp;DQ338&amp;"&lt;/P&gt;&lt;P&gt;Fits starting from VIN/ModelYear "&amp;PartsMaster!$F330&amp;" until VIN/ModelYear "&amp;PartsMaster!$G330&amp;"&lt;/P&gt;&lt;P&gt;Condition: "&amp;PartsMaster!AB330&amp;"&lt;/P&gt;&lt;P&gt; (part source "&amp;PartsMaster!AD330&amp;")&lt;/P&gt;&lt;P&gt;Notes: "&amp;PartsMaster!AA330&amp;"&lt;/P&gt;"</f>
        <v>&lt;P&gt;Engine Inlet Gasket / Seal / O-Ring&lt;/P&gt;&lt;P&gt;Jaguar part name &lt;/P&gt;&lt;P&gt;Product numbers NNE3021AC NNE3021AC&lt;/P&gt;&lt;P&gt;Fits starting from VIN/ModelYear  until VIN/ModelYear &lt;/P&gt;&lt;P&gt;Condition: British Parts&lt;/P&gt;&lt;P&gt; (part source )&lt;/P&gt;&lt;P&gt;Notes: &lt;/P&gt;</v>
      </c>
      <c r="AA338" s="20" t="s">
        <v>1171</v>
      </c>
      <c r="AC338" s="20">
        <v>0</v>
      </c>
      <c r="AD338" s="20">
        <v>0</v>
      </c>
      <c r="AE338" s="20" t="s">
        <v>1172</v>
      </c>
      <c r="AF338" s="20">
        <v>7</v>
      </c>
      <c r="AG338" s="20">
        <v>0</v>
      </c>
      <c r="AH338" s="20">
        <v>0</v>
      </c>
      <c r="AI338" s="20">
        <v>0</v>
      </c>
      <c r="AJ338" s="20">
        <v>0</v>
      </c>
      <c r="AK338" s="20">
        <v>0</v>
      </c>
      <c r="AO338" s="20" t="s">
        <v>1173</v>
      </c>
      <c r="AR338" s="20">
        <v>0</v>
      </c>
      <c r="AS338" s="20">
        <v>10112</v>
      </c>
      <c r="AV338" s="20" t="s">
        <v>1174</v>
      </c>
      <c r="AX338" s="20">
        <v>62128510024</v>
      </c>
      <c r="AY338" s="20">
        <v>62035811024</v>
      </c>
      <c r="AZ338" s="20">
        <v>55187694024</v>
      </c>
      <c r="BA338" s="20" t="s">
        <v>1175</v>
      </c>
      <c r="BB338" s="20" t="s">
        <v>1176</v>
      </c>
      <c r="BC338" s="20" t="s">
        <v>1177</v>
      </c>
      <c r="BD338" s="20">
        <v>1</v>
      </c>
      <c r="BE338" s="20">
        <v>0</v>
      </c>
      <c r="BF338" s="20">
        <v>0</v>
      </c>
      <c r="BG338" s="20">
        <v>0</v>
      </c>
      <c r="BN338" s="20" t="s">
        <v>1178</v>
      </c>
      <c r="BV338" s="20">
        <v>0</v>
      </c>
      <c r="CL338" s="20">
        <v>0</v>
      </c>
      <c r="DD338" s="20" t="s">
        <v>1179</v>
      </c>
      <c r="DE338" s="20" t="s">
        <v>1179</v>
      </c>
      <c r="DI338" s="20">
        <v>0</v>
      </c>
      <c r="DP338" s="21" t="s">
        <v>1180</v>
      </c>
      <c r="DQ338" s="21" t="str">
        <f>PartsMaster!$A330</f>
        <v>NNE3021AC</v>
      </c>
      <c r="DR338" s="21" t="s">
        <v>1181</v>
      </c>
      <c r="DS338" s="21" t="str">
        <f>PartsMaster!$K331&amp;" "&amp;PartsMaster!L331&amp;" "&amp;PartsMaster!$M331</f>
        <v>Front Right N/A</v>
      </c>
    </row>
    <row r="339" spans="1:123" ht="30" hidden="1" x14ac:dyDescent="0.25">
      <c r="A339" s="20" t="s">
        <v>1166</v>
      </c>
      <c r="B339" s="20" t="s">
        <v>1167</v>
      </c>
      <c r="C339" s="20" t="s">
        <v>1168</v>
      </c>
      <c r="D339" s="21" t="str">
        <f>PartsMaster!B331&amp;" "&amp;PartsMaster!$C331</f>
        <v>Jaguar XJ8 X308 Engine Cover V8 4.0</v>
      </c>
      <c r="E339" s="20">
        <v>3000</v>
      </c>
      <c r="F339" s="20" t="s">
        <v>1182</v>
      </c>
      <c r="H339" s="21" t="str">
        <f>PartsMaster!$Q331</f>
        <v>Engine Cover A-Bank RH 4.0 Litre</v>
      </c>
      <c r="I339" s="20">
        <v>9886</v>
      </c>
      <c r="K339" s="20">
        <v>0</v>
      </c>
      <c r="L339" s="20">
        <v>0</v>
      </c>
      <c r="M339" s="21">
        <f>PartsMaster!$D331</f>
        <v>0</v>
      </c>
      <c r="O339" s="20" t="s">
        <v>1169</v>
      </c>
      <c r="P339" s="23">
        <f>PartsMaster!$S331/1.45</f>
        <v>44.827586206896555</v>
      </c>
      <c r="S339" s="20">
        <v>30</v>
      </c>
      <c r="T339" s="20">
        <v>0</v>
      </c>
      <c r="U339" s="20" t="s">
        <v>1170</v>
      </c>
      <c r="Z339" s="26" t="str">
        <f>"&lt;P&gt;"&amp;PartsMaster!$I331&amp;" "&amp;PartsMaster!$H331&amp;"&lt;/P&gt;"&amp;"&lt;P&gt;Jaguar part name "&amp;PartsMaster!$E331&amp;"&lt;/P&gt;&lt;P&gt;Product numbers "&amp;PartsMaster!R331&amp;" "&amp;DQ339&amp;"&lt;/P&gt;&lt;P&gt;Fits starting from VIN/ModelYear "&amp;PartsMaster!$F331&amp;" until VIN/ModelYear "&amp;PartsMaster!$G331&amp;"&lt;/P&gt;&lt;P&gt;Condition: "&amp;PartsMaster!AB331&amp;"&lt;/P&gt;&lt;P&gt; (part source "&amp;PartsMaster!AD331&amp;")&lt;/P&gt;&lt;P&gt;Notes: "&amp;PartsMaster!AA331&amp;"&lt;/P&gt;"</f>
        <v>&lt;P&gt;Trim Trim&lt;/P&gt;&lt;P&gt;Jaguar part name ENGINE/ENGINE Assembly - Engine Cover RH A Bank 4.0 Litre&lt;/P&gt;&lt;P&gt;Product numbers NNE3920AB NNE3921EB&lt;/P&gt;&lt;P&gt;Fits starting from VIN/ModelYear 853936 until VIN/ModelYear F59525&lt;/P&gt;&lt;P&gt;Condition: Extra Spare Part&lt;/P&gt;&lt;P&gt; (part source SJ)&lt;/P&gt;&lt;P&gt;Notes: Bare&lt;/P&gt;</v>
      </c>
      <c r="AA339" s="20" t="s">
        <v>1171</v>
      </c>
      <c r="AC339" s="20">
        <v>0</v>
      </c>
      <c r="AD339" s="20">
        <v>0</v>
      </c>
      <c r="AE339" s="20" t="s">
        <v>1172</v>
      </c>
      <c r="AF339" s="20">
        <v>7</v>
      </c>
      <c r="AG339" s="20">
        <v>0</v>
      </c>
      <c r="AH339" s="20">
        <v>0</v>
      </c>
      <c r="AI339" s="20">
        <v>0</v>
      </c>
      <c r="AJ339" s="20">
        <v>0</v>
      </c>
      <c r="AK339" s="20">
        <v>0</v>
      </c>
      <c r="AO339" s="20" t="s">
        <v>1173</v>
      </c>
      <c r="AR339" s="20">
        <v>0</v>
      </c>
      <c r="AS339" s="20">
        <v>10112</v>
      </c>
      <c r="AV339" s="20" t="s">
        <v>1174</v>
      </c>
      <c r="AX339" s="20">
        <v>62128510024</v>
      </c>
      <c r="AY339" s="20">
        <v>62035811024</v>
      </c>
      <c r="AZ339" s="20">
        <v>55187694024</v>
      </c>
      <c r="BA339" s="20" t="s">
        <v>1175</v>
      </c>
      <c r="BB339" s="20" t="s">
        <v>1176</v>
      </c>
      <c r="BC339" s="20" t="s">
        <v>1177</v>
      </c>
      <c r="BD339" s="20">
        <v>1</v>
      </c>
      <c r="BE339" s="20">
        <v>0</v>
      </c>
      <c r="BF339" s="20">
        <v>0</v>
      </c>
      <c r="BG339" s="20">
        <v>0</v>
      </c>
      <c r="BN339" s="20" t="s">
        <v>1178</v>
      </c>
      <c r="BV339" s="20">
        <v>0</v>
      </c>
      <c r="CL339" s="20">
        <v>0</v>
      </c>
      <c r="DD339" s="20" t="s">
        <v>1179</v>
      </c>
      <c r="DE339" s="20" t="s">
        <v>1179</v>
      </c>
      <c r="DI339" s="20">
        <v>0</v>
      </c>
      <c r="DP339" s="21" t="s">
        <v>1180</v>
      </c>
      <c r="DQ339" s="21" t="str">
        <f>PartsMaster!$A331</f>
        <v>NNE3921EB</v>
      </c>
      <c r="DR339" s="21" t="s">
        <v>1181</v>
      </c>
      <c r="DS339" s="21" t="str">
        <f>PartsMaster!$K332&amp;" "&amp;PartsMaster!L332&amp;" "&amp;PartsMaster!$M332</f>
        <v>Center Center Bottom</v>
      </c>
    </row>
    <row r="340" spans="1:123" ht="30" hidden="1" x14ac:dyDescent="0.25">
      <c r="A340" s="20" t="s">
        <v>1166</v>
      </c>
      <c r="B340" s="20" t="s">
        <v>1167</v>
      </c>
      <c r="C340" s="20" t="s">
        <v>1168</v>
      </c>
      <c r="D340" s="21" t="str">
        <f>PartsMaster!B332&amp;" "&amp;PartsMaster!$C332</f>
        <v>Jaguar XK8 XKR X100 Gearbox (Exchange) - XJ 4.0L</v>
      </c>
      <c r="E340" s="20">
        <v>3000</v>
      </c>
      <c r="F340" s="20" t="s">
        <v>1182</v>
      </c>
      <c r="H340" s="21">
        <f>PartsMaster!$Q332</f>
        <v>0</v>
      </c>
      <c r="I340" s="20">
        <v>9886</v>
      </c>
      <c r="K340" s="20">
        <v>0</v>
      </c>
      <c r="L340" s="20">
        <v>0</v>
      </c>
      <c r="M340" s="21">
        <f>PartsMaster!$D332</f>
        <v>0</v>
      </c>
      <c r="O340" s="20" t="s">
        <v>1169</v>
      </c>
      <c r="P340" s="23">
        <f>PartsMaster!$S332/1.45</f>
        <v>0</v>
      </c>
      <c r="S340" s="20">
        <v>30</v>
      </c>
      <c r="T340" s="20">
        <v>0</v>
      </c>
      <c r="U340" s="20" t="s">
        <v>1170</v>
      </c>
      <c r="Z340" s="26" t="str">
        <f>"&lt;P&gt;"&amp;PartsMaster!$I332&amp;" "&amp;PartsMaster!$H332&amp;"&lt;/P&gt;"&amp;"&lt;P&gt;Jaguar part name "&amp;PartsMaster!$E332&amp;"&lt;/P&gt;&lt;P&gt;Product numbers "&amp;PartsMaster!R332&amp;" "&amp;DQ340&amp;"&lt;/P&gt;&lt;P&gt;Fits starting from VIN/ModelYear "&amp;PartsMaster!$F332&amp;" until VIN/ModelYear "&amp;PartsMaster!$G332&amp;"&lt;/P&gt;&lt;P&gt;Condition: "&amp;PartsMaster!AB332&amp;"&lt;/P&gt;&lt;P&gt; (part source "&amp;PartsMaster!AD332&amp;")&lt;/P&gt;&lt;P&gt;Notes: "&amp;PartsMaster!AA332&amp;"&lt;/P&gt;"</f>
        <v>&lt;P&gt;Automatic Gearbox Gearbox&lt;/P&gt;&lt;P&gt;Jaguar part name Automatic gearbox&lt;/P&gt;&lt;P&gt;Product numbers  NNE4400AAE&lt;/P&gt;&lt;P&gt;Fits starting from VIN/ModelYear 853936 until VIN/ModelYear F59525&lt;/P&gt;&lt;P&gt;Condition: &lt;/P&gt;&lt;P&gt; (part source )&lt;/P&gt;&lt;P&gt;Notes: &lt;/P&gt;</v>
      </c>
      <c r="AA340" s="20" t="s">
        <v>1171</v>
      </c>
      <c r="AC340" s="20">
        <v>0</v>
      </c>
      <c r="AD340" s="20">
        <v>0</v>
      </c>
      <c r="AE340" s="20" t="s">
        <v>1172</v>
      </c>
      <c r="AF340" s="20">
        <v>7</v>
      </c>
      <c r="AG340" s="20">
        <v>0</v>
      </c>
      <c r="AH340" s="20">
        <v>0</v>
      </c>
      <c r="AI340" s="20">
        <v>0</v>
      </c>
      <c r="AJ340" s="20">
        <v>0</v>
      </c>
      <c r="AK340" s="20">
        <v>0</v>
      </c>
      <c r="AO340" s="20" t="s">
        <v>1173</v>
      </c>
      <c r="AR340" s="20">
        <v>0</v>
      </c>
      <c r="AS340" s="20">
        <v>10112</v>
      </c>
      <c r="AV340" s="20" t="s">
        <v>1174</v>
      </c>
      <c r="AX340" s="20">
        <v>62128510024</v>
      </c>
      <c r="AY340" s="20">
        <v>62035811024</v>
      </c>
      <c r="AZ340" s="20">
        <v>55187694024</v>
      </c>
      <c r="BA340" s="20" t="s">
        <v>1175</v>
      </c>
      <c r="BB340" s="20" t="s">
        <v>1176</v>
      </c>
      <c r="BC340" s="20" t="s">
        <v>1177</v>
      </c>
      <c r="BD340" s="20">
        <v>1</v>
      </c>
      <c r="BE340" s="20">
        <v>0</v>
      </c>
      <c r="BF340" s="20">
        <v>0</v>
      </c>
      <c r="BG340" s="20">
        <v>0</v>
      </c>
      <c r="BN340" s="20" t="s">
        <v>1178</v>
      </c>
      <c r="BV340" s="20">
        <v>0</v>
      </c>
      <c r="CL340" s="20">
        <v>0</v>
      </c>
      <c r="DD340" s="20" t="s">
        <v>1179</v>
      </c>
      <c r="DE340" s="20" t="s">
        <v>1179</v>
      </c>
      <c r="DI340" s="20">
        <v>0</v>
      </c>
      <c r="DP340" s="21" t="s">
        <v>1180</v>
      </c>
      <c r="DQ340" s="21" t="str">
        <f>PartsMaster!$A332</f>
        <v>NNE4400AAE</v>
      </c>
      <c r="DR340" s="21" t="s">
        <v>1181</v>
      </c>
      <c r="DS340" s="21" t="str">
        <f>PartsMaster!$K333&amp;" "&amp;PartsMaster!L333&amp;" "&amp;PartsMaster!$M333</f>
        <v>Center Center Bottom</v>
      </c>
    </row>
    <row r="341" spans="1:123" hidden="1" x14ac:dyDescent="0.25">
      <c r="A341" s="20" t="s">
        <v>1166</v>
      </c>
      <c r="B341" s="20" t="s">
        <v>1167</v>
      </c>
      <c r="C341" s="20" t="s">
        <v>1168</v>
      </c>
      <c r="D341" s="21" t="str">
        <f>PartsMaster!B333&amp;" "&amp;PartsMaster!$C333</f>
        <v>Jaguar XK8 XKR X100 Gearbox (Exchange) - XK8</v>
      </c>
      <c r="E341" s="20">
        <v>3000</v>
      </c>
      <c r="F341" s="20" t="s">
        <v>1182</v>
      </c>
      <c r="H341" s="21">
        <f>PartsMaster!$Q333</f>
        <v>0</v>
      </c>
      <c r="I341" s="20">
        <v>9886</v>
      </c>
      <c r="K341" s="20">
        <v>0</v>
      </c>
      <c r="L341" s="20">
        <v>0</v>
      </c>
      <c r="M341" s="21">
        <f>PartsMaster!$D333</f>
        <v>0</v>
      </c>
      <c r="O341" s="20" t="s">
        <v>1169</v>
      </c>
      <c r="P341" s="23">
        <f>PartsMaster!$S333/1.45</f>
        <v>0</v>
      </c>
      <c r="S341" s="20">
        <v>30</v>
      </c>
      <c r="T341" s="20">
        <v>0</v>
      </c>
      <c r="U341" s="20" t="s">
        <v>1170</v>
      </c>
      <c r="Z341" s="26" t="str">
        <f>"&lt;P&gt;"&amp;PartsMaster!$I333&amp;" "&amp;PartsMaster!$H333&amp;"&lt;/P&gt;"&amp;"&lt;P&gt;Jaguar part name "&amp;PartsMaster!$E333&amp;"&lt;/P&gt;&lt;P&gt;Product numbers "&amp;PartsMaster!R333&amp;" "&amp;DQ341&amp;"&lt;/P&gt;&lt;P&gt;Fits starting from VIN/ModelYear "&amp;PartsMaster!$F333&amp;" until VIN/ModelYear "&amp;PartsMaster!$G333&amp;"&lt;/P&gt;&lt;P&gt;Condition: "&amp;PartsMaster!AB333&amp;"&lt;/P&gt;&lt;P&gt; (part source "&amp;PartsMaster!AD333&amp;")&lt;/P&gt;&lt;P&gt;Notes: "&amp;PartsMaster!AA333&amp;"&lt;/P&gt;"</f>
        <v>&lt;P&gt;Automatic Gearbox Gearbox&lt;/P&gt;&lt;P&gt;Jaguar part name Automatic gearbox&lt;/P&gt;&lt;P&gt;Product numbers  NNE4400AAE  &lt;/P&gt;&lt;P&gt;Fits starting from VIN/ModelYear 031303 until VIN/ModelYear 042775&lt;/P&gt;&lt;P&gt;Condition: &lt;/P&gt;&lt;P&gt; (part source )&lt;/P&gt;&lt;P&gt;Notes: &lt;/P&gt;</v>
      </c>
      <c r="AA341" s="20" t="s">
        <v>1171</v>
      </c>
      <c r="AC341" s="20">
        <v>0</v>
      </c>
      <c r="AD341" s="20">
        <v>0</v>
      </c>
      <c r="AE341" s="20" t="s">
        <v>1172</v>
      </c>
      <c r="AF341" s="20">
        <v>7</v>
      </c>
      <c r="AG341" s="20">
        <v>0</v>
      </c>
      <c r="AH341" s="20">
        <v>0</v>
      </c>
      <c r="AI341" s="20">
        <v>0</v>
      </c>
      <c r="AJ341" s="20">
        <v>0</v>
      </c>
      <c r="AK341" s="20">
        <v>0</v>
      </c>
      <c r="AO341" s="20" t="s">
        <v>1173</v>
      </c>
      <c r="AR341" s="20">
        <v>0</v>
      </c>
      <c r="AS341" s="20">
        <v>10112</v>
      </c>
      <c r="AV341" s="20" t="s">
        <v>1174</v>
      </c>
      <c r="AX341" s="20">
        <v>62128510024</v>
      </c>
      <c r="AY341" s="20">
        <v>62035811024</v>
      </c>
      <c r="AZ341" s="20">
        <v>55187694024</v>
      </c>
      <c r="BA341" s="20" t="s">
        <v>1175</v>
      </c>
      <c r="BB341" s="20" t="s">
        <v>1176</v>
      </c>
      <c r="BC341" s="20" t="s">
        <v>1177</v>
      </c>
      <c r="BD341" s="20">
        <v>1</v>
      </c>
      <c r="BE341" s="20">
        <v>0</v>
      </c>
      <c r="BF341" s="20">
        <v>0</v>
      </c>
      <c r="BG341" s="20">
        <v>0</v>
      </c>
      <c r="BN341" s="20" t="s">
        <v>1178</v>
      </c>
      <c r="BV341" s="20">
        <v>0</v>
      </c>
      <c r="CL341" s="20">
        <v>0</v>
      </c>
      <c r="DD341" s="20" t="s">
        <v>1179</v>
      </c>
      <c r="DE341" s="20" t="s">
        <v>1179</v>
      </c>
      <c r="DI341" s="20">
        <v>0</v>
      </c>
      <c r="DP341" s="21" t="s">
        <v>1180</v>
      </c>
      <c r="DQ341" s="21" t="str">
        <f>PartsMaster!$A333</f>
        <v xml:space="preserve">NNE4400AAE  </v>
      </c>
      <c r="DR341" s="21" t="s">
        <v>1181</v>
      </c>
      <c r="DS341" s="21" t="str">
        <f>PartsMaster!$K334&amp;" "&amp;PartsMaster!L334&amp;" "&amp;PartsMaster!$M334</f>
        <v>Center Center Bottom</v>
      </c>
    </row>
    <row r="342" spans="1:123" ht="30" hidden="1" x14ac:dyDescent="0.25">
      <c r="A342" s="20" t="s">
        <v>1166</v>
      </c>
      <c r="B342" s="20" t="s">
        <v>1167</v>
      </c>
      <c r="C342" s="20" t="s">
        <v>1168</v>
      </c>
      <c r="D342" s="21" t="str">
        <f>PartsMaster!B334&amp;" "&amp;PartsMaster!$C334</f>
        <v>Jaguar XK8 XKR X100 Gearbox (New) - XJ 4.0L</v>
      </c>
      <c r="E342" s="20">
        <v>3000</v>
      </c>
      <c r="F342" s="20" t="s">
        <v>1182</v>
      </c>
      <c r="H342" s="21">
        <f>PartsMaster!$Q334</f>
        <v>0</v>
      </c>
      <c r="I342" s="20">
        <v>9886</v>
      </c>
      <c r="K342" s="20">
        <v>0</v>
      </c>
      <c r="L342" s="20">
        <v>0</v>
      </c>
      <c r="M342" s="21">
        <f>PartsMaster!$D334</f>
        <v>0</v>
      </c>
      <c r="O342" s="20" t="s">
        <v>1169</v>
      </c>
      <c r="P342" s="23">
        <f>PartsMaster!$S334/1.45</f>
        <v>0</v>
      </c>
      <c r="S342" s="20">
        <v>30</v>
      </c>
      <c r="T342" s="20">
        <v>0</v>
      </c>
      <c r="U342" s="20" t="s">
        <v>1170</v>
      </c>
      <c r="Z342" s="26" t="str">
        <f>"&lt;P&gt;"&amp;PartsMaster!$I334&amp;" "&amp;PartsMaster!$H334&amp;"&lt;/P&gt;"&amp;"&lt;P&gt;Jaguar part name "&amp;PartsMaster!$E334&amp;"&lt;/P&gt;&lt;P&gt;Product numbers "&amp;PartsMaster!R334&amp;" "&amp;DQ342&amp;"&lt;/P&gt;&lt;P&gt;Fits starting from VIN/ModelYear "&amp;PartsMaster!$F334&amp;" until VIN/ModelYear "&amp;PartsMaster!$G334&amp;"&lt;/P&gt;&lt;P&gt;Condition: "&amp;PartsMaster!AB334&amp;"&lt;/P&gt;&lt;P&gt; (part source "&amp;PartsMaster!AD334&amp;")&lt;/P&gt;&lt;P&gt;Notes: "&amp;PartsMaster!AA334&amp;"&lt;/P&gt;"</f>
        <v>&lt;P&gt;Automatic Gearbox Gearbox&lt;/P&gt;&lt;P&gt;Jaguar part name Automatic gearbox&lt;/P&gt;&lt;P&gt;Product numbers  NNE4400AAN&lt;/P&gt;&lt;P&gt;Fits starting from VIN/ModelYear 853936 until VIN/ModelYear F59525&lt;/P&gt;&lt;P&gt;Condition: &lt;/P&gt;&lt;P&gt; (part source )&lt;/P&gt;&lt;P&gt;Notes: &lt;/P&gt;</v>
      </c>
      <c r="AA342" s="20" t="s">
        <v>1171</v>
      </c>
      <c r="AC342" s="20">
        <v>0</v>
      </c>
      <c r="AD342" s="20">
        <v>0</v>
      </c>
      <c r="AE342" s="20" t="s">
        <v>1172</v>
      </c>
      <c r="AF342" s="20">
        <v>7</v>
      </c>
      <c r="AG342" s="20">
        <v>0</v>
      </c>
      <c r="AH342" s="20">
        <v>0</v>
      </c>
      <c r="AI342" s="20">
        <v>0</v>
      </c>
      <c r="AJ342" s="20">
        <v>0</v>
      </c>
      <c r="AK342" s="20">
        <v>0</v>
      </c>
      <c r="AO342" s="20" t="s">
        <v>1173</v>
      </c>
      <c r="AR342" s="20">
        <v>0</v>
      </c>
      <c r="AS342" s="20">
        <v>10112</v>
      </c>
      <c r="AV342" s="20" t="s">
        <v>1174</v>
      </c>
      <c r="AX342" s="20">
        <v>62128510024</v>
      </c>
      <c r="AY342" s="20">
        <v>62035811024</v>
      </c>
      <c r="AZ342" s="20">
        <v>55187694024</v>
      </c>
      <c r="BA342" s="20" t="s">
        <v>1175</v>
      </c>
      <c r="BB342" s="20" t="s">
        <v>1176</v>
      </c>
      <c r="BC342" s="20" t="s">
        <v>1177</v>
      </c>
      <c r="BD342" s="20">
        <v>1</v>
      </c>
      <c r="BE342" s="20">
        <v>0</v>
      </c>
      <c r="BF342" s="20">
        <v>0</v>
      </c>
      <c r="BG342" s="20">
        <v>0</v>
      </c>
      <c r="BN342" s="20" t="s">
        <v>1178</v>
      </c>
      <c r="BV342" s="20">
        <v>0</v>
      </c>
      <c r="CL342" s="20">
        <v>0</v>
      </c>
      <c r="DD342" s="20" t="s">
        <v>1179</v>
      </c>
      <c r="DE342" s="20" t="s">
        <v>1179</v>
      </c>
      <c r="DI342" s="20">
        <v>0</v>
      </c>
      <c r="DP342" s="21" t="s">
        <v>1180</v>
      </c>
      <c r="DQ342" s="21" t="str">
        <f>PartsMaster!$A334</f>
        <v>NNE4400AAN</v>
      </c>
      <c r="DR342" s="21" t="s">
        <v>1181</v>
      </c>
      <c r="DS342" s="21" t="str">
        <f>PartsMaster!$K335&amp;" "&amp;PartsMaster!L335&amp;" "&amp;PartsMaster!$M335</f>
        <v>Center Center Bottom</v>
      </c>
    </row>
    <row r="343" spans="1:123" hidden="1" x14ac:dyDescent="0.25">
      <c r="A343" s="20" t="s">
        <v>1166</v>
      </c>
      <c r="B343" s="20" t="s">
        <v>1167</v>
      </c>
      <c r="C343" s="20" t="s">
        <v>1168</v>
      </c>
      <c r="D343" s="21" t="str">
        <f>PartsMaster!B335&amp;" "&amp;PartsMaster!$C335</f>
        <v>Jaguar XK8 XKR X100 Gearbox (New) - XK8</v>
      </c>
      <c r="E343" s="20">
        <v>3000</v>
      </c>
      <c r="F343" s="20" t="s">
        <v>1182</v>
      </c>
      <c r="H343" s="21">
        <f>PartsMaster!$Q335</f>
        <v>0</v>
      </c>
      <c r="I343" s="20">
        <v>9886</v>
      </c>
      <c r="K343" s="20">
        <v>0</v>
      </c>
      <c r="L343" s="20">
        <v>0</v>
      </c>
      <c r="M343" s="21">
        <f>PartsMaster!$D335</f>
        <v>0</v>
      </c>
      <c r="O343" s="20" t="s">
        <v>1169</v>
      </c>
      <c r="P343" s="23">
        <f>PartsMaster!$S335/1.45</f>
        <v>0</v>
      </c>
      <c r="S343" s="20">
        <v>30</v>
      </c>
      <c r="T343" s="20">
        <v>0</v>
      </c>
      <c r="U343" s="20" t="s">
        <v>1170</v>
      </c>
      <c r="Z343" s="26" t="str">
        <f>"&lt;P&gt;"&amp;PartsMaster!$I335&amp;" "&amp;PartsMaster!$H335&amp;"&lt;/P&gt;"&amp;"&lt;P&gt;Jaguar part name "&amp;PartsMaster!$E335&amp;"&lt;/P&gt;&lt;P&gt;Product numbers "&amp;PartsMaster!R335&amp;" "&amp;DQ343&amp;"&lt;/P&gt;&lt;P&gt;Fits starting from VIN/ModelYear "&amp;PartsMaster!$F335&amp;" until VIN/ModelYear "&amp;PartsMaster!$G335&amp;"&lt;/P&gt;&lt;P&gt;Condition: "&amp;PartsMaster!AB335&amp;"&lt;/P&gt;&lt;P&gt; (part source "&amp;PartsMaster!AD335&amp;")&lt;/P&gt;&lt;P&gt;Notes: "&amp;PartsMaster!AA335&amp;"&lt;/P&gt;"</f>
        <v>&lt;P&gt;Automatic Gearbox Gearbox&lt;/P&gt;&lt;P&gt;Jaguar part name Automatic gearbox&lt;/P&gt;&lt;P&gt;Product numbers  NNE4400AAN  (Superceded)&lt;/P&gt;&lt;P&gt;Fits starting from VIN/ModelYear 031303 until VIN/ModelYear 042775&lt;/P&gt;&lt;P&gt;Condition: &lt;/P&gt;&lt;P&gt; (part source )&lt;/P&gt;&lt;P&gt;Notes: &lt;/P&gt;</v>
      </c>
      <c r="AA343" s="20" t="s">
        <v>1171</v>
      </c>
      <c r="AC343" s="20">
        <v>0</v>
      </c>
      <c r="AD343" s="20">
        <v>0</v>
      </c>
      <c r="AE343" s="20" t="s">
        <v>1172</v>
      </c>
      <c r="AF343" s="20">
        <v>7</v>
      </c>
      <c r="AG343" s="20">
        <v>0</v>
      </c>
      <c r="AH343" s="20">
        <v>0</v>
      </c>
      <c r="AI343" s="20">
        <v>0</v>
      </c>
      <c r="AJ343" s="20">
        <v>0</v>
      </c>
      <c r="AK343" s="20">
        <v>0</v>
      </c>
      <c r="AO343" s="20" t="s">
        <v>1173</v>
      </c>
      <c r="AR343" s="20">
        <v>0</v>
      </c>
      <c r="AS343" s="20">
        <v>10112</v>
      </c>
      <c r="AV343" s="20" t="s">
        <v>1174</v>
      </c>
      <c r="AX343" s="20">
        <v>62128510024</v>
      </c>
      <c r="AY343" s="20">
        <v>62035811024</v>
      </c>
      <c r="AZ343" s="20">
        <v>55187694024</v>
      </c>
      <c r="BA343" s="20" t="s">
        <v>1175</v>
      </c>
      <c r="BB343" s="20" t="s">
        <v>1176</v>
      </c>
      <c r="BC343" s="20" t="s">
        <v>1177</v>
      </c>
      <c r="BD343" s="20">
        <v>1</v>
      </c>
      <c r="BE343" s="20">
        <v>0</v>
      </c>
      <c r="BF343" s="20">
        <v>0</v>
      </c>
      <c r="BG343" s="20">
        <v>0</v>
      </c>
      <c r="BN343" s="20" t="s">
        <v>1178</v>
      </c>
      <c r="BV343" s="20">
        <v>0</v>
      </c>
      <c r="CL343" s="20">
        <v>0</v>
      </c>
      <c r="DD343" s="20" t="s">
        <v>1179</v>
      </c>
      <c r="DE343" s="20" t="s">
        <v>1179</v>
      </c>
      <c r="DI343" s="20">
        <v>0</v>
      </c>
      <c r="DP343" s="21" t="s">
        <v>1180</v>
      </c>
      <c r="DQ343" s="21" t="str">
        <f>PartsMaster!$A335</f>
        <v>NNE4400AAN  (Superceded)</v>
      </c>
      <c r="DR343" s="21" t="s">
        <v>1181</v>
      </c>
      <c r="DS343" s="21" t="str">
        <f>PartsMaster!$K336&amp;" "&amp;PartsMaster!L336&amp;" "&amp;PartsMaster!$M336</f>
        <v xml:space="preserve">Rear Right </v>
      </c>
    </row>
    <row r="344" spans="1:123" ht="30" hidden="1" x14ac:dyDescent="0.25">
      <c r="A344" s="20" t="s">
        <v>1166</v>
      </c>
      <c r="B344" s="20" t="s">
        <v>1167</v>
      </c>
      <c r="C344" s="20" t="s">
        <v>1168</v>
      </c>
      <c r="D344" s="21" t="str">
        <f>PartsMaster!B336&amp;" "&amp;PartsMaster!$C336</f>
        <v>Jaguar S-Type X200 Anti Roll Bar Link</v>
      </c>
      <c r="E344" s="20">
        <v>3000</v>
      </c>
      <c r="F344" s="20" t="s">
        <v>1182</v>
      </c>
      <c r="H344" s="21" t="str">
        <f>PartsMaster!$Q336</f>
        <v>Anti roll bar link RH</v>
      </c>
      <c r="I344" s="20">
        <v>9886</v>
      </c>
      <c r="K344" s="20">
        <v>0</v>
      </c>
      <c r="L344" s="20">
        <v>0</v>
      </c>
      <c r="M344" s="21">
        <f>PartsMaster!$D336</f>
        <v>0</v>
      </c>
      <c r="O344" s="20" t="s">
        <v>1169</v>
      </c>
      <c r="P344" s="23">
        <f>PartsMaster!$S336/1.45</f>
        <v>0</v>
      </c>
      <c r="S344" s="20">
        <v>30</v>
      </c>
      <c r="T344" s="20">
        <v>0</v>
      </c>
      <c r="U344" s="20" t="s">
        <v>1170</v>
      </c>
      <c r="Z344" s="26" t="str">
        <f>"&lt;P&gt;"&amp;PartsMaster!$I336&amp;" "&amp;PartsMaster!$H336&amp;"&lt;/P&gt;"&amp;"&lt;P&gt;Jaguar part name "&amp;PartsMaster!$E336&amp;"&lt;/P&gt;&lt;P&gt;Product numbers "&amp;PartsMaster!R336&amp;" "&amp;DQ344&amp;"&lt;/P&gt;&lt;P&gt;Fits starting from VIN/ModelYear "&amp;PartsMaster!$F336&amp;" until VIN/ModelYear "&amp;PartsMaster!$G336&amp;"&lt;/P&gt;&lt;P&gt;Condition: "&amp;PartsMaster!AB336&amp;"&lt;/P&gt;&lt;P&gt; (part source "&amp;PartsMaster!AD336&amp;")&lt;/P&gt;&lt;P&gt;Notes: "&amp;PartsMaster!AA336&amp;"&lt;/P&gt;"</f>
        <v>&lt;P&gt;Suspension Link&lt;/P&gt;&lt;P&gt;Jaguar part name STEERING AND SUSPENSION/ANTI ROLL BAR - Anti roll bar link - RH rear&lt;/P&gt;&lt;P&gt;Product numbers C2C18571 XR81692&lt;/P&gt;&lt;P&gt;Fits starting from VIN/ModelYear Any until VIN/ModelYear Any&lt;/P&gt;&lt;P&gt;Condition: &lt;/P&gt;&lt;P&gt; (part source )&lt;/P&gt;&lt;P&gt;Notes: &lt;/P&gt;</v>
      </c>
      <c r="AA344" s="20" t="s">
        <v>1171</v>
      </c>
      <c r="AC344" s="20">
        <v>0</v>
      </c>
      <c r="AD344" s="20">
        <v>0</v>
      </c>
      <c r="AE344" s="20" t="s">
        <v>1172</v>
      </c>
      <c r="AF344" s="20">
        <v>7</v>
      </c>
      <c r="AG344" s="20">
        <v>0</v>
      </c>
      <c r="AH344" s="20">
        <v>0</v>
      </c>
      <c r="AI344" s="20">
        <v>0</v>
      </c>
      <c r="AJ344" s="20">
        <v>0</v>
      </c>
      <c r="AK344" s="20">
        <v>0</v>
      </c>
      <c r="AO344" s="20" t="s">
        <v>1173</v>
      </c>
      <c r="AR344" s="20">
        <v>0</v>
      </c>
      <c r="AS344" s="20">
        <v>10112</v>
      </c>
      <c r="AV344" s="20" t="s">
        <v>1174</v>
      </c>
      <c r="AX344" s="20">
        <v>62128510024</v>
      </c>
      <c r="AY344" s="20">
        <v>62035811024</v>
      </c>
      <c r="AZ344" s="20">
        <v>55187694024</v>
      </c>
      <c r="BA344" s="20" t="s">
        <v>1175</v>
      </c>
      <c r="BB344" s="20" t="s">
        <v>1176</v>
      </c>
      <c r="BC344" s="20" t="s">
        <v>1177</v>
      </c>
      <c r="BD344" s="20">
        <v>1</v>
      </c>
      <c r="BE344" s="20">
        <v>0</v>
      </c>
      <c r="BF344" s="20">
        <v>0</v>
      </c>
      <c r="BG344" s="20">
        <v>0</v>
      </c>
      <c r="BN344" s="20" t="s">
        <v>1178</v>
      </c>
      <c r="BV344" s="20">
        <v>0</v>
      </c>
      <c r="CL344" s="20">
        <v>0</v>
      </c>
      <c r="DD344" s="20" t="s">
        <v>1179</v>
      </c>
      <c r="DE344" s="20" t="s">
        <v>1179</v>
      </c>
      <c r="DI344" s="20">
        <v>0</v>
      </c>
      <c r="DP344" s="21" t="s">
        <v>1180</v>
      </c>
      <c r="DQ344" s="21" t="str">
        <f>PartsMaster!$A336</f>
        <v>XR81692</v>
      </c>
      <c r="DR344" s="21" t="s">
        <v>1181</v>
      </c>
      <c r="DS344" s="21" t="str">
        <f>PartsMaster!$K337&amp;" "&amp;PartsMaster!L337&amp;" "&amp;PartsMaster!$M337</f>
        <v xml:space="preserve">Rear Left </v>
      </c>
    </row>
    <row r="345" spans="1:123" hidden="1" x14ac:dyDescent="0.25">
      <c r="A345" s="20" t="s">
        <v>1166</v>
      </c>
      <c r="B345" s="20" t="s">
        <v>1167</v>
      </c>
      <c r="C345" s="20" t="s">
        <v>1168</v>
      </c>
      <c r="D345" s="21" t="str">
        <f>PartsMaster!B337&amp;" "&amp;PartsMaster!$C337</f>
        <v>Jaguar S-Type X200 Anti Roll Bar Link</v>
      </c>
      <c r="E345" s="20">
        <v>3000</v>
      </c>
      <c r="F345" s="20" t="s">
        <v>1182</v>
      </c>
      <c r="H345" s="21" t="str">
        <f>PartsMaster!$Q337</f>
        <v>Anti roll bar link LH</v>
      </c>
      <c r="I345" s="20">
        <v>9886</v>
      </c>
      <c r="K345" s="20">
        <v>0</v>
      </c>
      <c r="L345" s="20">
        <v>0</v>
      </c>
      <c r="M345" s="21">
        <f>PartsMaster!$D337</f>
        <v>0</v>
      </c>
      <c r="O345" s="20" t="s">
        <v>1169</v>
      </c>
      <c r="P345" s="23">
        <f>PartsMaster!$S337/1.45</f>
        <v>0</v>
      </c>
      <c r="S345" s="20">
        <v>30</v>
      </c>
      <c r="T345" s="20">
        <v>0</v>
      </c>
      <c r="U345" s="20" t="s">
        <v>1170</v>
      </c>
      <c r="Z345" s="26" t="str">
        <f>"&lt;P&gt;"&amp;PartsMaster!$I337&amp;" "&amp;PartsMaster!$H337&amp;"&lt;/P&gt;"&amp;"&lt;P&gt;Jaguar part name "&amp;PartsMaster!$E337&amp;"&lt;/P&gt;&lt;P&gt;Product numbers "&amp;PartsMaster!R337&amp;" "&amp;DQ345&amp;"&lt;/P&gt;&lt;P&gt;Fits starting from VIN/ModelYear "&amp;PartsMaster!$F337&amp;" until VIN/ModelYear "&amp;PartsMaster!$G337&amp;"&lt;/P&gt;&lt;P&gt;Condition: "&amp;PartsMaster!AB337&amp;"&lt;/P&gt;&lt;P&gt; (part source "&amp;PartsMaster!AD337&amp;")&lt;/P&gt;&lt;P&gt;Notes: "&amp;PartsMaster!AA337&amp;"&lt;/P&gt;"</f>
        <v>&lt;P&gt;Suspension Link&lt;/P&gt;&lt;P&gt;Jaguar part name STEERING AND SUSPENSION/ANTI ROLL BAR - Anti roll bar link - LH rear&lt;/P&gt;&lt;P&gt;Product numbers C2C18572 XR81693&lt;/P&gt;&lt;P&gt;Fits starting from VIN/ModelYear Any until VIN/ModelYear Any&lt;/P&gt;&lt;P&gt;Condition: &lt;/P&gt;&lt;P&gt; (part source )&lt;/P&gt;&lt;P&gt;Notes: &lt;/P&gt;</v>
      </c>
      <c r="AA345" s="20" t="s">
        <v>1171</v>
      </c>
      <c r="AC345" s="20">
        <v>0</v>
      </c>
      <c r="AD345" s="20">
        <v>0</v>
      </c>
      <c r="AE345" s="20" t="s">
        <v>1172</v>
      </c>
      <c r="AF345" s="20">
        <v>7</v>
      </c>
      <c r="AG345" s="20">
        <v>0</v>
      </c>
      <c r="AH345" s="20">
        <v>0</v>
      </c>
      <c r="AI345" s="20">
        <v>0</v>
      </c>
      <c r="AJ345" s="20">
        <v>0</v>
      </c>
      <c r="AK345" s="20">
        <v>0</v>
      </c>
      <c r="AO345" s="20" t="s">
        <v>1173</v>
      </c>
      <c r="AR345" s="20">
        <v>0</v>
      </c>
      <c r="AS345" s="20">
        <v>10112</v>
      </c>
      <c r="AV345" s="20" t="s">
        <v>1174</v>
      </c>
      <c r="AX345" s="20">
        <v>62128510024</v>
      </c>
      <c r="AY345" s="20">
        <v>62035811024</v>
      </c>
      <c r="AZ345" s="20">
        <v>55187694024</v>
      </c>
      <c r="BA345" s="20" t="s">
        <v>1175</v>
      </c>
      <c r="BB345" s="20" t="s">
        <v>1176</v>
      </c>
      <c r="BC345" s="20" t="s">
        <v>1177</v>
      </c>
      <c r="BD345" s="20">
        <v>1</v>
      </c>
      <c r="BE345" s="20">
        <v>0</v>
      </c>
      <c r="BF345" s="20">
        <v>0</v>
      </c>
      <c r="BG345" s="20">
        <v>0</v>
      </c>
      <c r="BN345" s="20" t="s">
        <v>1178</v>
      </c>
      <c r="BV345" s="20">
        <v>0</v>
      </c>
      <c r="CL345" s="20">
        <v>0</v>
      </c>
      <c r="DD345" s="20" t="s">
        <v>1179</v>
      </c>
      <c r="DE345" s="20" t="s">
        <v>1179</v>
      </c>
      <c r="DI345" s="20">
        <v>0</v>
      </c>
      <c r="DP345" s="21" t="s">
        <v>1180</v>
      </c>
      <c r="DQ345" s="21" t="str">
        <f>PartsMaster!$A337</f>
        <v>XR81693</v>
      </c>
      <c r="DR345" s="21" t="s">
        <v>1181</v>
      </c>
      <c r="DS345" s="21" t="str">
        <f>PartsMaster!$K338&amp;" "&amp;PartsMaster!L338&amp;" "&amp;PartsMaster!$M338</f>
        <v>Front Left Top</v>
      </c>
    </row>
    <row r="346" spans="1:123" hidden="1" x14ac:dyDescent="0.25">
      <c r="A346" s="20" t="s">
        <v>1166</v>
      </c>
      <c r="B346" s="20" t="s">
        <v>1167</v>
      </c>
      <c r="C346" s="20" t="s">
        <v>1168</v>
      </c>
      <c r="D346" s="21" t="str">
        <f>PartsMaster!B338&amp;" "&amp;PartsMaster!$C338</f>
        <v>Jaguar XK8 XKR X100 Engine block head</v>
      </c>
      <c r="E346" s="20">
        <v>3000</v>
      </c>
      <c r="F346" s="20" t="s">
        <v>1182</v>
      </c>
      <c r="H346" s="21">
        <f>PartsMaster!$Q338</f>
        <v>0</v>
      </c>
      <c r="I346" s="20">
        <v>9886</v>
      </c>
      <c r="K346" s="20">
        <v>0</v>
      </c>
      <c r="L346" s="20">
        <v>0</v>
      </c>
      <c r="M346" s="21">
        <f>PartsMaster!$D338</f>
        <v>1</v>
      </c>
      <c r="O346" s="20" t="s">
        <v>1169</v>
      </c>
      <c r="P346" s="23">
        <f>PartsMaster!$S338/1.45</f>
        <v>0</v>
      </c>
      <c r="S346" s="20">
        <v>30</v>
      </c>
      <c r="T346" s="20">
        <v>0</v>
      </c>
      <c r="U346" s="20" t="s">
        <v>1170</v>
      </c>
      <c r="Z346" s="26" t="str">
        <f>"&lt;P&gt;"&amp;PartsMaster!$I338&amp;" "&amp;PartsMaster!$H338&amp;"&lt;/P&gt;"&amp;"&lt;P&gt;Jaguar part name "&amp;PartsMaster!$E338&amp;"&lt;/P&gt;&lt;P&gt;Product numbers "&amp;PartsMaster!R338&amp;" "&amp;DQ346&amp;"&lt;/P&gt;&lt;P&gt;Fits starting from VIN/ModelYear "&amp;PartsMaster!$F338&amp;" until VIN/ModelYear "&amp;PartsMaster!$G338&amp;"&lt;/P&gt;&lt;P&gt;Condition: "&amp;PartsMaster!AB338&amp;"&lt;/P&gt;&lt;P&gt; (part source "&amp;PartsMaster!AD338&amp;")&lt;/P&gt;&lt;P&gt;Notes: "&amp;PartsMaster!AA338&amp;"&lt;/P&gt;"</f>
        <v>&lt;P&gt;Engine Engine cylinder head&lt;/P&gt;&lt;P&gt;Jaguar part name ENGINE/CYLINDER HEAD - Cylinder head - with valves&lt;/P&gt;&lt;P&gt;Product numbers  XR83-6C064-AE&lt;/P&gt;&lt;P&gt;Fits starting from VIN/ModelYear 031303 until VIN/ModelYear &lt;/P&gt;&lt;P&gt;Condition: Extra spare&lt;/P&gt;&lt;P&gt; (part source JP)&lt;/P&gt;&lt;P&gt;Notes: &lt;/P&gt;</v>
      </c>
      <c r="AA346" s="20" t="s">
        <v>1171</v>
      </c>
      <c r="AC346" s="20">
        <v>0</v>
      </c>
      <c r="AD346" s="20">
        <v>0</v>
      </c>
      <c r="AE346" s="20" t="s">
        <v>1172</v>
      </c>
      <c r="AF346" s="20">
        <v>7</v>
      </c>
      <c r="AG346" s="20">
        <v>0</v>
      </c>
      <c r="AH346" s="20">
        <v>0</v>
      </c>
      <c r="AI346" s="20">
        <v>0</v>
      </c>
      <c r="AJ346" s="20">
        <v>0</v>
      </c>
      <c r="AK346" s="20">
        <v>0</v>
      </c>
      <c r="AO346" s="20" t="s">
        <v>1173</v>
      </c>
      <c r="AR346" s="20">
        <v>0</v>
      </c>
      <c r="AS346" s="20">
        <v>10112</v>
      </c>
      <c r="AV346" s="20" t="s">
        <v>1174</v>
      </c>
      <c r="AX346" s="20">
        <v>62128510024</v>
      </c>
      <c r="AY346" s="20">
        <v>62035811024</v>
      </c>
      <c r="AZ346" s="20">
        <v>55187694024</v>
      </c>
      <c r="BA346" s="20" t="s">
        <v>1175</v>
      </c>
      <c r="BB346" s="20" t="s">
        <v>1176</v>
      </c>
      <c r="BC346" s="20" t="s">
        <v>1177</v>
      </c>
      <c r="BD346" s="20">
        <v>1</v>
      </c>
      <c r="BE346" s="20">
        <v>0</v>
      </c>
      <c r="BF346" s="20">
        <v>0</v>
      </c>
      <c r="BG346" s="20">
        <v>0</v>
      </c>
      <c r="BN346" s="20" t="s">
        <v>1178</v>
      </c>
      <c r="BV346" s="20">
        <v>0</v>
      </c>
      <c r="CL346" s="20">
        <v>0</v>
      </c>
      <c r="DD346" s="20" t="s">
        <v>1179</v>
      </c>
      <c r="DE346" s="20" t="s">
        <v>1179</v>
      </c>
      <c r="DI346" s="20">
        <v>0</v>
      </c>
      <c r="DP346" s="21" t="s">
        <v>1180</v>
      </c>
      <c r="DQ346" s="21" t="str">
        <f>PartsMaster!$A338</f>
        <v>XR83-6C064-AE</v>
      </c>
      <c r="DR346" s="21" t="s">
        <v>1181</v>
      </c>
      <c r="DS346" s="21" t="str">
        <f>PartsMaster!$K339&amp;" "&amp;PartsMaster!L339&amp;" "&amp;PartsMaster!$M339</f>
        <v xml:space="preserve">  </v>
      </c>
    </row>
    <row r="347" spans="1:123" hidden="1" x14ac:dyDescent="0.25">
      <c r="A347" s="20" t="s">
        <v>1166</v>
      </c>
      <c r="B347" s="20" t="s">
        <v>1167</v>
      </c>
      <c r="C347" s="20" t="s">
        <v>1168</v>
      </c>
      <c r="D347" s="21" t="str">
        <f>PartsMaster!B339&amp;" "&amp;PartsMaster!$C339</f>
        <v>Jaguar XK8 XKR X100 Bumper Reflectors and Side Indicators Kit</v>
      </c>
      <c r="E347" s="20">
        <v>3000</v>
      </c>
      <c r="F347" s="20" t="s">
        <v>1182</v>
      </c>
      <c r="H347" s="21" t="str">
        <f>PartsMaster!$Q339</f>
        <v>Jaguar XK8 &amp; XKR Clear Side indicators &amp; Reflectors</v>
      </c>
      <c r="I347" s="20">
        <v>9886</v>
      </c>
      <c r="K347" s="20">
        <v>0</v>
      </c>
      <c r="L347" s="20">
        <v>0</v>
      </c>
      <c r="M347" s="21">
        <f>PartsMaster!$D339</f>
        <v>0</v>
      </c>
      <c r="O347" s="20" t="s">
        <v>1169</v>
      </c>
      <c r="P347" s="23">
        <f>PartsMaster!$S339/1.45</f>
        <v>0</v>
      </c>
      <c r="S347" s="20">
        <v>30</v>
      </c>
      <c r="T347" s="20">
        <v>0</v>
      </c>
      <c r="U347" s="20" t="s">
        <v>1170</v>
      </c>
      <c r="Z347" s="26" t="str">
        <f>"&lt;P&gt;"&amp;PartsMaster!$I339&amp;" "&amp;PartsMaster!$H339&amp;"&lt;/P&gt;"&amp;"&lt;P&gt;Jaguar part name "&amp;PartsMaster!$E339&amp;"&lt;/P&gt;&lt;P&gt;Product numbers "&amp;PartsMaster!R339&amp;" "&amp;DQ347&amp;"&lt;/P&gt;&lt;P&gt;Fits starting from VIN/ModelYear "&amp;PartsMaster!$F339&amp;" until VIN/ModelYear "&amp;PartsMaster!$G339&amp;"&lt;/P&gt;&lt;P&gt;Condition: "&amp;PartsMaster!AB339&amp;"&lt;/P&gt;&lt;P&gt; (part source "&amp;PartsMaster!AD339&amp;")&lt;/P&gt;&lt;P&gt;Notes: "&amp;PartsMaster!AA339&amp;"&lt;/P&gt;"</f>
        <v>&lt;P&gt;Light Kit&lt;/P&gt;&lt;P&gt;Jaguar part name &lt;/P&gt;&lt;P&gt;Product numbers  0&lt;/P&gt;&lt;P&gt;Fits starting from VIN/ModelYear  until VIN/ModelYear &lt;/P&gt;&lt;P&gt;Condition: eBay - Adamesh&lt;/P&gt;&lt;P&gt; (part source )&lt;/P&gt;&lt;P&gt;Notes: &lt;/P&gt;</v>
      </c>
      <c r="AA347" s="20" t="s">
        <v>1171</v>
      </c>
      <c r="AC347" s="20">
        <v>0</v>
      </c>
      <c r="AD347" s="20">
        <v>0</v>
      </c>
      <c r="AE347" s="20" t="s">
        <v>1172</v>
      </c>
      <c r="AF347" s="20">
        <v>7</v>
      </c>
      <c r="AG347" s="20">
        <v>0</v>
      </c>
      <c r="AH347" s="20">
        <v>0</v>
      </c>
      <c r="AI347" s="20">
        <v>0</v>
      </c>
      <c r="AJ347" s="20">
        <v>0</v>
      </c>
      <c r="AK347" s="20">
        <v>0</v>
      </c>
      <c r="AO347" s="20" t="s">
        <v>1173</v>
      </c>
      <c r="AR347" s="20">
        <v>0</v>
      </c>
      <c r="AS347" s="20">
        <v>10112</v>
      </c>
      <c r="AV347" s="20" t="s">
        <v>1174</v>
      </c>
      <c r="AX347" s="20">
        <v>62128510024</v>
      </c>
      <c r="AY347" s="20">
        <v>62035811024</v>
      </c>
      <c r="AZ347" s="20">
        <v>55187694024</v>
      </c>
      <c r="BA347" s="20" t="s">
        <v>1175</v>
      </c>
      <c r="BB347" s="20" t="s">
        <v>1176</v>
      </c>
      <c r="BC347" s="20" t="s">
        <v>1177</v>
      </c>
      <c r="BD347" s="20">
        <v>1</v>
      </c>
      <c r="BE347" s="20">
        <v>0</v>
      </c>
      <c r="BF347" s="20">
        <v>0</v>
      </c>
      <c r="BG347" s="20">
        <v>0</v>
      </c>
      <c r="BN347" s="20" t="s">
        <v>1178</v>
      </c>
      <c r="BV347" s="20">
        <v>0</v>
      </c>
      <c r="CL347" s="20">
        <v>0</v>
      </c>
      <c r="DD347" s="20" t="s">
        <v>1179</v>
      </c>
      <c r="DE347" s="20" t="s">
        <v>1179</v>
      </c>
      <c r="DI347" s="20">
        <v>0</v>
      </c>
      <c r="DP347" s="21" t="s">
        <v>1180</v>
      </c>
      <c r="DQ347" s="21">
        <f>PartsMaster!$A339</f>
        <v>0</v>
      </c>
      <c r="DR347" s="21" t="s">
        <v>1181</v>
      </c>
      <c r="DS347" s="21" t="str">
        <f>PartsMaster!$K340&amp;" "&amp;PartsMaster!L340&amp;" "&amp;PartsMaster!$M340</f>
        <v xml:space="preserve">  </v>
      </c>
    </row>
    <row r="348" spans="1:123" ht="45" hidden="1" x14ac:dyDescent="0.25">
      <c r="A348" s="20" t="s">
        <v>1166</v>
      </c>
      <c r="B348" s="20" t="s">
        <v>1167</v>
      </c>
      <c r="C348" s="20" t="s">
        <v>1168</v>
      </c>
      <c r="D348" s="21" t="str">
        <f>PartsMaster!B340&amp;" "&amp;PartsMaster!$C340</f>
        <v>Jaguar XK8 XKR X100 Air Condition / Climate Control - Display backlight</v>
      </c>
      <c r="E348" s="20">
        <v>3000</v>
      </c>
      <c r="F348" s="20" t="s">
        <v>1182</v>
      </c>
      <c r="H348" s="21">
        <f>PartsMaster!$Q340</f>
        <v>0</v>
      </c>
      <c r="I348" s="20">
        <v>9886</v>
      </c>
      <c r="K348" s="20">
        <v>0</v>
      </c>
      <c r="L348" s="20">
        <v>0</v>
      </c>
      <c r="M348" s="21">
        <f>PartsMaster!$D340</f>
        <v>5</v>
      </c>
      <c r="O348" s="20" t="s">
        <v>1169</v>
      </c>
      <c r="P348" s="23">
        <f>PartsMaster!$S340/1.45</f>
        <v>0</v>
      </c>
      <c r="S348" s="20">
        <v>30</v>
      </c>
      <c r="T348" s="20">
        <v>0</v>
      </c>
      <c r="U348" s="20" t="s">
        <v>1170</v>
      </c>
      <c r="Z348" s="26" t="str">
        <f>"&lt;P&gt;"&amp;PartsMaster!$I340&amp;" "&amp;PartsMaster!$H340&amp;"&lt;/P&gt;"&amp;"&lt;P&gt;Jaguar part name "&amp;PartsMaster!$E340&amp;"&lt;/P&gt;&lt;P&gt;Product numbers "&amp;PartsMaster!R340&amp;" "&amp;DQ348&amp;"&lt;/P&gt;&lt;P&gt;Fits starting from VIN/ModelYear "&amp;PartsMaster!$F340&amp;" until VIN/ModelYear "&amp;PartsMaster!$G340&amp;"&lt;/P&gt;&lt;P&gt;Condition: "&amp;PartsMaster!AB340&amp;"&lt;/P&gt;&lt;P&gt; (part source "&amp;PartsMaster!AD340&amp;")&lt;/P&gt;&lt;P&gt;Notes: "&amp;PartsMaster!AA340&amp;"&lt;/P&gt;"</f>
        <v>&lt;P&gt;Light Light&lt;/P&gt;&lt;P&gt;Jaguar part name &lt;/P&gt;&lt;P&gt;Product numbers  0&lt;/P&gt;&lt;P&gt;Fits starting from VIN/ModelYear  until VIN/ModelYear &lt;/P&gt;&lt;P&gt;Condition: New&lt;/P&gt;&lt;P&gt; (part source )&lt;/P&gt;&lt;P&gt;Notes: &lt;/P&gt;</v>
      </c>
      <c r="AA348" s="20" t="s">
        <v>1171</v>
      </c>
      <c r="AC348" s="20">
        <v>0</v>
      </c>
      <c r="AD348" s="20">
        <v>0</v>
      </c>
      <c r="AE348" s="20" t="s">
        <v>1172</v>
      </c>
      <c r="AF348" s="20">
        <v>7</v>
      </c>
      <c r="AG348" s="20">
        <v>0</v>
      </c>
      <c r="AH348" s="20">
        <v>0</v>
      </c>
      <c r="AI348" s="20">
        <v>0</v>
      </c>
      <c r="AJ348" s="20">
        <v>0</v>
      </c>
      <c r="AK348" s="20">
        <v>0</v>
      </c>
      <c r="AO348" s="20" t="s">
        <v>1173</v>
      </c>
      <c r="AR348" s="20">
        <v>0</v>
      </c>
      <c r="AS348" s="20">
        <v>10112</v>
      </c>
      <c r="AV348" s="20" t="s">
        <v>1174</v>
      </c>
      <c r="AX348" s="20">
        <v>62128510024</v>
      </c>
      <c r="AY348" s="20">
        <v>62035811024</v>
      </c>
      <c r="AZ348" s="20">
        <v>55187694024</v>
      </c>
      <c r="BA348" s="20" t="s">
        <v>1175</v>
      </c>
      <c r="BB348" s="20" t="s">
        <v>1176</v>
      </c>
      <c r="BC348" s="20" t="s">
        <v>1177</v>
      </c>
      <c r="BD348" s="20">
        <v>1</v>
      </c>
      <c r="BE348" s="20">
        <v>0</v>
      </c>
      <c r="BF348" s="20">
        <v>0</v>
      </c>
      <c r="BG348" s="20">
        <v>0</v>
      </c>
      <c r="BN348" s="20" t="s">
        <v>1178</v>
      </c>
      <c r="BV348" s="20">
        <v>0</v>
      </c>
      <c r="CL348" s="20">
        <v>0</v>
      </c>
      <c r="DD348" s="20" t="s">
        <v>1179</v>
      </c>
      <c r="DE348" s="20" t="s">
        <v>1179</v>
      </c>
      <c r="DI348" s="20">
        <v>0</v>
      </c>
      <c r="DP348" s="21" t="s">
        <v>1180</v>
      </c>
      <c r="DQ348" s="21">
        <f>PartsMaster!$A340</f>
        <v>0</v>
      </c>
      <c r="DR348" s="21" t="s">
        <v>1181</v>
      </c>
      <c r="DS348" s="21" t="str">
        <f>PartsMaster!$K341&amp;" "&amp;PartsMaster!L341&amp;" "&amp;PartsMaster!$M341</f>
        <v xml:space="preserve">  </v>
      </c>
    </row>
    <row r="349" spans="1:123" hidden="1" x14ac:dyDescent="0.25">
      <c r="A349" s="20" t="s">
        <v>1166</v>
      </c>
      <c r="B349" s="20" t="s">
        <v>1167</v>
      </c>
      <c r="C349" s="20" t="s">
        <v>1168</v>
      </c>
      <c r="D349" s="21" t="str">
        <f>PartsMaster!B341&amp;" "&amp;PartsMaster!$C341</f>
        <v>Jaguar XK8 XKR X100 Airbag Passenger harness connector</v>
      </c>
      <c r="E349" s="20">
        <v>3000</v>
      </c>
      <c r="F349" s="20" t="s">
        <v>1182</v>
      </c>
      <c r="H349" s="21">
        <f>PartsMaster!$Q341</f>
        <v>0</v>
      </c>
      <c r="I349" s="20">
        <v>9886</v>
      </c>
      <c r="K349" s="20">
        <v>0</v>
      </c>
      <c r="L349" s="20">
        <v>0</v>
      </c>
      <c r="M349" s="21">
        <f>PartsMaster!$D341</f>
        <v>0</v>
      </c>
      <c r="O349" s="20" t="s">
        <v>1169</v>
      </c>
      <c r="P349" s="23">
        <f>PartsMaster!$S341/1.45</f>
        <v>0</v>
      </c>
      <c r="S349" s="20">
        <v>30</v>
      </c>
      <c r="T349" s="20">
        <v>0</v>
      </c>
      <c r="U349" s="20" t="s">
        <v>1170</v>
      </c>
      <c r="Z349" s="26" t="str">
        <f>"&lt;P&gt;"&amp;PartsMaster!$I341&amp;" "&amp;PartsMaster!$H341&amp;"&lt;/P&gt;"&amp;"&lt;P&gt;Jaguar part name "&amp;PartsMaster!$E341&amp;"&lt;/P&gt;&lt;P&gt;Product numbers "&amp;PartsMaster!R341&amp;" "&amp;DQ349&amp;"&lt;/P&gt;&lt;P&gt;Fits starting from VIN/ModelYear "&amp;PartsMaster!$F341&amp;" until VIN/ModelYear "&amp;PartsMaster!$G341&amp;"&lt;/P&gt;&lt;P&gt;Condition: "&amp;PartsMaster!AB341&amp;"&lt;/P&gt;&lt;P&gt; (part source "&amp;PartsMaster!AD341&amp;")&lt;/P&gt;&lt;P&gt;Notes: "&amp;PartsMaster!AA341&amp;"&lt;/P&gt;"</f>
        <v>&lt;P&gt; Connector&lt;/P&gt;&lt;P&gt;Jaguar part name &lt;/P&gt;&lt;P&gt;Product numbers  0&lt;/P&gt;&lt;P&gt;Fits starting from VIN/ModelYear  until VIN/ModelYear &lt;/P&gt;&lt;P&gt;Condition: &lt;/P&gt;&lt;P&gt; (part source )&lt;/P&gt;&lt;P&gt;Notes: &lt;/P&gt;</v>
      </c>
      <c r="AA349" s="20" t="s">
        <v>1171</v>
      </c>
      <c r="AC349" s="20">
        <v>0</v>
      </c>
      <c r="AD349" s="20">
        <v>0</v>
      </c>
      <c r="AE349" s="20" t="s">
        <v>1172</v>
      </c>
      <c r="AF349" s="20">
        <v>7</v>
      </c>
      <c r="AG349" s="20">
        <v>0</v>
      </c>
      <c r="AH349" s="20">
        <v>0</v>
      </c>
      <c r="AI349" s="20">
        <v>0</v>
      </c>
      <c r="AJ349" s="20">
        <v>0</v>
      </c>
      <c r="AK349" s="20">
        <v>0</v>
      </c>
      <c r="AO349" s="20" t="s">
        <v>1173</v>
      </c>
      <c r="AR349" s="20">
        <v>0</v>
      </c>
      <c r="AS349" s="20">
        <v>10112</v>
      </c>
      <c r="AV349" s="20" t="s">
        <v>1174</v>
      </c>
      <c r="AX349" s="20">
        <v>62128510024</v>
      </c>
      <c r="AY349" s="20">
        <v>62035811024</v>
      </c>
      <c r="AZ349" s="20">
        <v>55187694024</v>
      </c>
      <c r="BA349" s="20" t="s">
        <v>1175</v>
      </c>
      <c r="BB349" s="20" t="s">
        <v>1176</v>
      </c>
      <c r="BC349" s="20" t="s">
        <v>1177</v>
      </c>
      <c r="BD349" s="20">
        <v>1</v>
      </c>
      <c r="BE349" s="20">
        <v>0</v>
      </c>
      <c r="BF349" s="20">
        <v>0</v>
      </c>
      <c r="BG349" s="20">
        <v>0</v>
      </c>
      <c r="BN349" s="20" t="s">
        <v>1178</v>
      </c>
      <c r="BV349" s="20">
        <v>0</v>
      </c>
      <c r="CL349" s="20">
        <v>0</v>
      </c>
      <c r="DD349" s="20" t="s">
        <v>1179</v>
      </c>
      <c r="DE349" s="20" t="s">
        <v>1179</v>
      </c>
      <c r="DI349" s="20">
        <v>0</v>
      </c>
      <c r="DP349" s="21" t="s">
        <v>1180</v>
      </c>
      <c r="DQ349" s="21">
        <f>PartsMaster!$A341</f>
        <v>0</v>
      </c>
      <c r="DR349" s="21" t="s">
        <v>1181</v>
      </c>
      <c r="DS349" s="21" t="str">
        <f>PartsMaster!$K342&amp;" "&amp;PartsMaster!L342&amp;" "&amp;PartsMaster!$M342</f>
        <v xml:space="preserve">Front  </v>
      </c>
    </row>
    <row r="350" spans="1:123" hidden="1" x14ac:dyDescent="0.25">
      <c r="A350" s="20" t="s">
        <v>1166</v>
      </c>
      <c r="B350" s="20" t="s">
        <v>1167</v>
      </c>
      <c r="C350" s="20" t="s">
        <v>1168</v>
      </c>
      <c r="D350" s="21" t="str">
        <f>PartsMaster!B342&amp;" "&amp;PartsMaster!$C342</f>
        <v xml:space="preserve">Jaguar XK8 XKR X100 Bumper Chrome </v>
      </c>
      <c r="E350" s="20">
        <v>3000</v>
      </c>
      <c r="F350" s="20" t="s">
        <v>1182</v>
      </c>
      <c r="H350" s="21">
        <f>PartsMaster!$Q342</f>
        <v>0</v>
      </c>
      <c r="I350" s="20">
        <v>9886</v>
      </c>
      <c r="K350" s="20">
        <v>0</v>
      </c>
      <c r="L350" s="20">
        <v>0</v>
      </c>
      <c r="M350" s="21">
        <f>PartsMaster!$D342</f>
        <v>0</v>
      </c>
      <c r="O350" s="20" t="s">
        <v>1169</v>
      </c>
      <c r="P350" s="23">
        <f>PartsMaster!$S342/1.45</f>
        <v>0</v>
      </c>
      <c r="S350" s="20">
        <v>30</v>
      </c>
      <c r="T350" s="20">
        <v>0</v>
      </c>
      <c r="U350" s="20" t="s">
        <v>1170</v>
      </c>
      <c r="Z350" s="26" t="str">
        <f>"&lt;P&gt;"&amp;PartsMaster!$I342&amp;" "&amp;PartsMaster!$H342&amp;"&lt;/P&gt;"&amp;"&lt;P&gt;Jaguar part name "&amp;PartsMaster!$E342&amp;"&lt;/P&gt;&lt;P&gt;Product numbers "&amp;PartsMaster!R342&amp;" "&amp;DQ350&amp;"&lt;/P&gt;&lt;P&gt;Fits starting from VIN/ModelYear "&amp;PartsMaster!$F342&amp;" until VIN/ModelYear "&amp;PartsMaster!$G342&amp;"&lt;/P&gt;&lt;P&gt;Condition: "&amp;PartsMaster!AB342&amp;"&lt;/P&gt;&lt;P&gt; (part source "&amp;PartsMaster!AD342&amp;")&lt;/P&gt;&lt;P&gt;Notes: "&amp;PartsMaster!AA342&amp;"&lt;/P&gt;"</f>
        <v>&lt;P&gt;Trim &lt;/P&gt;&lt;P&gt;Jaguar part name &lt;/P&gt;&lt;P&gt;Product numbers  0&lt;/P&gt;&lt;P&gt;Fits starting from VIN/ModelYear  until VIN/ModelYear &lt;/P&gt;&lt;P&gt;Condition: eBay&lt;/P&gt;&lt;P&gt; (part source )&lt;/P&gt;&lt;P&gt;Notes: &lt;/P&gt;</v>
      </c>
      <c r="AA350" s="20" t="s">
        <v>1171</v>
      </c>
      <c r="AC350" s="20">
        <v>0</v>
      </c>
      <c r="AD350" s="20">
        <v>0</v>
      </c>
      <c r="AE350" s="20" t="s">
        <v>1172</v>
      </c>
      <c r="AF350" s="20">
        <v>7</v>
      </c>
      <c r="AG350" s="20">
        <v>0</v>
      </c>
      <c r="AH350" s="20">
        <v>0</v>
      </c>
      <c r="AI350" s="20">
        <v>0</v>
      </c>
      <c r="AJ350" s="20">
        <v>0</v>
      </c>
      <c r="AK350" s="20">
        <v>0</v>
      </c>
      <c r="AO350" s="20" t="s">
        <v>1173</v>
      </c>
      <c r="AR350" s="20">
        <v>0</v>
      </c>
      <c r="AS350" s="20">
        <v>10112</v>
      </c>
      <c r="AV350" s="20" t="s">
        <v>1174</v>
      </c>
      <c r="AX350" s="20">
        <v>62128510024</v>
      </c>
      <c r="AY350" s="20">
        <v>62035811024</v>
      </c>
      <c r="AZ350" s="20">
        <v>55187694024</v>
      </c>
      <c r="BA350" s="20" t="s">
        <v>1175</v>
      </c>
      <c r="BB350" s="20" t="s">
        <v>1176</v>
      </c>
      <c r="BC350" s="20" t="s">
        <v>1177</v>
      </c>
      <c r="BD350" s="20">
        <v>1</v>
      </c>
      <c r="BE350" s="20">
        <v>0</v>
      </c>
      <c r="BF350" s="20">
        <v>0</v>
      </c>
      <c r="BG350" s="20">
        <v>0</v>
      </c>
      <c r="BN350" s="20" t="s">
        <v>1178</v>
      </c>
      <c r="BV350" s="20">
        <v>0</v>
      </c>
      <c r="CL350" s="20">
        <v>0</v>
      </c>
      <c r="DD350" s="20" t="s">
        <v>1179</v>
      </c>
      <c r="DE350" s="20" t="s">
        <v>1179</v>
      </c>
      <c r="DI350" s="20">
        <v>0</v>
      </c>
      <c r="DP350" s="21" t="s">
        <v>1180</v>
      </c>
      <c r="DQ350" s="21">
        <f>PartsMaster!$A342</f>
        <v>0</v>
      </c>
      <c r="DR350" s="21" t="s">
        <v>1181</v>
      </c>
      <c r="DS350" s="21" t="str">
        <f>PartsMaster!$K343&amp;" "&amp;PartsMaster!L343&amp;" "&amp;PartsMaster!$M343</f>
        <v xml:space="preserve">  </v>
      </c>
    </row>
    <row r="351" spans="1:123" hidden="1" x14ac:dyDescent="0.25">
      <c r="A351" s="20" t="s">
        <v>1166</v>
      </c>
      <c r="B351" s="20" t="s">
        <v>1167</v>
      </c>
      <c r="C351" s="20" t="s">
        <v>1168</v>
      </c>
      <c r="D351" s="21" t="str">
        <f>PartsMaster!B343&amp;" "&amp;PartsMaster!$C343</f>
        <v>Jaguar XK8 XKR X100 FILTER SERVICE KIT</v>
      </c>
      <c r="E351" s="20">
        <v>3000</v>
      </c>
      <c r="F351" s="20" t="s">
        <v>1182</v>
      </c>
      <c r="H351" s="21" t="str">
        <f>PartsMaster!$Q343</f>
        <v>FILTER SERVICE KIT</v>
      </c>
      <c r="I351" s="20">
        <v>9886</v>
      </c>
      <c r="K351" s="20">
        <v>0</v>
      </c>
      <c r="L351" s="20">
        <v>0</v>
      </c>
      <c r="M351" s="21">
        <f>PartsMaster!$D343</f>
        <v>0</v>
      </c>
      <c r="O351" s="20" t="s">
        <v>1169</v>
      </c>
      <c r="P351" s="23">
        <f>PartsMaster!$S343/1.45</f>
        <v>0</v>
      </c>
      <c r="S351" s="20">
        <v>30</v>
      </c>
      <c r="T351" s="20">
        <v>0</v>
      </c>
      <c r="U351" s="20" t="s">
        <v>1170</v>
      </c>
      <c r="Z351" s="26" t="str">
        <f>"&lt;P&gt;"&amp;PartsMaster!$I343&amp;" "&amp;PartsMaster!$H343&amp;"&lt;/P&gt;"&amp;"&lt;P&gt;Jaguar part name "&amp;PartsMaster!$E343&amp;"&lt;/P&gt;&lt;P&gt;Product numbers "&amp;PartsMaster!R343&amp;" "&amp;DQ351&amp;"&lt;/P&gt;&lt;P&gt;Fits starting from VIN/ModelYear "&amp;PartsMaster!$F343&amp;" until VIN/ModelYear "&amp;PartsMaster!$G343&amp;"&lt;/P&gt;&lt;P&gt;Condition: "&amp;PartsMaster!AB343&amp;"&lt;/P&gt;&lt;P&gt; (part source "&amp;PartsMaster!AD343&amp;")&lt;/P&gt;&lt;P&gt;Notes: "&amp;PartsMaster!AA343&amp;"&lt;/P&gt;"</f>
        <v>&lt;P&gt;Filtering Fluid / Oil&lt;/P&gt;&lt;P&gt;Jaguar part name &lt;/P&gt;&lt;P&gt;Product numbers ACC8070 0&lt;/P&gt;&lt;P&gt;Fits starting from VIN/ModelYear XK8 / XKR 4.0 V8 1996 
X308 XJ8 XJR 3.2 / 4.0 V8 1997  until VIN/ModelYear XK8 / XKR 4.0 V8 2002
X308 XJ8 XJR 3.2 / 4.0 V8 2002&lt;/P&gt;&lt;P&gt;Condition: British Parts&lt;/P&gt;&lt;P&gt; (part source )&lt;/P&gt;&lt;P&gt;Notes: &lt;/P&gt;</v>
      </c>
      <c r="AA351" s="20" t="s">
        <v>1171</v>
      </c>
      <c r="AC351" s="20">
        <v>0</v>
      </c>
      <c r="AD351" s="20">
        <v>0</v>
      </c>
      <c r="AE351" s="20" t="s">
        <v>1172</v>
      </c>
      <c r="AF351" s="20">
        <v>7</v>
      </c>
      <c r="AG351" s="20">
        <v>0</v>
      </c>
      <c r="AH351" s="20">
        <v>0</v>
      </c>
      <c r="AI351" s="20">
        <v>0</v>
      </c>
      <c r="AJ351" s="20">
        <v>0</v>
      </c>
      <c r="AK351" s="20">
        <v>0</v>
      </c>
      <c r="AO351" s="20" t="s">
        <v>1173</v>
      </c>
      <c r="AR351" s="20">
        <v>0</v>
      </c>
      <c r="AS351" s="20">
        <v>10112</v>
      </c>
      <c r="AV351" s="20" t="s">
        <v>1174</v>
      </c>
      <c r="AX351" s="20">
        <v>62128510024</v>
      </c>
      <c r="AY351" s="20">
        <v>62035811024</v>
      </c>
      <c r="AZ351" s="20">
        <v>55187694024</v>
      </c>
      <c r="BA351" s="20" t="s">
        <v>1175</v>
      </c>
      <c r="BB351" s="20" t="s">
        <v>1176</v>
      </c>
      <c r="BC351" s="20" t="s">
        <v>1177</v>
      </c>
      <c r="BD351" s="20">
        <v>1</v>
      </c>
      <c r="BE351" s="20">
        <v>0</v>
      </c>
      <c r="BF351" s="20">
        <v>0</v>
      </c>
      <c r="BG351" s="20">
        <v>0</v>
      </c>
      <c r="BN351" s="20" t="s">
        <v>1178</v>
      </c>
      <c r="BV351" s="20">
        <v>0</v>
      </c>
      <c r="CL351" s="20">
        <v>0</v>
      </c>
      <c r="DD351" s="20" t="s">
        <v>1179</v>
      </c>
      <c r="DE351" s="20" t="s">
        <v>1179</v>
      </c>
      <c r="DI351" s="20">
        <v>0</v>
      </c>
      <c r="DP351" s="21" t="s">
        <v>1180</v>
      </c>
      <c r="DQ351" s="21">
        <f>PartsMaster!$A343</f>
        <v>0</v>
      </c>
      <c r="DR351" s="21" t="s">
        <v>1181</v>
      </c>
      <c r="DS351" s="21" t="str">
        <f>PartsMaster!$K344&amp;" "&amp;PartsMaster!L344&amp;" "&amp;PartsMaster!$M344</f>
        <v>Front Center NA</v>
      </c>
    </row>
    <row r="352" spans="1:123" hidden="1" x14ac:dyDescent="0.25">
      <c r="A352" s="20" t="s">
        <v>1166</v>
      </c>
      <c r="B352" s="20" t="s">
        <v>1167</v>
      </c>
      <c r="C352" s="20" t="s">
        <v>1168</v>
      </c>
      <c r="D352" s="21" t="str">
        <f>PartsMaster!B344&amp;" "&amp;PartsMaster!$C344</f>
        <v>Jaguar XK8 XKR X100 Bumper Complete (Front Beam, Chrome and overriders + horns and mount brackets)</v>
      </c>
      <c r="E352" s="20">
        <v>3000</v>
      </c>
      <c r="F352" s="20" t="s">
        <v>1182</v>
      </c>
      <c r="H352" s="21">
        <f>PartsMaster!$Q344</f>
        <v>0</v>
      </c>
      <c r="I352" s="20">
        <v>9886</v>
      </c>
      <c r="K352" s="20">
        <v>0</v>
      </c>
      <c r="L352" s="20">
        <v>0</v>
      </c>
      <c r="M352" s="21">
        <f>PartsMaster!$D344</f>
        <v>1</v>
      </c>
      <c r="O352" s="20" t="s">
        <v>1169</v>
      </c>
      <c r="P352" s="23">
        <f>PartsMaster!$S344/1.45</f>
        <v>0</v>
      </c>
      <c r="S352" s="20">
        <v>30</v>
      </c>
      <c r="T352" s="20">
        <v>0</v>
      </c>
      <c r="U352" s="20" t="s">
        <v>1170</v>
      </c>
      <c r="Z352" s="26" t="str">
        <f>"&lt;P&gt;"&amp;PartsMaster!$I344&amp;" "&amp;PartsMaster!$H344&amp;"&lt;/P&gt;"&amp;"&lt;P&gt;Jaguar part name "&amp;PartsMaster!$E344&amp;"&lt;/P&gt;&lt;P&gt;Product numbers "&amp;PartsMaster!R344&amp;" "&amp;DQ352&amp;"&lt;/P&gt;&lt;P&gt;Fits starting from VIN/ModelYear "&amp;PartsMaster!$F344&amp;" until VIN/ModelYear "&amp;PartsMaster!$G344&amp;"&lt;/P&gt;&lt;P&gt;Condition: "&amp;PartsMaster!AB344&amp;"&lt;/P&gt;&lt;P&gt; (part source "&amp;PartsMaster!AD344&amp;")&lt;/P&gt;&lt;P&gt;Notes: "&amp;PartsMaster!AA344&amp;"&lt;/P&gt;"</f>
        <v>&lt;P&gt;Trim &lt;/P&gt;&lt;P&gt;Jaguar part name &lt;/P&gt;&lt;P&gt;Product numbers  0&lt;/P&gt;&lt;P&gt;Fits starting from VIN/ModelYear MY97 until VIN/ModelYear &lt;/P&gt;&lt;P&gt;Condition: Extra spare&lt;/P&gt;&lt;P&gt; (part source LT)&lt;/P&gt;&lt;P&gt;Notes: &lt;/P&gt;</v>
      </c>
      <c r="AA352" s="20" t="s">
        <v>1171</v>
      </c>
      <c r="AC352" s="20">
        <v>0</v>
      </c>
      <c r="AD352" s="20">
        <v>0</v>
      </c>
      <c r="AE352" s="20" t="s">
        <v>1172</v>
      </c>
      <c r="AF352" s="20">
        <v>7</v>
      </c>
      <c r="AG352" s="20">
        <v>0</v>
      </c>
      <c r="AH352" s="20">
        <v>0</v>
      </c>
      <c r="AI352" s="20">
        <v>0</v>
      </c>
      <c r="AJ352" s="20">
        <v>0</v>
      </c>
      <c r="AK352" s="20">
        <v>0</v>
      </c>
      <c r="AO352" s="20" t="s">
        <v>1173</v>
      </c>
      <c r="AR352" s="20">
        <v>0</v>
      </c>
      <c r="AS352" s="20">
        <v>10112</v>
      </c>
      <c r="AV352" s="20" t="s">
        <v>1174</v>
      </c>
      <c r="AX352" s="20">
        <v>62128510024</v>
      </c>
      <c r="AY352" s="20">
        <v>62035811024</v>
      </c>
      <c r="AZ352" s="20">
        <v>55187694024</v>
      </c>
      <c r="BA352" s="20" t="s">
        <v>1175</v>
      </c>
      <c r="BB352" s="20" t="s">
        <v>1176</v>
      </c>
      <c r="BC352" s="20" t="s">
        <v>1177</v>
      </c>
      <c r="BD352" s="20">
        <v>1</v>
      </c>
      <c r="BE352" s="20">
        <v>0</v>
      </c>
      <c r="BF352" s="20">
        <v>0</v>
      </c>
      <c r="BG352" s="20">
        <v>0</v>
      </c>
      <c r="BN352" s="20" t="s">
        <v>1178</v>
      </c>
      <c r="BV352" s="20">
        <v>0</v>
      </c>
      <c r="CL352" s="20">
        <v>0</v>
      </c>
      <c r="DD352" s="20" t="s">
        <v>1179</v>
      </c>
      <c r="DE352" s="20" t="s">
        <v>1179</v>
      </c>
      <c r="DI352" s="20">
        <v>0</v>
      </c>
      <c r="DP352" s="21" t="s">
        <v>1180</v>
      </c>
      <c r="DQ352" s="21">
        <f>PartsMaster!$A344</f>
        <v>0</v>
      </c>
      <c r="DR352" s="21" t="s">
        <v>1181</v>
      </c>
      <c r="DS352" s="21" t="str">
        <f>PartsMaster!$K345&amp;" "&amp;PartsMaster!L345&amp;" "&amp;PartsMaster!$M345</f>
        <v xml:space="preserve">Front  Left/Right </v>
      </c>
    </row>
    <row r="353" spans="1:123" hidden="1" x14ac:dyDescent="0.25">
      <c r="A353" s="20" t="s">
        <v>1166</v>
      </c>
      <c r="B353" s="20" t="s">
        <v>1167</v>
      </c>
      <c r="C353" s="20" t="s">
        <v>1168</v>
      </c>
      <c r="D353" s="21" t="str">
        <f>PartsMaster!B345&amp;" "&amp;PartsMaster!$C345</f>
        <v xml:space="preserve">Jaguar XK8 XKR X100 Bumper Overriders </v>
      </c>
      <c r="E353" s="20">
        <v>3000</v>
      </c>
      <c r="F353" s="20" t="s">
        <v>1182</v>
      </c>
      <c r="H353" s="21">
        <f>PartsMaster!$Q345</f>
        <v>0</v>
      </c>
      <c r="I353" s="20">
        <v>9886</v>
      </c>
      <c r="K353" s="20">
        <v>0</v>
      </c>
      <c r="L353" s="20">
        <v>0</v>
      </c>
      <c r="M353" s="21">
        <f>PartsMaster!$D345</f>
        <v>0</v>
      </c>
      <c r="O353" s="20" t="s">
        <v>1169</v>
      </c>
      <c r="P353" s="23">
        <f>PartsMaster!$S345/1.45</f>
        <v>0</v>
      </c>
      <c r="S353" s="20">
        <v>30</v>
      </c>
      <c r="T353" s="20">
        <v>0</v>
      </c>
      <c r="U353" s="20" t="s">
        <v>1170</v>
      </c>
      <c r="Z353" s="26" t="str">
        <f>"&lt;P&gt;"&amp;PartsMaster!$I345&amp;" "&amp;PartsMaster!$H345&amp;"&lt;/P&gt;"&amp;"&lt;P&gt;Jaguar part name "&amp;PartsMaster!$E345&amp;"&lt;/P&gt;&lt;P&gt;Product numbers "&amp;PartsMaster!R345&amp;" "&amp;DQ353&amp;"&lt;/P&gt;&lt;P&gt;Fits starting from VIN/ModelYear "&amp;PartsMaster!$F345&amp;" until VIN/ModelYear "&amp;PartsMaster!$G345&amp;"&lt;/P&gt;&lt;P&gt;Condition: "&amp;PartsMaster!AB345&amp;"&lt;/P&gt;&lt;P&gt; (part source "&amp;PartsMaster!AD345&amp;")&lt;/P&gt;&lt;P&gt;Notes: "&amp;PartsMaster!AA345&amp;"&lt;/P&gt;"</f>
        <v>&lt;P&gt;Trim &lt;/P&gt;&lt;P&gt;Jaguar part name &lt;/P&gt;&lt;P&gt;Product numbers  0&lt;/P&gt;&lt;P&gt;Fits starting from VIN/ModelYear  until VIN/ModelYear &lt;/P&gt;&lt;P&gt;Condition: eBay&lt;/P&gt;&lt;P&gt; (part source )&lt;/P&gt;&lt;P&gt;Notes: &lt;/P&gt;</v>
      </c>
      <c r="AA353" s="20" t="s">
        <v>1171</v>
      </c>
      <c r="AC353" s="20">
        <v>0</v>
      </c>
      <c r="AD353" s="20">
        <v>0</v>
      </c>
      <c r="AE353" s="20" t="s">
        <v>1172</v>
      </c>
      <c r="AF353" s="20">
        <v>7</v>
      </c>
      <c r="AG353" s="20">
        <v>0</v>
      </c>
      <c r="AH353" s="20">
        <v>0</v>
      </c>
      <c r="AI353" s="20">
        <v>0</v>
      </c>
      <c r="AJ353" s="20">
        <v>0</v>
      </c>
      <c r="AK353" s="20">
        <v>0</v>
      </c>
      <c r="AO353" s="20" t="s">
        <v>1173</v>
      </c>
      <c r="AR353" s="20">
        <v>0</v>
      </c>
      <c r="AS353" s="20">
        <v>10112</v>
      </c>
      <c r="AV353" s="20" t="s">
        <v>1174</v>
      </c>
      <c r="AX353" s="20">
        <v>62128510024</v>
      </c>
      <c r="AY353" s="20">
        <v>62035811024</v>
      </c>
      <c r="AZ353" s="20">
        <v>55187694024</v>
      </c>
      <c r="BA353" s="20" t="s">
        <v>1175</v>
      </c>
      <c r="BB353" s="20" t="s">
        <v>1176</v>
      </c>
      <c r="BC353" s="20" t="s">
        <v>1177</v>
      </c>
      <c r="BD353" s="20">
        <v>1</v>
      </c>
      <c r="BE353" s="20">
        <v>0</v>
      </c>
      <c r="BF353" s="20">
        <v>0</v>
      </c>
      <c r="BG353" s="20">
        <v>0</v>
      </c>
      <c r="BN353" s="20" t="s">
        <v>1178</v>
      </c>
      <c r="BV353" s="20">
        <v>0</v>
      </c>
      <c r="CL353" s="20">
        <v>0</v>
      </c>
      <c r="DD353" s="20" t="s">
        <v>1179</v>
      </c>
      <c r="DE353" s="20" t="s">
        <v>1179</v>
      </c>
      <c r="DI353" s="20">
        <v>0</v>
      </c>
      <c r="DP353" s="21" t="s">
        <v>1180</v>
      </c>
      <c r="DQ353" s="21">
        <f>PartsMaster!$A345</f>
        <v>0</v>
      </c>
      <c r="DR353" s="21" t="s">
        <v>1181</v>
      </c>
      <c r="DS353" s="21" t="str">
        <f>PartsMaster!$K346&amp;" "&amp;PartsMaster!L346&amp;" "&amp;PartsMaster!$M346</f>
        <v xml:space="preserve">  </v>
      </c>
    </row>
    <row r="354" spans="1:123" hidden="1" x14ac:dyDescent="0.25">
      <c r="A354" s="20" t="s">
        <v>1166</v>
      </c>
      <c r="B354" s="20" t="s">
        <v>1167</v>
      </c>
      <c r="C354" s="20" t="s">
        <v>1168</v>
      </c>
      <c r="D354" s="21" t="str">
        <f>PartsMaster!B346&amp;" "&amp;PartsMaster!$C346</f>
        <v>Jaguar XK8 XKR X100 Change Differential</v>
      </c>
      <c r="E354" s="20">
        <v>3000</v>
      </c>
      <c r="F354" s="20" t="s">
        <v>1182</v>
      </c>
      <c r="H354" s="21">
        <f>PartsMaster!$Q346</f>
        <v>0</v>
      </c>
      <c r="I354" s="20">
        <v>9886</v>
      </c>
      <c r="K354" s="20">
        <v>0</v>
      </c>
      <c r="L354" s="20">
        <v>0</v>
      </c>
      <c r="M354" s="21">
        <f>PartsMaster!$D346</f>
        <v>0</v>
      </c>
      <c r="O354" s="20" t="s">
        <v>1169</v>
      </c>
      <c r="P354" s="23">
        <f>PartsMaster!$S346/1.45</f>
        <v>0</v>
      </c>
      <c r="S354" s="20">
        <v>30</v>
      </c>
      <c r="T354" s="20">
        <v>0</v>
      </c>
      <c r="U354" s="20" t="s">
        <v>1170</v>
      </c>
      <c r="Z354" s="26" t="str">
        <f>"&lt;P&gt;"&amp;PartsMaster!$I346&amp;" "&amp;PartsMaster!$H346&amp;"&lt;/P&gt;"&amp;"&lt;P&gt;Jaguar part name "&amp;PartsMaster!$E346&amp;"&lt;/P&gt;&lt;P&gt;Product numbers "&amp;PartsMaster!R346&amp;" "&amp;DQ354&amp;"&lt;/P&gt;&lt;P&gt;Fits starting from VIN/ModelYear "&amp;PartsMaster!$F346&amp;" until VIN/ModelYear "&amp;PartsMaster!$G346&amp;"&lt;/P&gt;&lt;P&gt;Condition: "&amp;PartsMaster!AB346&amp;"&lt;/P&gt;&lt;P&gt; (part source "&amp;PartsMaster!AD346&amp;")&lt;/P&gt;&lt;P&gt;Notes: "&amp;PartsMaster!AA346&amp;"&lt;/P&gt;"</f>
        <v>&lt;P&gt; &lt;/P&gt;&lt;P&gt;Jaguar part name &lt;/P&gt;&lt;P&gt;Product numbers  0&lt;/P&gt;&lt;P&gt;Fits starting from VIN/ModelYear  until VIN/ModelYear &lt;/P&gt;&lt;P&gt;Condition: &lt;/P&gt;&lt;P&gt; (part source )&lt;/P&gt;&lt;P&gt;Notes: &lt;/P&gt;</v>
      </c>
      <c r="AA354" s="20" t="s">
        <v>1171</v>
      </c>
      <c r="AC354" s="20">
        <v>0</v>
      </c>
      <c r="AD354" s="20">
        <v>0</v>
      </c>
      <c r="AE354" s="20" t="s">
        <v>1172</v>
      </c>
      <c r="AF354" s="20">
        <v>7</v>
      </c>
      <c r="AG354" s="20">
        <v>0</v>
      </c>
      <c r="AH354" s="20">
        <v>0</v>
      </c>
      <c r="AI354" s="20">
        <v>0</v>
      </c>
      <c r="AJ354" s="20">
        <v>0</v>
      </c>
      <c r="AK354" s="20">
        <v>0</v>
      </c>
      <c r="AO354" s="20" t="s">
        <v>1173</v>
      </c>
      <c r="AR354" s="20">
        <v>0</v>
      </c>
      <c r="AS354" s="20">
        <v>10112</v>
      </c>
      <c r="AV354" s="20" t="s">
        <v>1174</v>
      </c>
      <c r="AX354" s="20">
        <v>62128510024</v>
      </c>
      <c r="AY354" s="20">
        <v>62035811024</v>
      </c>
      <c r="AZ354" s="20">
        <v>55187694024</v>
      </c>
      <c r="BA354" s="20" t="s">
        <v>1175</v>
      </c>
      <c r="BB354" s="20" t="s">
        <v>1176</v>
      </c>
      <c r="BC354" s="20" t="s">
        <v>1177</v>
      </c>
      <c r="BD354" s="20">
        <v>1</v>
      </c>
      <c r="BE354" s="20">
        <v>0</v>
      </c>
      <c r="BF354" s="20">
        <v>0</v>
      </c>
      <c r="BG354" s="20">
        <v>0</v>
      </c>
      <c r="BN354" s="20" t="s">
        <v>1178</v>
      </c>
      <c r="BV354" s="20">
        <v>0</v>
      </c>
      <c r="CL354" s="20">
        <v>0</v>
      </c>
      <c r="DD354" s="20" t="s">
        <v>1179</v>
      </c>
      <c r="DE354" s="20" t="s">
        <v>1179</v>
      </c>
      <c r="DI354" s="20">
        <v>0</v>
      </c>
      <c r="DP354" s="21" t="s">
        <v>1180</v>
      </c>
      <c r="DQ354" s="21">
        <f>PartsMaster!$A346</f>
        <v>0</v>
      </c>
      <c r="DR354" s="21" t="s">
        <v>1181</v>
      </c>
      <c r="DS354" s="21" t="str">
        <f>PartsMaster!$K347&amp;" "&amp;PartsMaster!L347&amp;" "&amp;PartsMaster!$M347</f>
        <v xml:space="preserve">  </v>
      </c>
    </row>
    <row r="355" spans="1:123" hidden="1" x14ac:dyDescent="0.25">
      <c r="A355" s="20" t="s">
        <v>1166</v>
      </c>
      <c r="B355" s="20" t="s">
        <v>1167</v>
      </c>
      <c r="C355" s="20" t="s">
        <v>1168</v>
      </c>
      <c r="D355" s="21" t="str">
        <f>PartsMaster!B347&amp;" "&amp;PartsMaster!$C347</f>
        <v>Jaguar XK8 XKR X100 Change Fluid Brake</v>
      </c>
      <c r="E355" s="20">
        <v>3000</v>
      </c>
      <c r="F355" s="20" t="s">
        <v>1182</v>
      </c>
      <c r="H355" s="21">
        <f>PartsMaster!$Q347</f>
        <v>0</v>
      </c>
      <c r="I355" s="20">
        <v>9886</v>
      </c>
      <c r="K355" s="20">
        <v>0</v>
      </c>
      <c r="L355" s="20">
        <v>0</v>
      </c>
      <c r="M355" s="21">
        <f>PartsMaster!$D347</f>
        <v>0</v>
      </c>
      <c r="O355" s="20" t="s">
        <v>1169</v>
      </c>
      <c r="P355" s="23">
        <f>PartsMaster!$S347/1.45</f>
        <v>0</v>
      </c>
      <c r="S355" s="20">
        <v>30</v>
      </c>
      <c r="T355" s="20">
        <v>0</v>
      </c>
      <c r="U355" s="20" t="s">
        <v>1170</v>
      </c>
      <c r="Z355" s="26" t="str">
        <f>"&lt;P&gt;"&amp;PartsMaster!$I347&amp;" "&amp;PartsMaster!$H347&amp;"&lt;/P&gt;"&amp;"&lt;P&gt;Jaguar part name "&amp;PartsMaster!$E347&amp;"&lt;/P&gt;&lt;P&gt;Product numbers "&amp;PartsMaster!R347&amp;" "&amp;DQ355&amp;"&lt;/P&gt;&lt;P&gt;Fits starting from VIN/ModelYear "&amp;PartsMaster!$F347&amp;" until VIN/ModelYear "&amp;PartsMaster!$G347&amp;"&lt;/P&gt;&lt;P&gt;Condition: "&amp;PartsMaster!AB347&amp;"&lt;/P&gt;&lt;P&gt; (part source "&amp;PartsMaster!AD347&amp;")&lt;/P&gt;&lt;P&gt;Notes: "&amp;PartsMaster!AA347&amp;"&lt;/P&gt;"</f>
        <v>&lt;P&gt; &lt;/P&gt;&lt;P&gt;Jaguar part name &lt;/P&gt;&lt;P&gt;Product numbers  0&lt;/P&gt;&lt;P&gt;Fits starting from VIN/ModelYear  until VIN/ModelYear &lt;/P&gt;&lt;P&gt;Condition: &lt;/P&gt;&lt;P&gt; (part source )&lt;/P&gt;&lt;P&gt;Notes: &lt;/P&gt;</v>
      </c>
      <c r="AA355" s="20" t="s">
        <v>1171</v>
      </c>
      <c r="AC355" s="20">
        <v>0</v>
      </c>
      <c r="AD355" s="20">
        <v>0</v>
      </c>
      <c r="AE355" s="20" t="s">
        <v>1172</v>
      </c>
      <c r="AF355" s="20">
        <v>7</v>
      </c>
      <c r="AG355" s="20">
        <v>0</v>
      </c>
      <c r="AH355" s="20">
        <v>0</v>
      </c>
      <c r="AI355" s="20">
        <v>0</v>
      </c>
      <c r="AJ355" s="20">
        <v>0</v>
      </c>
      <c r="AK355" s="20">
        <v>0</v>
      </c>
      <c r="AO355" s="20" t="s">
        <v>1173</v>
      </c>
      <c r="AR355" s="20">
        <v>0</v>
      </c>
      <c r="AS355" s="20">
        <v>10112</v>
      </c>
      <c r="AV355" s="20" t="s">
        <v>1174</v>
      </c>
      <c r="AX355" s="20">
        <v>62128510024</v>
      </c>
      <c r="AY355" s="20">
        <v>62035811024</v>
      </c>
      <c r="AZ355" s="20">
        <v>55187694024</v>
      </c>
      <c r="BA355" s="20" t="s">
        <v>1175</v>
      </c>
      <c r="BB355" s="20" t="s">
        <v>1176</v>
      </c>
      <c r="BC355" s="20" t="s">
        <v>1177</v>
      </c>
      <c r="BD355" s="20">
        <v>1</v>
      </c>
      <c r="BE355" s="20">
        <v>0</v>
      </c>
      <c r="BF355" s="20">
        <v>0</v>
      </c>
      <c r="BG355" s="20">
        <v>0</v>
      </c>
      <c r="BN355" s="20" t="s">
        <v>1178</v>
      </c>
      <c r="BV355" s="20">
        <v>0</v>
      </c>
      <c r="CL355" s="20">
        <v>0</v>
      </c>
      <c r="DD355" s="20" t="s">
        <v>1179</v>
      </c>
      <c r="DE355" s="20" t="s">
        <v>1179</v>
      </c>
      <c r="DI355" s="20">
        <v>0</v>
      </c>
      <c r="DP355" s="21" t="s">
        <v>1180</v>
      </c>
      <c r="DQ355" s="21">
        <f>PartsMaster!$A347</f>
        <v>0</v>
      </c>
      <c r="DR355" s="21" t="s">
        <v>1181</v>
      </c>
      <c r="DS355" s="21" t="str">
        <f>PartsMaster!$K348&amp;" "&amp;PartsMaster!L348&amp;" "&amp;PartsMaster!$M348</f>
        <v xml:space="preserve">  </v>
      </c>
    </row>
    <row r="356" spans="1:123" ht="30" hidden="1" x14ac:dyDescent="0.25">
      <c r="A356" s="20" t="s">
        <v>1166</v>
      </c>
      <c r="B356" s="20" t="s">
        <v>1167</v>
      </c>
      <c r="C356" s="20" t="s">
        <v>1168</v>
      </c>
      <c r="D356" s="21" t="str">
        <f>PartsMaster!B84&amp;" "&amp;PartsMaster!$C84</f>
        <v>Jaguar XK8 XKR X100 Seat Cover Plate - Screw Cover</v>
      </c>
      <c r="E356" s="20">
        <v>3000</v>
      </c>
      <c r="F356" s="20" t="s">
        <v>1182</v>
      </c>
      <c r="H356" s="21">
        <f>PartsMaster!$Q84</f>
        <v>0</v>
      </c>
      <c r="I356" s="20">
        <v>9886</v>
      </c>
      <c r="K356" s="20">
        <v>0</v>
      </c>
      <c r="L356" s="20">
        <v>0</v>
      </c>
      <c r="M356" s="21">
        <f>PartsMaster!$D84</f>
        <v>0</v>
      </c>
      <c r="O356" s="20" t="s">
        <v>1169</v>
      </c>
      <c r="P356" s="23">
        <f>PartsMaster!$S84/1.45</f>
        <v>0</v>
      </c>
      <c r="S356" s="20">
        <v>30</v>
      </c>
      <c r="T356" s="20">
        <v>0</v>
      </c>
      <c r="U356" s="20" t="s">
        <v>1170</v>
      </c>
      <c r="Z356" s="26" t="str">
        <f>"&lt;P&gt;"&amp;PartsMaster!$I84&amp;" "&amp;PartsMaster!$H84&amp;"&lt;/P&gt;"&amp;"&lt;P&gt;Jaguar part name "&amp;PartsMaster!$E84&amp;"&lt;/P&gt;&lt;P&gt;Product numbers "&amp;PartsMaster!R84&amp;" "&amp;DQ356&amp;"&lt;/P&gt;&lt;P&gt;Fits starting from VIN/ModelYear "&amp;PartsMaster!$F84&amp;" until VIN/ModelYear "&amp;PartsMaster!$G84&amp;"&lt;/P&gt;&lt;P&gt;Condition: "&amp;PartsMaster!AB84&amp;"&lt;/P&gt;&lt;P&gt; (part source "&amp;PartsMaster!AD84&amp;")&lt;/P&gt;&lt;P&gt;Notes: "&amp;PartsMaster!AA84&amp;"&lt;/P&gt;"</f>
        <v>&lt;P&gt;Cap / Cover Cap / Cover / Trim&lt;/P&gt;&lt;P&gt;Jaguar part name &lt;/P&gt;&lt;P&gt;Product numbers GJA4742AA/SDC
GJA4742AASDC GJA4742AA/SDC
GJA4742AASDC&lt;/P&gt;&lt;P&gt;Fits starting from VIN/ModelYear  until VIN/ModelYear &lt;/P&gt;&lt;P&gt;Condition: XKs.com&lt;/P&gt;&lt;P&gt; (part source )&lt;/P&gt;&lt;P&gt;Notes: &lt;/P&gt;</v>
      </c>
      <c r="AA356" s="20" t="s">
        <v>1171</v>
      </c>
      <c r="AC356" s="20">
        <v>0</v>
      </c>
      <c r="AD356" s="20">
        <v>0</v>
      </c>
      <c r="AE356" s="20" t="s">
        <v>1172</v>
      </c>
      <c r="AF356" s="20">
        <v>7</v>
      </c>
      <c r="AG356" s="20">
        <v>0</v>
      </c>
      <c r="AH356" s="20">
        <v>0</v>
      </c>
      <c r="AI356" s="20">
        <v>0</v>
      </c>
      <c r="AJ356" s="20">
        <v>0</v>
      </c>
      <c r="AK356" s="20">
        <v>0</v>
      </c>
      <c r="AO356" s="20" t="s">
        <v>1173</v>
      </c>
      <c r="AR356" s="20">
        <v>0</v>
      </c>
      <c r="AS356" s="20">
        <v>10112</v>
      </c>
      <c r="AV356" s="20" t="s">
        <v>1174</v>
      </c>
      <c r="AX356" s="20">
        <v>62128510024</v>
      </c>
      <c r="AY356" s="20">
        <v>62035811024</v>
      </c>
      <c r="AZ356" s="20">
        <v>55187694024</v>
      </c>
      <c r="BA356" s="20" t="s">
        <v>1175</v>
      </c>
      <c r="BB356" s="20" t="s">
        <v>1176</v>
      </c>
      <c r="BC356" s="20" t="s">
        <v>1177</v>
      </c>
      <c r="BD356" s="20">
        <v>1</v>
      </c>
      <c r="BE356" s="20">
        <v>0</v>
      </c>
      <c r="BF356" s="20">
        <v>0</v>
      </c>
      <c r="BG356" s="20">
        <v>0</v>
      </c>
      <c r="BN356" s="20" t="s">
        <v>1178</v>
      </c>
      <c r="BV356" s="20">
        <v>0</v>
      </c>
      <c r="CL356" s="20">
        <v>0</v>
      </c>
      <c r="DD356" s="20" t="s">
        <v>1179</v>
      </c>
      <c r="DE356" s="20" t="s">
        <v>1179</v>
      </c>
      <c r="DI356" s="20">
        <v>0</v>
      </c>
      <c r="DP356" s="21" t="s">
        <v>1180</v>
      </c>
      <c r="DQ356" s="21" t="str">
        <f>PartsMaster!$A84</f>
        <v>GJA4742AA/SDC
GJA4742AASDC</v>
      </c>
      <c r="DR356" s="21" t="s">
        <v>1181</v>
      </c>
      <c r="DS356" s="21" t="str">
        <f>PartsMaster!$K85&amp;" "&amp;PartsMaster!L85&amp;" "&amp;PartsMaster!$M85</f>
        <v xml:space="preserve">Front Left </v>
      </c>
    </row>
    <row r="357" spans="1:123" ht="30" hidden="1" x14ac:dyDescent="0.25">
      <c r="A357" s="20" t="s">
        <v>1166</v>
      </c>
      <c r="B357" s="20" t="s">
        <v>1167</v>
      </c>
      <c r="C357" s="20" t="s">
        <v>1168</v>
      </c>
      <c r="D357" s="21" t="str">
        <f>PartsMaster!B85&amp;" "&amp;PartsMaster!$C85</f>
        <v>Jaguar XK8 XKR X100 Facia vent</v>
      </c>
      <c r="E357" s="20">
        <v>3000</v>
      </c>
      <c r="F357" s="20" t="s">
        <v>1182</v>
      </c>
      <c r="H357" s="21" t="str">
        <f>PartsMaster!$Q85</f>
        <v>Facia vent</v>
      </c>
      <c r="I357" s="20">
        <v>9886</v>
      </c>
      <c r="K357" s="20">
        <v>0</v>
      </c>
      <c r="L357" s="20">
        <v>0</v>
      </c>
      <c r="M357" s="21">
        <f>PartsMaster!$D85</f>
        <v>1</v>
      </c>
      <c r="O357" s="20" t="s">
        <v>1169</v>
      </c>
      <c r="P357" s="23">
        <f>PartsMaster!$S85/1.45</f>
        <v>0</v>
      </c>
      <c r="S357" s="20">
        <v>30</v>
      </c>
      <c r="T357" s="20">
        <v>0</v>
      </c>
      <c r="U357" s="20" t="s">
        <v>1170</v>
      </c>
      <c r="Z357" s="26" t="str">
        <f>"&lt;P&gt;"&amp;PartsMaster!$I85&amp;" "&amp;PartsMaster!$H85&amp;"&lt;/P&gt;"&amp;"&lt;P&gt;Jaguar part name "&amp;PartsMaster!$E85&amp;"&lt;/P&gt;&lt;P&gt;Product numbers "&amp;PartsMaster!R85&amp;" "&amp;DQ357&amp;"&lt;/P&gt;&lt;P&gt;Fits starting from VIN/ModelYear "&amp;PartsMaster!$F85&amp;" until VIN/ModelYear "&amp;PartsMaster!$G85&amp;"&lt;/P&gt;&lt;P&gt;Condition: "&amp;PartsMaster!AB85&amp;"&lt;/P&gt;&lt;P&gt; (part source "&amp;PartsMaster!AD85&amp;")&lt;/P&gt;&lt;P&gt;Notes: "&amp;PartsMaster!AA85&amp;"&lt;/P&gt;"</f>
        <v>&lt;P&gt;Air conditioning Vent&lt;/P&gt;&lt;P&gt;Jaguar part name INTERIOR TRIMS AND LININGS/FACIA - Facia vent&lt;/P&gt;&lt;P&gt;Product numbers GJA6720AD GJA6720AD&lt;/P&gt;&lt;P&gt;Fits starting from VIN/ModelYear MY1996 until VIN/ModelYear 014668&lt;/P&gt;&lt;P&gt;Condition: Dismantled from bottom &amp; engine damaged MY1997 XK8 Convertible VIN 0136xx&lt;/P&gt;&lt;P&gt; (part source KK)&lt;/P&gt;&lt;P&gt;Notes: &lt;/P&gt;</v>
      </c>
      <c r="AA357" s="20" t="s">
        <v>1171</v>
      </c>
      <c r="AC357" s="20">
        <v>0</v>
      </c>
      <c r="AD357" s="20">
        <v>0</v>
      </c>
      <c r="AE357" s="20" t="s">
        <v>1172</v>
      </c>
      <c r="AF357" s="20">
        <v>7</v>
      </c>
      <c r="AG357" s="20">
        <v>0</v>
      </c>
      <c r="AH357" s="20">
        <v>0</v>
      </c>
      <c r="AI357" s="20">
        <v>0</v>
      </c>
      <c r="AJ357" s="20">
        <v>0</v>
      </c>
      <c r="AK357" s="20">
        <v>0</v>
      </c>
      <c r="AO357" s="20" t="s">
        <v>1173</v>
      </c>
      <c r="AR357" s="20">
        <v>0</v>
      </c>
      <c r="AS357" s="20">
        <v>10112</v>
      </c>
      <c r="AV357" s="20" t="s">
        <v>1174</v>
      </c>
      <c r="AX357" s="20">
        <v>62128510024</v>
      </c>
      <c r="AY357" s="20">
        <v>62035811024</v>
      </c>
      <c r="AZ357" s="20">
        <v>55187694024</v>
      </c>
      <c r="BA357" s="20" t="s">
        <v>1175</v>
      </c>
      <c r="BB357" s="20" t="s">
        <v>1176</v>
      </c>
      <c r="BC357" s="20" t="s">
        <v>1177</v>
      </c>
      <c r="BD357" s="20">
        <v>1</v>
      </c>
      <c r="BE357" s="20">
        <v>0</v>
      </c>
      <c r="BF357" s="20">
        <v>0</v>
      </c>
      <c r="BG357" s="20">
        <v>0</v>
      </c>
      <c r="BN357" s="20" t="s">
        <v>1178</v>
      </c>
      <c r="BV357" s="20">
        <v>0</v>
      </c>
      <c r="CL357" s="20">
        <v>0</v>
      </c>
      <c r="DD357" s="20" t="s">
        <v>1179</v>
      </c>
      <c r="DE357" s="20" t="s">
        <v>1179</v>
      </c>
      <c r="DI357" s="20">
        <v>0</v>
      </c>
      <c r="DP357" s="21" t="s">
        <v>1180</v>
      </c>
      <c r="DQ357" s="21" t="str">
        <f>PartsMaster!$A85</f>
        <v>GJA6720AD</v>
      </c>
      <c r="DR357" s="21" t="s">
        <v>1181</v>
      </c>
      <c r="DS357" s="21" t="str">
        <f>PartsMaster!$K86&amp;" "&amp;PartsMaster!L86&amp;" "&amp;PartsMaster!$M86</f>
        <v xml:space="preserve">Front Right </v>
      </c>
    </row>
    <row r="358" spans="1:123" x14ac:dyDescent="0.25">
      <c r="A358" s="20" t="s">
        <v>1166</v>
      </c>
      <c r="B358" s="20" t="s">
        <v>1167</v>
      </c>
      <c r="C358" s="20" t="s">
        <v>1168</v>
      </c>
      <c r="D358" s="21" t="str">
        <f>PartsMaster!B352&amp;" "&amp;PartsMaster!$C352</f>
        <v>Jaguar XK8 XKR X100 Fuel Filter O-Ring</v>
      </c>
      <c r="E358" s="20">
        <v>3000</v>
      </c>
      <c r="F358" s="20" t="s">
        <v>1182</v>
      </c>
      <c r="H358" s="21">
        <f>PartsMaster!$Q352</f>
        <v>0</v>
      </c>
      <c r="I358" s="20">
        <v>9886</v>
      </c>
      <c r="K358" s="20">
        <v>0</v>
      </c>
      <c r="L358" s="20">
        <v>0</v>
      </c>
      <c r="M358" s="21">
        <f>PartsMaster!$D352</f>
        <v>0</v>
      </c>
      <c r="O358" s="20" t="s">
        <v>1169</v>
      </c>
      <c r="P358" s="23">
        <f>PartsMaster!$S352/1.45</f>
        <v>0</v>
      </c>
      <c r="S358" s="20">
        <v>30</v>
      </c>
      <c r="T358" s="20">
        <v>0</v>
      </c>
      <c r="U358" s="20" t="s">
        <v>1170</v>
      </c>
      <c r="Z358" s="26" t="str">
        <f>"&lt;P&gt;"&amp;PartsMaster!$I352&amp;" "&amp;PartsMaster!$H352&amp;"&lt;/P&gt;"&amp;"&lt;P&gt;Jaguar part name "&amp;PartsMaster!$E352&amp;"&lt;/P&gt;&lt;P&gt;Product numbers "&amp;PartsMaster!R352&amp;" "&amp;DQ358&amp;"&lt;/P&gt;&lt;P&gt;Fits starting from VIN/ModelYear "&amp;PartsMaster!$F352&amp;" until VIN/ModelYear "&amp;PartsMaster!$G352&amp;"&lt;/P&gt;&lt;P&gt;Condition: "&amp;PartsMaster!AB352&amp;"&lt;/P&gt;&lt;P&gt; (part source "&amp;PartsMaster!AD352&amp;")&lt;/P&gt;&lt;P&gt;Notes: "&amp;PartsMaster!AA352&amp;"&lt;/P&gt;"</f>
        <v>&lt;P&gt;Fuel System Gasket / Seal / O-Ring&lt;/P&gt;&lt;P&gt;Jaguar part name &lt;/P&gt;&lt;P&gt;Product numbers ESR259 0&lt;/P&gt;&lt;P&gt;Fits starting from VIN/ModelYear  until VIN/ModelYear &lt;/P&gt;&lt;P&gt;Condition: &lt;/P&gt;&lt;P&gt; (part source )&lt;/P&gt;&lt;P&gt;Notes: &lt;/P&gt;</v>
      </c>
      <c r="AA358" s="20" t="s">
        <v>1171</v>
      </c>
      <c r="AC358" s="20">
        <v>0</v>
      </c>
      <c r="AD358" s="20">
        <v>0</v>
      </c>
      <c r="AE358" s="20" t="s">
        <v>1172</v>
      </c>
      <c r="AF358" s="20">
        <v>7</v>
      </c>
      <c r="AG358" s="20">
        <v>0</v>
      </c>
      <c r="AH358" s="20">
        <v>0</v>
      </c>
      <c r="AI358" s="20">
        <v>0</v>
      </c>
      <c r="AJ358" s="20">
        <v>0</v>
      </c>
      <c r="AK358" s="20">
        <v>0</v>
      </c>
      <c r="AO358" s="20" t="s">
        <v>1173</v>
      </c>
      <c r="AR358" s="20">
        <v>0</v>
      </c>
      <c r="AS358" s="20">
        <v>10112</v>
      </c>
      <c r="AV358" s="20" t="s">
        <v>1174</v>
      </c>
      <c r="AX358" s="20">
        <v>62128510024</v>
      </c>
      <c r="AY358" s="20">
        <v>62035811024</v>
      </c>
      <c r="AZ358" s="20">
        <v>55187694024</v>
      </c>
      <c r="BA358" s="20" t="s">
        <v>1175</v>
      </c>
      <c r="BB358" s="20" t="s">
        <v>1176</v>
      </c>
      <c r="BC358" s="20" t="s">
        <v>1177</v>
      </c>
      <c r="BD358" s="20">
        <v>1</v>
      </c>
      <c r="BE358" s="20">
        <v>0</v>
      </c>
      <c r="BF358" s="20">
        <v>0</v>
      </c>
      <c r="BG358" s="20">
        <v>0</v>
      </c>
      <c r="BN358" s="20" t="s">
        <v>1178</v>
      </c>
      <c r="BV358" s="20">
        <v>0</v>
      </c>
      <c r="CL358" s="20">
        <v>0</v>
      </c>
      <c r="DD358" s="20" t="s">
        <v>1179</v>
      </c>
      <c r="DE358" s="20" t="s">
        <v>1179</v>
      </c>
      <c r="DI358" s="20">
        <v>0</v>
      </c>
      <c r="DP358" s="21" t="s">
        <v>1180</v>
      </c>
      <c r="DQ358" s="21">
        <f>PartsMaster!$A352</f>
        <v>0</v>
      </c>
      <c r="DR358" s="21" t="s">
        <v>1181</v>
      </c>
      <c r="DS358" s="21" t="str">
        <f>PartsMaster!$K353&amp;" "&amp;PartsMaster!L353&amp;" "&amp;PartsMaster!$M353</f>
        <v xml:space="preserve">  </v>
      </c>
    </row>
    <row r="359" spans="1:123" x14ac:dyDescent="0.25">
      <c r="A359" s="20" t="s">
        <v>1166</v>
      </c>
      <c r="B359" s="20" t="s">
        <v>1167</v>
      </c>
      <c r="C359" s="20" t="s">
        <v>1168</v>
      </c>
      <c r="D359" s="21" t="str">
        <f>PartsMaster!B350&amp;" "&amp;PartsMaster!$C350</f>
        <v>Jaguar XK8 XKR X100 Fluid Brake</v>
      </c>
      <c r="E359" s="20">
        <v>3000</v>
      </c>
      <c r="F359" s="20" t="s">
        <v>1182</v>
      </c>
      <c r="H359" s="21">
        <f>PartsMaster!$Q350</f>
        <v>0</v>
      </c>
      <c r="I359" s="20">
        <v>9886</v>
      </c>
      <c r="K359" s="20">
        <v>0</v>
      </c>
      <c r="L359" s="20">
        <v>0</v>
      </c>
      <c r="M359" s="21">
        <f>PartsMaster!$D350</f>
        <v>0</v>
      </c>
      <c r="O359" s="20" t="s">
        <v>1169</v>
      </c>
      <c r="P359" s="23">
        <f>PartsMaster!$S350/1.45</f>
        <v>0</v>
      </c>
      <c r="S359" s="20">
        <v>30</v>
      </c>
      <c r="T359" s="20">
        <v>0</v>
      </c>
      <c r="U359" s="20" t="s">
        <v>1170</v>
      </c>
      <c r="Z359" s="26" t="str">
        <f>"&lt;P&gt;"&amp;PartsMaster!$I350&amp;" "&amp;PartsMaster!$H350&amp;"&lt;/P&gt;"&amp;"&lt;P&gt;Jaguar part name "&amp;PartsMaster!$E350&amp;"&lt;/P&gt;&lt;P&gt;Product numbers "&amp;PartsMaster!R350&amp;" "&amp;DQ359&amp;"&lt;/P&gt;&lt;P&gt;Fits starting from VIN/ModelYear "&amp;PartsMaster!$F350&amp;" until VIN/ModelYear "&amp;PartsMaster!$G350&amp;"&lt;/P&gt;&lt;P&gt;Condition: "&amp;PartsMaster!AB350&amp;"&lt;/P&gt;&lt;P&gt; (part source "&amp;PartsMaster!AD350&amp;")&lt;/P&gt;&lt;P&gt;Notes: "&amp;PartsMaster!AA350&amp;"&lt;/P&gt;"</f>
        <v>&lt;P&gt;Brakes Fluid / Oil&lt;/P&gt;&lt;P&gt;Jaguar part name &lt;/P&gt;&lt;P&gt;Product numbers SIJ500030 0&lt;/P&gt;&lt;P&gt;Fits starting from VIN/ModelYear  until VIN/ModelYear &lt;/P&gt;&lt;P&gt;Condition: British Parts&lt;/P&gt;&lt;P&gt; (part source )&lt;/P&gt;&lt;P&gt;Notes: &lt;/P&gt;</v>
      </c>
      <c r="AA359" s="20" t="s">
        <v>1171</v>
      </c>
      <c r="AC359" s="20">
        <v>0</v>
      </c>
      <c r="AD359" s="20">
        <v>0</v>
      </c>
      <c r="AE359" s="20" t="s">
        <v>1172</v>
      </c>
      <c r="AF359" s="20">
        <v>7</v>
      </c>
      <c r="AG359" s="20">
        <v>0</v>
      </c>
      <c r="AH359" s="20">
        <v>0</v>
      </c>
      <c r="AI359" s="20">
        <v>0</v>
      </c>
      <c r="AJ359" s="20">
        <v>0</v>
      </c>
      <c r="AK359" s="20">
        <v>0</v>
      </c>
      <c r="AO359" s="20" t="s">
        <v>1173</v>
      </c>
      <c r="AR359" s="20">
        <v>0</v>
      </c>
      <c r="AS359" s="20">
        <v>10112</v>
      </c>
      <c r="AV359" s="20" t="s">
        <v>1174</v>
      </c>
      <c r="AX359" s="20">
        <v>62128510024</v>
      </c>
      <c r="AY359" s="20">
        <v>62035811024</v>
      </c>
      <c r="AZ359" s="20">
        <v>55187694024</v>
      </c>
      <c r="BA359" s="20" t="s">
        <v>1175</v>
      </c>
      <c r="BB359" s="20" t="s">
        <v>1176</v>
      </c>
      <c r="BC359" s="20" t="s">
        <v>1177</v>
      </c>
      <c r="BD359" s="20">
        <v>1</v>
      </c>
      <c r="BE359" s="20">
        <v>0</v>
      </c>
      <c r="BF359" s="20">
        <v>0</v>
      </c>
      <c r="BG359" s="20">
        <v>0</v>
      </c>
      <c r="BN359" s="20" t="s">
        <v>1178</v>
      </c>
      <c r="BV359" s="20">
        <v>0</v>
      </c>
      <c r="CL359" s="20">
        <v>0</v>
      </c>
      <c r="DD359" s="20" t="s">
        <v>1179</v>
      </c>
      <c r="DE359" s="20" t="s">
        <v>1179</v>
      </c>
      <c r="DI359" s="20">
        <v>0</v>
      </c>
      <c r="DP359" s="21" t="s">
        <v>1180</v>
      </c>
      <c r="DQ359" s="21">
        <f>PartsMaster!$A350</f>
        <v>0</v>
      </c>
      <c r="DR359" s="21" t="s">
        <v>1181</v>
      </c>
      <c r="DS359" s="21" t="str">
        <f>PartsMaster!$K351&amp;" "&amp;PartsMaster!L351&amp;" "&amp;PartsMaster!$M351</f>
        <v xml:space="preserve">  </v>
      </c>
    </row>
    <row r="360" spans="1:123" x14ac:dyDescent="0.25">
      <c r="A360" s="20" t="s">
        <v>1166</v>
      </c>
      <c r="B360" s="20" t="s">
        <v>1167</v>
      </c>
      <c r="C360" s="20" t="s">
        <v>1168</v>
      </c>
      <c r="D360" s="21" t="str">
        <f>PartsMaster!B351&amp;" "&amp;PartsMaster!$C351</f>
        <v>Jaguar XK8 XKR X100 Fluid Coolant</v>
      </c>
      <c r="E360" s="20">
        <v>3000</v>
      </c>
      <c r="F360" s="20" t="s">
        <v>1182</v>
      </c>
      <c r="H360" s="21">
        <f>PartsMaster!$Q351</f>
        <v>0</v>
      </c>
      <c r="I360" s="20">
        <v>9886</v>
      </c>
      <c r="K360" s="20">
        <v>0</v>
      </c>
      <c r="L360" s="20">
        <v>0</v>
      </c>
      <c r="M360" s="21">
        <f>PartsMaster!$D351</f>
        <v>0</v>
      </c>
      <c r="O360" s="20" t="s">
        <v>1169</v>
      </c>
      <c r="P360" s="23">
        <f>PartsMaster!$S351/1.45</f>
        <v>0</v>
      </c>
      <c r="S360" s="20">
        <v>30</v>
      </c>
      <c r="T360" s="20">
        <v>0</v>
      </c>
      <c r="U360" s="20" t="s">
        <v>1170</v>
      </c>
      <c r="Z360" s="26" t="str">
        <f>"&lt;P&gt;"&amp;PartsMaster!$I351&amp;" "&amp;PartsMaster!$H351&amp;"&lt;/P&gt;"&amp;"&lt;P&gt;Jaguar part name "&amp;PartsMaster!$E351&amp;"&lt;/P&gt;&lt;P&gt;Product numbers "&amp;PartsMaster!R351&amp;" "&amp;DQ360&amp;"&lt;/P&gt;&lt;P&gt;Fits starting from VIN/ModelYear "&amp;PartsMaster!$F351&amp;" until VIN/ModelYear "&amp;PartsMaster!$G351&amp;"&lt;/P&gt;&lt;P&gt;Condition: "&amp;PartsMaster!AB351&amp;"&lt;/P&gt;&lt;P&gt; (part source "&amp;PartsMaster!AD351&amp;")&lt;/P&gt;&lt;P&gt;Notes: "&amp;PartsMaster!AA351&amp;"&lt;/P&gt;"</f>
        <v>&lt;P&gt;Engine Cooling Fluid / Oil&lt;/P&gt;&lt;P&gt;Jaguar part name &lt;/P&gt;&lt;P&gt;Product numbers  0&lt;/P&gt;&lt;P&gt;Fits starting from VIN/ModelYear  until VIN/ModelYear &lt;/P&gt;&lt;P&gt;Condition: &lt;/P&gt;&lt;P&gt; (part source )&lt;/P&gt;&lt;P&gt;Notes: &lt;/P&gt;</v>
      </c>
      <c r="AA360" s="20" t="s">
        <v>1171</v>
      </c>
      <c r="AC360" s="20">
        <v>0</v>
      </c>
      <c r="AD360" s="20">
        <v>0</v>
      </c>
      <c r="AE360" s="20" t="s">
        <v>1172</v>
      </c>
      <c r="AF360" s="20">
        <v>7</v>
      </c>
      <c r="AG360" s="20">
        <v>0</v>
      </c>
      <c r="AH360" s="20">
        <v>0</v>
      </c>
      <c r="AI360" s="20">
        <v>0</v>
      </c>
      <c r="AJ360" s="20">
        <v>0</v>
      </c>
      <c r="AK360" s="20">
        <v>0</v>
      </c>
      <c r="AO360" s="20" t="s">
        <v>1173</v>
      </c>
      <c r="AR360" s="20">
        <v>0</v>
      </c>
      <c r="AS360" s="20">
        <v>10112</v>
      </c>
      <c r="AV360" s="20" t="s">
        <v>1174</v>
      </c>
      <c r="AX360" s="20">
        <v>62128510024</v>
      </c>
      <c r="AY360" s="20">
        <v>62035811024</v>
      </c>
      <c r="AZ360" s="20">
        <v>55187694024</v>
      </c>
      <c r="BA360" s="20" t="s">
        <v>1175</v>
      </c>
      <c r="BB360" s="20" t="s">
        <v>1176</v>
      </c>
      <c r="BC360" s="20" t="s">
        <v>1177</v>
      </c>
      <c r="BD360" s="20">
        <v>1</v>
      </c>
      <c r="BE360" s="20">
        <v>0</v>
      </c>
      <c r="BF360" s="20">
        <v>0</v>
      </c>
      <c r="BG360" s="20">
        <v>0</v>
      </c>
      <c r="BN360" s="20" t="s">
        <v>1178</v>
      </c>
      <c r="BV360" s="20">
        <v>0</v>
      </c>
      <c r="CL360" s="20">
        <v>0</v>
      </c>
      <c r="DD360" s="20" t="s">
        <v>1179</v>
      </c>
      <c r="DE360" s="20" t="s">
        <v>1179</v>
      </c>
      <c r="DI360" s="20">
        <v>0</v>
      </c>
      <c r="DP360" s="21" t="s">
        <v>1180</v>
      </c>
      <c r="DQ360" s="21">
        <f>PartsMaster!$A351</f>
        <v>0</v>
      </c>
      <c r="DR360" s="21" t="s">
        <v>1181</v>
      </c>
      <c r="DS360" s="21" t="str">
        <f>PartsMaster!$K352&amp;" "&amp;PartsMaster!L352&amp;" "&amp;PartsMaster!$M352</f>
        <v xml:space="preserve">  </v>
      </c>
    </row>
    <row r="361" spans="1:123" hidden="1" x14ac:dyDescent="0.25">
      <c r="A361" s="20" t="s">
        <v>1166</v>
      </c>
      <c r="B361" s="20" t="s">
        <v>1167</v>
      </c>
      <c r="C361" s="20" t="s">
        <v>1168</v>
      </c>
      <c r="D361" s="21" t="str">
        <f>PartsMaster!B353&amp;" "&amp;PartsMaster!$C353</f>
        <v>Jaguar XK8 XKR X100 XJ8 XJR X308 Gasket Kit Camshaft Cover</v>
      </c>
      <c r="E361" s="20">
        <v>3000</v>
      </c>
      <c r="F361" s="20" t="s">
        <v>1182</v>
      </c>
      <c r="H361" s="21" t="str">
        <f>PartsMaster!$Q353</f>
        <v>Camshaft Cover Gasket &amp; Re Seal Kit</v>
      </c>
      <c r="I361" s="20">
        <v>9886</v>
      </c>
      <c r="K361" s="20">
        <v>0</v>
      </c>
      <c r="L361" s="20">
        <v>0</v>
      </c>
      <c r="M361" s="21">
        <f>PartsMaster!$D353</f>
        <v>0</v>
      </c>
      <c r="O361" s="20" t="s">
        <v>1169</v>
      </c>
      <c r="P361" s="23">
        <f>PartsMaster!$S353/1.45</f>
        <v>0</v>
      </c>
      <c r="S361" s="20">
        <v>30</v>
      </c>
      <c r="T361" s="20">
        <v>0</v>
      </c>
      <c r="U361" s="20" t="s">
        <v>1170</v>
      </c>
      <c r="Z361" s="26" t="str">
        <f>"&lt;P&gt;"&amp;PartsMaster!$I353&amp;" "&amp;PartsMaster!$H353&amp;"&lt;/P&gt;"&amp;"&lt;P&gt;Jaguar part name "&amp;PartsMaster!$E353&amp;"&lt;/P&gt;&lt;P&gt;Product numbers "&amp;PartsMaster!R353&amp;" "&amp;DQ361&amp;"&lt;/P&gt;&lt;P&gt;Fits starting from VIN/ModelYear "&amp;PartsMaster!$F353&amp;" until VIN/ModelYear "&amp;PartsMaster!$G353&amp;"&lt;/P&gt;&lt;P&gt;Condition: "&amp;PartsMaster!AB353&amp;"&lt;/P&gt;&lt;P&gt; (part source "&amp;PartsMaster!AD353&amp;")&lt;/P&gt;&lt;P&gt;Notes: "&amp;PartsMaster!AA353&amp;"&lt;/P&gt;"</f>
        <v>&lt;P&gt; Kit&lt;/P&gt;&lt;P&gt;Jaguar part name &lt;/P&gt;&lt;P&gt;Product numbers AJ88285KIT 0&lt;/P&gt;&lt;P&gt;Fits starting from VIN/ModelYear Engine #9810290000 until VIN/ModelYear &lt;/P&gt;&lt;P&gt;Condition: &lt;/P&gt;&lt;P&gt; (part source )&lt;/P&gt;&lt;P&gt;Notes: &lt;/P&gt;</v>
      </c>
      <c r="AA361" s="20" t="s">
        <v>1171</v>
      </c>
      <c r="AC361" s="20">
        <v>0</v>
      </c>
      <c r="AD361" s="20">
        <v>0</v>
      </c>
      <c r="AE361" s="20" t="s">
        <v>1172</v>
      </c>
      <c r="AF361" s="20">
        <v>7</v>
      </c>
      <c r="AG361" s="20">
        <v>0</v>
      </c>
      <c r="AH361" s="20">
        <v>0</v>
      </c>
      <c r="AI361" s="20">
        <v>0</v>
      </c>
      <c r="AJ361" s="20">
        <v>0</v>
      </c>
      <c r="AK361" s="20">
        <v>0</v>
      </c>
      <c r="AO361" s="20" t="s">
        <v>1173</v>
      </c>
      <c r="AR361" s="20">
        <v>0</v>
      </c>
      <c r="AS361" s="20">
        <v>10112</v>
      </c>
      <c r="AV361" s="20" t="s">
        <v>1174</v>
      </c>
      <c r="AX361" s="20">
        <v>62128510024</v>
      </c>
      <c r="AY361" s="20">
        <v>62035811024</v>
      </c>
      <c r="AZ361" s="20">
        <v>55187694024</v>
      </c>
      <c r="BA361" s="20" t="s">
        <v>1175</v>
      </c>
      <c r="BB361" s="20" t="s">
        <v>1176</v>
      </c>
      <c r="BC361" s="20" t="s">
        <v>1177</v>
      </c>
      <c r="BD361" s="20">
        <v>1</v>
      </c>
      <c r="BE361" s="20">
        <v>0</v>
      </c>
      <c r="BF361" s="20">
        <v>0</v>
      </c>
      <c r="BG361" s="20">
        <v>0</v>
      </c>
      <c r="BN361" s="20" t="s">
        <v>1178</v>
      </c>
      <c r="BV361" s="20">
        <v>0</v>
      </c>
      <c r="CL361" s="20">
        <v>0</v>
      </c>
      <c r="DD361" s="20" t="s">
        <v>1179</v>
      </c>
      <c r="DE361" s="20" t="s">
        <v>1179</v>
      </c>
      <c r="DI361" s="20">
        <v>0</v>
      </c>
      <c r="DP361" s="21" t="s">
        <v>1180</v>
      </c>
      <c r="DQ361" s="21">
        <f>PartsMaster!$A353</f>
        <v>0</v>
      </c>
      <c r="DR361" s="21" t="s">
        <v>1181</v>
      </c>
      <c r="DS361" s="21" t="str">
        <f>PartsMaster!$K354&amp;" "&amp;PartsMaster!L354&amp;" "&amp;PartsMaster!$M354</f>
        <v xml:space="preserve">  </v>
      </c>
    </row>
    <row r="362" spans="1:123" hidden="1" x14ac:dyDescent="0.25">
      <c r="A362" s="20" t="s">
        <v>1166</v>
      </c>
      <c r="B362" s="20" t="s">
        <v>1167</v>
      </c>
      <c r="C362" s="20" t="s">
        <v>1168</v>
      </c>
      <c r="D362" s="21" t="str">
        <f>PartsMaster!B354&amp;" "&amp;PartsMaster!$C354</f>
        <v>Jaguar XK8 XKR X100 Glovebox Compartment plastic frame</v>
      </c>
      <c r="E362" s="20">
        <v>3000</v>
      </c>
      <c r="F362" s="20" t="s">
        <v>1182</v>
      </c>
      <c r="H362" s="21">
        <f>PartsMaster!$Q354</f>
        <v>0</v>
      </c>
      <c r="I362" s="20">
        <v>9886</v>
      </c>
      <c r="K362" s="20">
        <v>0</v>
      </c>
      <c r="L362" s="20">
        <v>0</v>
      </c>
      <c r="M362" s="21">
        <f>PartsMaster!$D354</f>
        <v>0</v>
      </c>
      <c r="O362" s="20" t="s">
        <v>1169</v>
      </c>
      <c r="P362" s="23">
        <f>PartsMaster!$S354/1.45</f>
        <v>0</v>
      </c>
      <c r="S362" s="20">
        <v>30</v>
      </c>
      <c r="T362" s="20">
        <v>0</v>
      </c>
      <c r="U362" s="20" t="s">
        <v>1170</v>
      </c>
      <c r="Z362" s="26" t="str">
        <f>"&lt;P&gt;"&amp;PartsMaster!$I354&amp;" "&amp;PartsMaster!$H354&amp;"&lt;/P&gt;"&amp;"&lt;P&gt;Jaguar part name "&amp;PartsMaster!$E354&amp;"&lt;/P&gt;&lt;P&gt;Product numbers "&amp;PartsMaster!R354&amp;" "&amp;DQ362&amp;"&lt;/P&gt;&lt;P&gt;Fits starting from VIN/ModelYear "&amp;PartsMaster!$F354&amp;" until VIN/ModelYear "&amp;PartsMaster!$G354&amp;"&lt;/P&gt;&lt;P&gt;Condition: "&amp;PartsMaster!AB354&amp;"&lt;/P&gt;&lt;P&gt; (part source "&amp;PartsMaster!AD354&amp;")&lt;/P&gt;&lt;P&gt;Notes: "&amp;PartsMaster!AA354&amp;"&lt;/P&gt;"</f>
        <v>&lt;P&gt;Mount Frame&lt;/P&gt;&lt;P&gt;Jaguar part name &lt;/P&gt;&lt;P&gt;Product numbers  0&lt;/P&gt;&lt;P&gt;Fits starting from VIN/ModelYear  until VIN/ModelYear &lt;/P&gt;&lt;P&gt;Condition: &lt;/P&gt;&lt;P&gt; (part source )&lt;/P&gt;&lt;P&gt;Notes: &lt;/P&gt;</v>
      </c>
      <c r="AA362" s="20" t="s">
        <v>1171</v>
      </c>
      <c r="AC362" s="20">
        <v>0</v>
      </c>
      <c r="AD362" s="20">
        <v>0</v>
      </c>
      <c r="AE362" s="20" t="s">
        <v>1172</v>
      </c>
      <c r="AF362" s="20">
        <v>7</v>
      </c>
      <c r="AG362" s="20">
        <v>0</v>
      </c>
      <c r="AH362" s="20">
        <v>0</v>
      </c>
      <c r="AI362" s="20">
        <v>0</v>
      </c>
      <c r="AJ362" s="20">
        <v>0</v>
      </c>
      <c r="AK362" s="20">
        <v>0</v>
      </c>
      <c r="AO362" s="20" t="s">
        <v>1173</v>
      </c>
      <c r="AR362" s="20">
        <v>0</v>
      </c>
      <c r="AS362" s="20">
        <v>10112</v>
      </c>
      <c r="AV362" s="20" t="s">
        <v>1174</v>
      </c>
      <c r="AX362" s="20">
        <v>62128510024</v>
      </c>
      <c r="AY362" s="20">
        <v>62035811024</v>
      </c>
      <c r="AZ362" s="20">
        <v>55187694024</v>
      </c>
      <c r="BA362" s="20" t="s">
        <v>1175</v>
      </c>
      <c r="BB362" s="20" t="s">
        <v>1176</v>
      </c>
      <c r="BC362" s="20" t="s">
        <v>1177</v>
      </c>
      <c r="BD362" s="20">
        <v>1</v>
      </c>
      <c r="BE362" s="20">
        <v>0</v>
      </c>
      <c r="BF362" s="20">
        <v>0</v>
      </c>
      <c r="BG362" s="20">
        <v>0</v>
      </c>
      <c r="BN362" s="20" t="s">
        <v>1178</v>
      </c>
      <c r="BV362" s="20">
        <v>0</v>
      </c>
      <c r="CL362" s="20">
        <v>0</v>
      </c>
      <c r="DD362" s="20" t="s">
        <v>1179</v>
      </c>
      <c r="DE362" s="20" t="s">
        <v>1179</v>
      </c>
      <c r="DI362" s="20">
        <v>0</v>
      </c>
      <c r="DP362" s="21" t="s">
        <v>1180</v>
      </c>
      <c r="DQ362" s="21">
        <f>PartsMaster!$A354</f>
        <v>0</v>
      </c>
      <c r="DR362" s="21" t="s">
        <v>1181</v>
      </c>
      <c r="DS362" s="21" t="str">
        <f>PartsMaster!$K355&amp;" "&amp;PartsMaster!L355&amp;" "&amp;PartsMaster!$M355</f>
        <v xml:space="preserve">  </v>
      </c>
    </row>
    <row r="363" spans="1:123" hidden="1" x14ac:dyDescent="0.25">
      <c r="A363" s="20" t="s">
        <v>1166</v>
      </c>
      <c r="B363" s="20" t="s">
        <v>1167</v>
      </c>
      <c r="C363" s="20" t="s">
        <v>1168</v>
      </c>
      <c r="D363" s="21" t="str">
        <f>PartsMaster!B355&amp;" "&amp;PartsMaster!$C355</f>
        <v>Jaguar XK8 XKR X100 Headlight Washer Cover (RH) or RH Headlamp without washer</v>
      </c>
      <c r="E363" s="20">
        <v>3000</v>
      </c>
      <c r="F363" s="20" t="s">
        <v>1182</v>
      </c>
      <c r="H363" s="21">
        <f>PartsMaster!$Q355</f>
        <v>0</v>
      </c>
      <c r="I363" s="20">
        <v>9886</v>
      </c>
      <c r="K363" s="20">
        <v>0</v>
      </c>
      <c r="L363" s="20">
        <v>0</v>
      </c>
      <c r="M363" s="21">
        <f>PartsMaster!$D355</f>
        <v>0</v>
      </c>
      <c r="O363" s="20" t="s">
        <v>1169</v>
      </c>
      <c r="P363" s="23">
        <f>PartsMaster!$S355/1.45</f>
        <v>0</v>
      </c>
      <c r="S363" s="20">
        <v>30</v>
      </c>
      <c r="T363" s="20">
        <v>0</v>
      </c>
      <c r="U363" s="20" t="s">
        <v>1170</v>
      </c>
      <c r="Z363" s="26" t="str">
        <f>"&lt;P&gt;"&amp;PartsMaster!$I355&amp;" "&amp;PartsMaster!$H355&amp;"&lt;/P&gt;"&amp;"&lt;P&gt;Jaguar part name "&amp;PartsMaster!$E355&amp;"&lt;/P&gt;&lt;P&gt;Product numbers "&amp;PartsMaster!R355&amp;" "&amp;DQ363&amp;"&lt;/P&gt;&lt;P&gt;Fits starting from VIN/ModelYear "&amp;PartsMaster!$F355&amp;" until VIN/ModelYear "&amp;PartsMaster!$G355&amp;"&lt;/P&gt;&lt;P&gt;Condition: "&amp;PartsMaster!AB355&amp;"&lt;/P&gt;&lt;P&gt; (part source "&amp;PartsMaster!AD355&amp;")&lt;/P&gt;&lt;P&gt;Notes: "&amp;PartsMaster!AA355&amp;"&lt;/P&gt;"</f>
        <v>&lt;P&gt; &lt;/P&gt;&lt;P&gt;Jaguar part name &lt;/P&gt;&lt;P&gt;Product numbers  0&lt;/P&gt;&lt;P&gt;Fits starting from VIN/ModelYear  until VIN/ModelYear &lt;/P&gt;&lt;P&gt;Condition: &lt;/P&gt;&lt;P&gt; (part source )&lt;/P&gt;&lt;P&gt;Notes: &lt;/P&gt;</v>
      </c>
      <c r="AA363" s="20" t="s">
        <v>1171</v>
      </c>
      <c r="AC363" s="20">
        <v>0</v>
      </c>
      <c r="AD363" s="20">
        <v>0</v>
      </c>
      <c r="AE363" s="20" t="s">
        <v>1172</v>
      </c>
      <c r="AF363" s="20">
        <v>7</v>
      </c>
      <c r="AG363" s="20">
        <v>0</v>
      </c>
      <c r="AH363" s="20">
        <v>0</v>
      </c>
      <c r="AI363" s="20">
        <v>0</v>
      </c>
      <c r="AJ363" s="20">
        <v>0</v>
      </c>
      <c r="AK363" s="20">
        <v>0</v>
      </c>
      <c r="AO363" s="20" t="s">
        <v>1173</v>
      </c>
      <c r="AR363" s="20">
        <v>0</v>
      </c>
      <c r="AS363" s="20">
        <v>10112</v>
      </c>
      <c r="AV363" s="20" t="s">
        <v>1174</v>
      </c>
      <c r="AX363" s="20">
        <v>62128510024</v>
      </c>
      <c r="AY363" s="20">
        <v>62035811024</v>
      </c>
      <c r="AZ363" s="20">
        <v>55187694024</v>
      </c>
      <c r="BA363" s="20" t="s">
        <v>1175</v>
      </c>
      <c r="BB363" s="20" t="s">
        <v>1176</v>
      </c>
      <c r="BC363" s="20" t="s">
        <v>1177</v>
      </c>
      <c r="BD363" s="20">
        <v>1</v>
      </c>
      <c r="BE363" s="20">
        <v>0</v>
      </c>
      <c r="BF363" s="20">
        <v>0</v>
      </c>
      <c r="BG363" s="20">
        <v>0</v>
      </c>
      <c r="BN363" s="20" t="s">
        <v>1178</v>
      </c>
      <c r="BV363" s="20">
        <v>0</v>
      </c>
      <c r="CL363" s="20">
        <v>0</v>
      </c>
      <c r="DD363" s="20" t="s">
        <v>1179</v>
      </c>
      <c r="DE363" s="20" t="s">
        <v>1179</v>
      </c>
      <c r="DI363" s="20">
        <v>0</v>
      </c>
      <c r="DP363" s="21" t="s">
        <v>1180</v>
      </c>
      <c r="DQ363" s="21">
        <f>PartsMaster!$A355</f>
        <v>0</v>
      </c>
      <c r="DR363" s="21" t="s">
        <v>1181</v>
      </c>
      <c r="DS363" s="21" t="str">
        <f>PartsMaster!$K356&amp;" "&amp;PartsMaster!L356&amp;" "&amp;PartsMaster!$M356</f>
        <v xml:space="preserve">  </v>
      </c>
    </row>
    <row r="364" spans="1:123" hidden="1" x14ac:dyDescent="0.25">
      <c r="A364" s="20" t="s">
        <v>1166</v>
      </c>
      <c r="B364" s="20" t="s">
        <v>1167</v>
      </c>
      <c r="C364" s="20" t="s">
        <v>1168</v>
      </c>
      <c r="D364" s="21" t="str">
        <f>PartsMaster!B356&amp;" "&amp;PartsMaster!$C356</f>
        <v>Jaguar XK8 XKR X100 J-Gate Gear selector "brush" and internal plastic trim</v>
      </c>
      <c r="E364" s="20">
        <v>3000</v>
      </c>
      <c r="F364" s="20" t="s">
        <v>1182</v>
      </c>
      <c r="H364" s="21">
        <f>PartsMaster!$Q356</f>
        <v>0</v>
      </c>
      <c r="I364" s="20">
        <v>9886</v>
      </c>
      <c r="K364" s="20">
        <v>0</v>
      </c>
      <c r="L364" s="20">
        <v>0</v>
      </c>
      <c r="M364" s="21">
        <f>PartsMaster!$D356</f>
        <v>0</v>
      </c>
      <c r="O364" s="20" t="s">
        <v>1169</v>
      </c>
      <c r="P364" s="23">
        <f>PartsMaster!$S356/1.45</f>
        <v>0</v>
      </c>
      <c r="S364" s="20">
        <v>30</v>
      </c>
      <c r="T364" s="20">
        <v>0</v>
      </c>
      <c r="U364" s="20" t="s">
        <v>1170</v>
      </c>
      <c r="Z364" s="26" t="str">
        <f>"&lt;P&gt;"&amp;PartsMaster!$I356&amp;" "&amp;PartsMaster!$H356&amp;"&lt;/P&gt;"&amp;"&lt;P&gt;Jaguar part name "&amp;PartsMaster!$E356&amp;"&lt;/P&gt;&lt;P&gt;Product numbers "&amp;PartsMaster!R356&amp;" "&amp;DQ364&amp;"&lt;/P&gt;&lt;P&gt;Fits starting from VIN/ModelYear "&amp;PartsMaster!$F356&amp;" until VIN/ModelYear "&amp;PartsMaster!$G356&amp;"&lt;/P&gt;&lt;P&gt;Condition: "&amp;PartsMaster!AB356&amp;"&lt;/P&gt;&lt;P&gt; (part source "&amp;PartsMaster!AD356&amp;")&lt;/P&gt;&lt;P&gt;Notes: "&amp;PartsMaster!AA356&amp;"&lt;/P&gt;"</f>
        <v>&lt;P&gt;Gear box / Gear shifter / Gear Selector Switch &lt;/P&gt;&lt;P&gt;Jaguar part name &lt;/P&gt;&lt;P&gt;Product numbers  0&lt;/P&gt;&lt;P&gt;Fits starting from VIN/ModelYear  until VIN/ModelYear &lt;/P&gt;&lt;P&gt;Condition: &lt;/P&gt;&lt;P&gt; (part source )&lt;/P&gt;&lt;P&gt;Notes: &lt;/P&gt;</v>
      </c>
      <c r="AA364" s="20" t="s">
        <v>1171</v>
      </c>
      <c r="AC364" s="20">
        <v>0</v>
      </c>
      <c r="AD364" s="20">
        <v>0</v>
      </c>
      <c r="AE364" s="20" t="s">
        <v>1172</v>
      </c>
      <c r="AF364" s="20">
        <v>7</v>
      </c>
      <c r="AG364" s="20">
        <v>0</v>
      </c>
      <c r="AH364" s="20">
        <v>0</v>
      </c>
      <c r="AI364" s="20">
        <v>0</v>
      </c>
      <c r="AJ364" s="20">
        <v>0</v>
      </c>
      <c r="AK364" s="20">
        <v>0</v>
      </c>
      <c r="AO364" s="20" t="s">
        <v>1173</v>
      </c>
      <c r="AR364" s="20">
        <v>0</v>
      </c>
      <c r="AS364" s="20">
        <v>10112</v>
      </c>
      <c r="AV364" s="20" t="s">
        <v>1174</v>
      </c>
      <c r="AX364" s="20">
        <v>62128510024</v>
      </c>
      <c r="AY364" s="20">
        <v>62035811024</v>
      </c>
      <c r="AZ364" s="20">
        <v>55187694024</v>
      </c>
      <c r="BA364" s="20" t="s">
        <v>1175</v>
      </c>
      <c r="BB364" s="20" t="s">
        <v>1176</v>
      </c>
      <c r="BC364" s="20" t="s">
        <v>1177</v>
      </c>
      <c r="BD364" s="20">
        <v>1</v>
      </c>
      <c r="BE364" s="20">
        <v>0</v>
      </c>
      <c r="BF364" s="20">
        <v>0</v>
      </c>
      <c r="BG364" s="20">
        <v>0</v>
      </c>
      <c r="BN364" s="20" t="s">
        <v>1178</v>
      </c>
      <c r="BV364" s="20">
        <v>0</v>
      </c>
      <c r="CL364" s="20">
        <v>0</v>
      </c>
      <c r="DD364" s="20" t="s">
        <v>1179</v>
      </c>
      <c r="DE364" s="20" t="s">
        <v>1179</v>
      </c>
      <c r="DI364" s="20">
        <v>0</v>
      </c>
      <c r="DP364" s="21" t="s">
        <v>1180</v>
      </c>
      <c r="DQ364" s="21">
        <f>PartsMaster!$A356</f>
        <v>0</v>
      </c>
      <c r="DR364" s="21" t="s">
        <v>1181</v>
      </c>
      <c r="DS364" s="21" t="str">
        <f>PartsMaster!$K357&amp;" "&amp;PartsMaster!L357&amp;" "&amp;PartsMaster!$M357</f>
        <v xml:space="preserve">  </v>
      </c>
    </row>
    <row r="365" spans="1:123" hidden="1" x14ac:dyDescent="0.25">
      <c r="A365" s="20" t="s">
        <v>1166</v>
      </c>
      <c r="B365" s="20" t="s">
        <v>1167</v>
      </c>
      <c r="C365" s="20" t="s">
        <v>1168</v>
      </c>
      <c r="D365" s="21" t="str">
        <f>PartsMaster!B357&amp;" "&amp;PartsMaster!$C357</f>
        <v xml:space="preserve">Jaguar XK8 XKR X100 Key Spare </v>
      </c>
      <c r="E365" s="20">
        <v>3000</v>
      </c>
      <c r="F365" s="20" t="s">
        <v>1182</v>
      </c>
      <c r="H365" s="21">
        <f>PartsMaster!$Q357</f>
        <v>0</v>
      </c>
      <c r="I365" s="20">
        <v>9886</v>
      </c>
      <c r="K365" s="20">
        <v>0</v>
      </c>
      <c r="L365" s="20">
        <v>0</v>
      </c>
      <c r="M365" s="21">
        <f>PartsMaster!$D357</f>
        <v>0</v>
      </c>
      <c r="O365" s="20" t="s">
        <v>1169</v>
      </c>
      <c r="P365" s="23">
        <f>PartsMaster!$S357/1.45</f>
        <v>0</v>
      </c>
      <c r="S365" s="20">
        <v>30</v>
      </c>
      <c r="T365" s="20">
        <v>0</v>
      </c>
      <c r="U365" s="20" t="s">
        <v>1170</v>
      </c>
      <c r="Z365" s="26" t="str">
        <f>"&lt;P&gt;"&amp;PartsMaster!$I357&amp;" "&amp;PartsMaster!$H357&amp;"&lt;/P&gt;"&amp;"&lt;P&gt;Jaguar part name "&amp;PartsMaster!$E357&amp;"&lt;/P&gt;&lt;P&gt;Product numbers "&amp;PartsMaster!R357&amp;" "&amp;DQ365&amp;"&lt;/P&gt;&lt;P&gt;Fits starting from VIN/ModelYear "&amp;PartsMaster!$F357&amp;" until VIN/ModelYear "&amp;PartsMaster!$G357&amp;"&lt;/P&gt;&lt;P&gt;Condition: "&amp;PartsMaster!AB357&amp;"&lt;/P&gt;&lt;P&gt; (part source "&amp;PartsMaster!AD357&amp;")&lt;/P&gt;&lt;P&gt;Notes: "&amp;PartsMaster!AA357&amp;"&lt;/P&gt;"</f>
        <v>&lt;P&gt;Security Key / Remote&lt;/P&gt;&lt;P&gt;Jaguar part name &lt;/P&gt;&lt;P&gt;Product numbers  0&lt;/P&gt;&lt;P&gt;Fits starting from VIN/ModelYear  until VIN/ModelYear &lt;/P&gt;&lt;P&gt;Condition: &lt;/P&gt;&lt;P&gt; (part source )&lt;/P&gt;&lt;P&gt;Notes: &lt;/P&gt;</v>
      </c>
      <c r="AA365" s="20" t="s">
        <v>1171</v>
      </c>
      <c r="AC365" s="20">
        <v>0</v>
      </c>
      <c r="AD365" s="20">
        <v>0</v>
      </c>
      <c r="AE365" s="20" t="s">
        <v>1172</v>
      </c>
      <c r="AF365" s="20">
        <v>7</v>
      </c>
      <c r="AG365" s="20">
        <v>0</v>
      </c>
      <c r="AH365" s="20">
        <v>0</v>
      </c>
      <c r="AI365" s="20">
        <v>0</v>
      </c>
      <c r="AJ365" s="20">
        <v>0</v>
      </c>
      <c r="AK365" s="20">
        <v>0</v>
      </c>
      <c r="AO365" s="20" t="s">
        <v>1173</v>
      </c>
      <c r="AR365" s="20">
        <v>0</v>
      </c>
      <c r="AS365" s="20">
        <v>10112</v>
      </c>
      <c r="AV365" s="20" t="s">
        <v>1174</v>
      </c>
      <c r="AX365" s="20">
        <v>62128510024</v>
      </c>
      <c r="AY365" s="20">
        <v>62035811024</v>
      </c>
      <c r="AZ365" s="20">
        <v>55187694024</v>
      </c>
      <c r="BA365" s="20" t="s">
        <v>1175</v>
      </c>
      <c r="BB365" s="20" t="s">
        <v>1176</v>
      </c>
      <c r="BC365" s="20" t="s">
        <v>1177</v>
      </c>
      <c r="BD365" s="20">
        <v>1</v>
      </c>
      <c r="BE365" s="20">
        <v>0</v>
      </c>
      <c r="BF365" s="20">
        <v>0</v>
      </c>
      <c r="BG365" s="20">
        <v>0</v>
      </c>
      <c r="BN365" s="20" t="s">
        <v>1178</v>
      </c>
      <c r="BV365" s="20">
        <v>0</v>
      </c>
      <c r="CL365" s="20">
        <v>0</v>
      </c>
      <c r="DD365" s="20" t="s">
        <v>1179</v>
      </c>
      <c r="DE365" s="20" t="s">
        <v>1179</v>
      </c>
      <c r="DI365" s="20">
        <v>0</v>
      </c>
      <c r="DP365" s="21" t="s">
        <v>1180</v>
      </c>
      <c r="DQ365" s="21">
        <f>PartsMaster!$A357</f>
        <v>0</v>
      </c>
      <c r="DR365" s="21" t="s">
        <v>1181</v>
      </c>
      <c r="DS365" s="21" t="str">
        <f>PartsMaster!$K358&amp;" "&amp;PartsMaster!L358&amp;" "&amp;PartsMaster!$M358</f>
        <v xml:space="preserve">  </v>
      </c>
    </row>
    <row r="366" spans="1:123" hidden="1" x14ac:dyDescent="0.25">
      <c r="A366" s="20" t="s">
        <v>1166</v>
      </c>
      <c r="B366" s="20" t="s">
        <v>1167</v>
      </c>
      <c r="C366" s="20" t="s">
        <v>1168</v>
      </c>
      <c r="D366" s="21" t="str">
        <f>PartsMaster!B358&amp;" "&amp;PartsMaster!$C358</f>
        <v>Jaguar XK8 XKR X100 Key Wallet</v>
      </c>
      <c r="E366" s="20">
        <v>3000</v>
      </c>
      <c r="F366" s="20" t="s">
        <v>1182</v>
      </c>
      <c r="H366" s="21">
        <f>PartsMaster!$Q358</f>
        <v>0</v>
      </c>
      <c r="I366" s="20">
        <v>9886</v>
      </c>
      <c r="K366" s="20">
        <v>0</v>
      </c>
      <c r="L366" s="20">
        <v>0</v>
      </c>
      <c r="M366" s="21">
        <f>PartsMaster!$D358</f>
        <v>0</v>
      </c>
      <c r="O366" s="20" t="s">
        <v>1169</v>
      </c>
      <c r="P366" s="23">
        <f>PartsMaster!$S358/1.45</f>
        <v>0</v>
      </c>
      <c r="S366" s="20">
        <v>30</v>
      </c>
      <c r="T366" s="20">
        <v>0</v>
      </c>
      <c r="U366" s="20" t="s">
        <v>1170</v>
      </c>
      <c r="Z366" s="26" t="str">
        <f>"&lt;P&gt;"&amp;PartsMaster!$I358&amp;" "&amp;PartsMaster!$H358&amp;"&lt;/P&gt;"&amp;"&lt;P&gt;Jaguar part name "&amp;PartsMaster!$E358&amp;"&lt;/P&gt;&lt;P&gt;Product numbers "&amp;PartsMaster!R358&amp;" "&amp;DQ366&amp;"&lt;/P&gt;&lt;P&gt;Fits starting from VIN/ModelYear "&amp;PartsMaster!$F358&amp;" until VIN/ModelYear "&amp;PartsMaster!$G358&amp;"&lt;/P&gt;&lt;P&gt;Condition: "&amp;PartsMaster!AB358&amp;"&lt;/P&gt;&lt;P&gt; (part source "&amp;PartsMaster!AD358&amp;")&lt;/P&gt;&lt;P&gt;Notes: "&amp;PartsMaster!AA358&amp;"&lt;/P&gt;"</f>
        <v>&lt;P&gt;Security Key / Remote&lt;/P&gt;&lt;P&gt;Jaguar part name &lt;/P&gt;&lt;P&gt;Product numbers  0&lt;/P&gt;&lt;P&gt;Fits starting from VIN/ModelYear  until VIN/ModelYear &lt;/P&gt;&lt;P&gt;Condition: &lt;/P&gt;&lt;P&gt; (part source )&lt;/P&gt;&lt;P&gt;Notes: &lt;/P&gt;</v>
      </c>
      <c r="AA366" s="20" t="s">
        <v>1171</v>
      </c>
      <c r="AC366" s="20">
        <v>0</v>
      </c>
      <c r="AD366" s="20">
        <v>0</v>
      </c>
      <c r="AE366" s="20" t="s">
        <v>1172</v>
      </c>
      <c r="AF366" s="20">
        <v>7</v>
      </c>
      <c r="AG366" s="20">
        <v>0</v>
      </c>
      <c r="AH366" s="20">
        <v>0</v>
      </c>
      <c r="AI366" s="20">
        <v>0</v>
      </c>
      <c r="AJ366" s="20">
        <v>0</v>
      </c>
      <c r="AK366" s="20">
        <v>0</v>
      </c>
      <c r="AO366" s="20" t="s">
        <v>1173</v>
      </c>
      <c r="AR366" s="20">
        <v>0</v>
      </c>
      <c r="AS366" s="20">
        <v>10112</v>
      </c>
      <c r="AV366" s="20" t="s">
        <v>1174</v>
      </c>
      <c r="AX366" s="20">
        <v>62128510024</v>
      </c>
      <c r="AY366" s="20">
        <v>62035811024</v>
      </c>
      <c r="AZ366" s="20">
        <v>55187694024</v>
      </c>
      <c r="BA366" s="20" t="s">
        <v>1175</v>
      </c>
      <c r="BB366" s="20" t="s">
        <v>1176</v>
      </c>
      <c r="BC366" s="20" t="s">
        <v>1177</v>
      </c>
      <c r="BD366" s="20">
        <v>1</v>
      </c>
      <c r="BE366" s="20">
        <v>0</v>
      </c>
      <c r="BF366" s="20">
        <v>0</v>
      </c>
      <c r="BG366" s="20">
        <v>0</v>
      </c>
      <c r="BN366" s="20" t="s">
        <v>1178</v>
      </c>
      <c r="BV366" s="20">
        <v>0</v>
      </c>
      <c r="CL366" s="20">
        <v>0</v>
      </c>
      <c r="DD366" s="20" t="s">
        <v>1179</v>
      </c>
      <c r="DE366" s="20" t="s">
        <v>1179</v>
      </c>
      <c r="DI366" s="20">
        <v>0</v>
      </c>
      <c r="DP366" s="21" t="s">
        <v>1180</v>
      </c>
      <c r="DQ366" s="21">
        <f>PartsMaster!$A358</f>
        <v>0</v>
      </c>
      <c r="DR366" s="21" t="s">
        <v>1181</v>
      </c>
      <c r="DS366" s="21" t="str">
        <f>PartsMaster!$K359&amp;" "&amp;PartsMaster!L359&amp;" "&amp;PartsMaster!$M359</f>
        <v xml:space="preserve">  </v>
      </c>
    </row>
    <row r="367" spans="1:123" hidden="1" x14ac:dyDescent="0.25">
      <c r="A367" s="20" t="s">
        <v>1166</v>
      </c>
      <c r="B367" s="20" t="s">
        <v>1167</v>
      </c>
      <c r="C367" s="20" t="s">
        <v>1168</v>
      </c>
      <c r="D367" s="21" t="str">
        <f>PartsMaster!B359&amp;" "&amp;PartsMaster!$C359</f>
        <v>Jaguar XK8 XKR X100 Oil Differential</v>
      </c>
      <c r="E367" s="20">
        <v>3000</v>
      </c>
      <c r="F367" s="20" t="s">
        <v>1182</v>
      </c>
      <c r="H367" s="21">
        <f>PartsMaster!$Q359</f>
        <v>0</v>
      </c>
      <c r="I367" s="20">
        <v>9886</v>
      </c>
      <c r="K367" s="20">
        <v>0</v>
      </c>
      <c r="L367" s="20">
        <v>0</v>
      </c>
      <c r="M367" s="21">
        <f>PartsMaster!$D359</f>
        <v>0</v>
      </c>
      <c r="O367" s="20" t="s">
        <v>1169</v>
      </c>
      <c r="P367" s="23">
        <f>PartsMaster!$S359/1.45</f>
        <v>0</v>
      </c>
      <c r="S367" s="20">
        <v>30</v>
      </c>
      <c r="T367" s="20">
        <v>0</v>
      </c>
      <c r="U367" s="20" t="s">
        <v>1170</v>
      </c>
      <c r="Z367" s="26" t="str">
        <f>"&lt;P&gt;"&amp;PartsMaster!$I359&amp;" "&amp;PartsMaster!$H359&amp;"&lt;/P&gt;"&amp;"&lt;P&gt;Jaguar part name "&amp;PartsMaster!$E359&amp;"&lt;/P&gt;&lt;P&gt;Product numbers "&amp;PartsMaster!R359&amp;" "&amp;DQ367&amp;"&lt;/P&gt;&lt;P&gt;Fits starting from VIN/ModelYear "&amp;PartsMaster!$F359&amp;" until VIN/ModelYear "&amp;PartsMaster!$G359&amp;"&lt;/P&gt;&lt;P&gt;Condition: "&amp;PartsMaster!AB359&amp;"&lt;/P&gt;&lt;P&gt; (part source "&amp;PartsMaster!AD359&amp;")&lt;/P&gt;&lt;P&gt;Notes: "&amp;PartsMaster!AA359&amp;"&lt;/P&gt;"</f>
        <v>&lt;P&gt; Fluid / Oil&lt;/P&gt;&lt;P&gt;Jaguar part name &lt;/P&gt;&lt;P&gt;Product numbers  0&lt;/P&gt;&lt;P&gt;Fits starting from VIN/ModelYear  until VIN/ModelYear &lt;/P&gt;&lt;P&gt;Condition: &lt;/P&gt;&lt;P&gt; (part source )&lt;/P&gt;&lt;P&gt;Notes: &lt;/P&gt;</v>
      </c>
      <c r="AA367" s="20" t="s">
        <v>1171</v>
      </c>
      <c r="AC367" s="20">
        <v>0</v>
      </c>
      <c r="AD367" s="20">
        <v>0</v>
      </c>
      <c r="AE367" s="20" t="s">
        <v>1172</v>
      </c>
      <c r="AF367" s="20">
        <v>7</v>
      </c>
      <c r="AG367" s="20">
        <v>0</v>
      </c>
      <c r="AH367" s="20">
        <v>0</v>
      </c>
      <c r="AI367" s="20">
        <v>0</v>
      </c>
      <c r="AJ367" s="20">
        <v>0</v>
      </c>
      <c r="AK367" s="20">
        <v>0</v>
      </c>
      <c r="AO367" s="20" t="s">
        <v>1173</v>
      </c>
      <c r="AR367" s="20">
        <v>0</v>
      </c>
      <c r="AS367" s="20">
        <v>10112</v>
      </c>
      <c r="AV367" s="20" t="s">
        <v>1174</v>
      </c>
      <c r="AX367" s="20">
        <v>62128510024</v>
      </c>
      <c r="AY367" s="20">
        <v>62035811024</v>
      </c>
      <c r="AZ367" s="20">
        <v>55187694024</v>
      </c>
      <c r="BA367" s="20" t="s">
        <v>1175</v>
      </c>
      <c r="BB367" s="20" t="s">
        <v>1176</v>
      </c>
      <c r="BC367" s="20" t="s">
        <v>1177</v>
      </c>
      <c r="BD367" s="20">
        <v>1</v>
      </c>
      <c r="BE367" s="20">
        <v>0</v>
      </c>
      <c r="BF367" s="20">
        <v>0</v>
      </c>
      <c r="BG367" s="20">
        <v>0</v>
      </c>
      <c r="BN367" s="20" t="s">
        <v>1178</v>
      </c>
      <c r="BV367" s="20">
        <v>0</v>
      </c>
      <c r="CL367" s="20">
        <v>0</v>
      </c>
      <c r="DD367" s="20" t="s">
        <v>1179</v>
      </c>
      <c r="DE367" s="20" t="s">
        <v>1179</v>
      </c>
      <c r="DI367" s="20">
        <v>0</v>
      </c>
      <c r="DP367" s="21" t="s">
        <v>1180</v>
      </c>
      <c r="DQ367" s="21">
        <f>PartsMaster!$A359</f>
        <v>0</v>
      </c>
      <c r="DR367" s="21" t="s">
        <v>1181</v>
      </c>
      <c r="DS367" s="21" t="str">
        <f>PartsMaster!$K360&amp;" "&amp;PartsMaster!L360&amp;" "&amp;PartsMaster!$M360</f>
        <v xml:space="preserve">  </v>
      </c>
    </row>
    <row r="368" spans="1:123" hidden="1" x14ac:dyDescent="0.25">
      <c r="A368" s="20" t="s">
        <v>1166</v>
      </c>
      <c r="B368" s="20" t="s">
        <v>1167</v>
      </c>
      <c r="C368" s="20" t="s">
        <v>1168</v>
      </c>
      <c r="D368" s="21" t="str">
        <f>PartsMaster!B360&amp;" "&amp;PartsMaster!$C360</f>
        <v>Jaguar XK8 XKR X100 Oil Engine</v>
      </c>
      <c r="E368" s="20">
        <v>3000</v>
      </c>
      <c r="F368" s="20" t="s">
        <v>1182</v>
      </c>
      <c r="H368" s="21">
        <f>PartsMaster!$Q360</f>
        <v>0</v>
      </c>
      <c r="I368" s="20">
        <v>9886</v>
      </c>
      <c r="K368" s="20">
        <v>0</v>
      </c>
      <c r="L368" s="20">
        <v>0</v>
      </c>
      <c r="M368" s="21">
        <f>PartsMaster!$D360</f>
        <v>0</v>
      </c>
      <c r="O368" s="20" t="s">
        <v>1169</v>
      </c>
      <c r="P368" s="23">
        <f>PartsMaster!$S360/1.45</f>
        <v>0</v>
      </c>
      <c r="S368" s="20">
        <v>30</v>
      </c>
      <c r="T368" s="20">
        <v>0</v>
      </c>
      <c r="U368" s="20" t="s">
        <v>1170</v>
      </c>
      <c r="Z368" s="26" t="str">
        <f>"&lt;P&gt;"&amp;PartsMaster!$I360&amp;" "&amp;PartsMaster!$H360&amp;"&lt;/P&gt;"&amp;"&lt;P&gt;Jaguar part name "&amp;PartsMaster!$E360&amp;"&lt;/P&gt;&lt;P&gt;Product numbers "&amp;PartsMaster!R360&amp;" "&amp;DQ368&amp;"&lt;/P&gt;&lt;P&gt;Fits starting from VIN/ModelYear "&amp;PartsMaster!$F360&amp;" until VIN/ModelYear "&amp;PartsMaster!$G360&amp;"&lt;/P&gt;&lt;P&gt;Condition: "&amp;PartsMaster!AB360&amp;"&lt;/P&gt;&lt;P&gt; (part source "&amp;PartsMaster!AD360&amp;")&lt;/P&gt;&lt;P&gt;Notes: "&amp;PartsMaster!AA360&amp;"&lt;/P&gt;"</f>
        <v>&lt;P&gt;Engine Oil Fluid / Oil&lt;/P&gt;&lt;P&gt;Jaguar part name &lt;/P&gt;&lt;P&gt;Product numbers  0&lt;/P&gt;&lt;P&gt;Fits starting from VIN/ModelYear  until VIN/ModelYear &lt;/P&gt;&lt;P&gt;Condition: &lt;/P&gt;&lt;P&gt; (part source )&lt;/P&gt;&lt;P&gt;Notes: &lt;/P&gt;</v>
      </c>
      <c r="AA368" s="20" t="s">
        <v>1171</v>
      </c>
      <c r="AC368" s="20">
        <v>0</v>
      </c>
      <c r="AD368" s="20">
        <v>0</v>
      </c>
      <c r="AE368" s="20" t="s">
        <v>1172</v>
      </c>
      <c r="AF368" s="20">
        <v>7</v>
      </c>
      <c r="AG368" s="20">
        <v>0</v>
      </c>
      <c r="AH368" s="20">
        <v>0</v>
      </c>
      <c r="AI368" s="20">
        <v>0</v>
      </c>
      <c r="AJ368" s="20">
        <v>0</v>
      </c>
      <c r="AK368" s="20">
        <v>0</v>
      </c>
      <c r="AO368" s="20" t="s">
        <v>1173</v>
      </c>
      <c r="AR368" s="20">
        <v>0</v>
      </c>
      <c r="AS368" s="20">
        <v>10112</v>
      </c>
      <c r="AV368" s="20" t="s">
        <v>1174</v>
      </c>
      <c r="AX368" s="20">
        <v>62128510024</v>
      </c>
      <c r="AY368" s="20">
        <v>62035811024</v>
      </c>
      <c r="AZ368" s="20">
        <v>55187694024</v>
      </c>
      <c r="BA368" s="20" t="s">
        <v>1175</v>
      </c>
      <c r="BB368" s="20" t="s">
        <v>1176</v>
      </c>
      <c r="BC368" s="20" t="s">
        <v>1177</v>
      </c>
      <c r="BD368" s="20">
        <v>1</v>
      </c>
      <c r="BE368" s="20">
        <v>0</v>
      </c>
      <c r="BF368" s="20">
        <v>0</v>
      </c>
      <c r="BG368" s="20">
        <v>0</v>
      </c>
      <c r="BN368" s="20" t="s">
        <v>1178</v>
      </c>
      <c r="BV368" s="20">
        <v>0</v>
      </c>
      <c r="CL368" s="20">
        <v>0</v>
      </c>
      <c r="DD368" s="20" t="s">
        <v>1179</v>
      </c>
      <c r="DE368" s="20" t="s">
        <v>1179</v>
      </c>
      <c r="DI368" s="20">
        <v>0</v>
      </c>
      <c r="DP368" s="21" t="s">
        <v>1180</v>
      </c>
      <c r="DQ368" s="21">
        <f>PartsMaster!$A360</f>
        <v>0</v>
      </c>
      <c r="DR368" s="21" t="s">
        <v>1181</v>
      </c>
      <c r="DS368" s="21" t="str">
        <f>PartsMaster!$K361&amp;" "&amp;PartsMaster!L361&amp;" "&amp;PartsMaster!$M361</f>
        <v xml:space="preserve">  </v>
      </c>
    </row>
    <row r="369" spans="1:123" hidden="1" x14ac:dyDescent="0.25">
      <c r="A369" s="20" t="s">
        <v>1166</v>
      </c>
      <c r="B369" s="20" t="s">
        <v>1167</v>
      </c>
      <c r="C369" s="20" t="s">
        <v>1168</v>
      </c>
      <c r="D369" s="21" t="str">
        <f>PartsMaster!B361&amp;" "&amp;PartsMaster!$C361</f>
        <v xml:space="preserve">Jaguar XK8 XKR X100 Oil Gearbox </v>
      </c>
      <c r="E369" s="20">
        <v>3000</v>
      </c>
      <c r="F369" s="20" t="s">
        <v>1182</v>
      </c>
      <c r="H369" s="21">
        <f>PartsMaster!$Q361</f>
        <v>0</v>
      </c>
      <c r="I369" s="20">
        <v>9886</v>
      </c>
      <c r="K369" s="20">
        <v>0</v>
      </c>
      <c r="L369" s="20">
        <v>0</v>
      </c>
      <c r="M369" s="21">
        <f>PartsMaster!$D361</f>
        <v>0</v>
      </c>
      <c r="O369" s="20" t="s">
        <v>1169</v>
      </c>
      <c r="P369" s="23">
        <f>PartsMaster!$S361/1.45</f>
        <v>0</v>
      </c>
      <c r="S369" s="20">
        <v>30</v>
      </c>
      <c r="T369" s="20">
        <v>0</v>
      </c>
      <c r="U369" s="20" t="s">
        <v>1170</v>
      </c>
      <c r="Z369" s="26" t="str">
        <f>"&lt;P&gt;"&amp;PartsMaster!$I361&amp;" "&amp;PartsMaster!$H361&amp;"&lt;/P&gt;"&amp;"&lt;P&gt;Jaguar part name "&amp;PartsMaster!$E361&amp;"&lt;/P&gt;&lt;P&gt;Product numbers "&amp;PartsMaster!R361&amp;" "&amp;DQ369&amp;"&lt;/P&gt;&lt;P&gt;Fits starting from VIN/ModelYear "&amp;PartsMaster!$F361&amp;" until VIN/ModelYear "&amp;PartsMaster!$G361&amp;"&lt;/P&gt;&lt;P&gt;Condition: "&amp;PartsMaster!AB361&amp;"&lt;/P&gt;&lt;P&gt; (part source "&amp;PartsMaster!AD361&amp;")&lt;/P&gt;&lt;P&gt;Notes: "&amp;PartsMaster!AA361&amp;"&lt;/P&gt;"</f>
        <v>&lt;P&gt; Fluid / Oil&lt;/P&gt;&lt;P&gt;Jaguar part name &lt;/P&gt;&lt;P&gt;Product numbers  0&lt;/P&gt;&lt;P&gt;Fits starting from VIN/ModelYear  until VIN/ModelYear &lt;/P&gt;&lt;P&gt;Condition: &lt;/P&gt;&lt;P&gt; (part source )&lt;/P&gt;&lt;P&gt;Notes: &lt;/P&gt;</v>
      </c>
      <c r="AA369" s="20" t="s">
        <v>1171</v>
      </c>
      <c r="AC369" s="20">
        <v>0</v>
      </c>
      <c r="AD369" s="20">
        <v>0</v>
      </c>
      <c r="AE369" s="20" t="s">
        <v>1172</v>
      </c>
      <c r="AF369" s="20">
        <v>7</v>
      </c>
      <c r="AG369" s="20">
        <v>0</v>
      </c>
      <c r="AH369" s="20">
        <v>0</v>
      </c>
      <c r="AI369" s="20">
        <v>0</v>
      </c>
      <c r="AJ369" s="20">
        <v>0</v>
      </c>
      <c r="AK369" s="20">
        <v>0</v>
      </c>
      <c r="AO369" s="20" t="s">
        <v>1173</v>
      </c>
      <c r="AR369" s="20">
        <v>0</v>
      </c>
      <c r="AS369" s="20">
        <v>10112</v>
      </c>
      <c r="AV369" s="20" t="s">
        <v>1174</v>
      </c>
      <c r="AX369" s="20">
        <v>62128510024</v>
      </c>
      <c r="AY369" s="20">
        <v>62035811024</v>
      </c>
      <c r="AZ369" s="20">
        <v>55187694024</v>
      </c>
      <c r="BA369" s="20" t="s">
        <v>1175</v>
      </c>
      <c r="BB369" s="20" t="s">
        <v>1176</v>
      </c>
      <c r="BC369" s="20" t="s">
        <v>1177</v>
      </c>
      <c r="BD369" s="20">
        <v>1</v>
      </c>
      <c r="BE369" s="20">
        <v>0</v>
      </c>
      <c r="BF369" s="20">
        <v>0</v>
      </c>
      <c r="BG369" s="20">
        <v>0</v>
      </c>
      <c r="BN369" s="20" t="s">
        <v>1178</v>
      </c>
      <c r="BV369" s="20">
        <v>0</v>
      </c>
      <c r="CL369" s="20">
        <v>0</v>
      </c>
      <c r="DD369" s="20" t="s">
        <v>1179</v>
      </c>
      <c r="DE369" s="20" t="s">
        <v>1179</v>
      </c>
      <c r="DI369" s="20">
        <v>0</v>
      </c>
      <c r="DP369" s="21" t="s">
        <v>1180</v>
      </c>
      <c r="DQ369" s="21">
        <f>PartsMaster!$A361</f>
        <v>0</v>
      </c>
      <c r="DR369" s="21" t="s">
        <v>1181</v>
      </c>
      <c r="DS369" s="21" t="str">
        <f>PartsMaster!$K362&amp;" "&amp;PartsMaster!L362&amp;" "&amp;PartsMaster!$M362</f>
        <v xml:space="preserve">  </v>
      </c>
    </row>
    <row r="370" spans="1:123" ht="30" hidden="1" x14ac:dyDescent="0.25">
      <c r="A370" s="20" t="s">
        <v>1166</v>
      </c>
      <c r="B370" s="20" t="s">
        <v>1167</v>
      </c>
      <c r="C370" s="20" t="s">
        <v>1168</v>
      </c>
      <c r="D370" s="21" t="str">
        <f>PartsMaster!B362&amp;" "&amp;PartsMaster!$C362</f>
        <v xml:space="preserve">Jaguar XK8 XKR X100 Renew </v>
      </c>
      <c r="E370" s="20">
        <v>3000</v>
      </c>
      <c r="F370" s="20" t="s">
        <v>1182</v>
      </c>
      <c r="H370" s="21">
        <f>PartsMaster!$Q362</f>
        <v>0</v>
      </c>
      <c r="I370" s="20">
        <v>9886</v>
      </c>
      <c r="K370" s="20">
        <v>0</v>
      </c>
      <c r="L370" s="20">
        <v>0</v>
      </c>
      <c r="M370" s="21">
        <f>PartsMaster!$D362</f>
        <v>0</v>
      </c>
      <c r="O370" s="20" t="s">
        <v>1169</v>
      </c>
      <c r="P370" s="23">
        <f>PartsMaster!$S362/1.45</f>
        <v>0</v>
      </c>
      <c r="S370" s="20">
        <v>30</v>
      </c>
      <c r="T370" s="20">
        <v>0</v>
      </c>
      <c r="U370" s="20" t="s">
        <v>1170</v>
      </c>
      <c r="Z370" s="26" t="str">
        <f>"&lt;P&gt;"&amp;PartsMaster!$I362&amp;" "&amp;PartsMaster!$H362&amp;"&lt;/P&gt;"&amp;"&lt;P&gt;Jaguar part name "&amp;PartsMaster!$E362&amp;"&lt;/P&gt;&lt;P&gt;Product numbers "&amp;PartsMaster!R362&amp;" "&amp;DQ370&amp;"&lt;/P&gt;&lt;P&gt;Fits starting from VIN/ModelYear "&amp;PartsMaster!$F362&amp;" until VIN/ModelYear "&amp;PartsMaster!$G362&amp;"&lt;/P&gt;&lt;P&gt;Condition: "&amp;PartsMaster!AB362&amp;"&lt;/P&gt;&lt;P&gt; (part source "&amp;PartsMaster!AD362&amp;")&lt;/P&gt;&lt;P&gt;Notes: "&amp;PartsMaster!AA362&amp;"&lt;/P&gt;"</f>
        <v>&lt;P&gt; &lt;/P&gt;&lt;P&gt;Jaguar part name &lt;/P&gt;&lt;P&gt;Product numbers  0&lt;/P&gt;&lt;P&gt;Fits starting from VIN/ModelYear  until VIN/ModelYear &lt;/P&gt;&lt;P&gt;Condition: &lt;/P&gt;&lt;P&gt; (part source )&lt;/P&gt;&lt;P&gt;Notes: &lt;/P&gt;</v>
      </c>
      <c r="AA370" s="20" t="s">
        <v>1171</v>
      </c>
      <c r="AC370" s="20">
        <v>0</v>
      </c>
      <c r="AD370" s="20">
        <v>0</v>
      </c>
      <c r="AE370" s="20" t="s">
        <v>1172</v>
      </c>
      <c r="AF370" s="20">
        <v>7</v>
      </c>
      <c r="AG370" s="20">
        <v>0</v>
      </c>
      <c r="AH370" s="20">
        <v>0</v>
      </c>
      <c r="AI370" s="20">
        <v>0</v>
      </c>
      <c r="AJ370" s="20">
        <v>0</v>
      </c>
      <c r="AK370" s="20">
        <v>0</v>
      </c>
      <c r="AO370" s="20" t="s">
        <v>1173</v>
      </c>
      <c r="AR370" s="20">
        <v>0</v>
      </c>
      <c r="AS370" s="20">
        <v>10112</v>
      </c>
      <c r="AV370" s="20" t="s">
        <v>1174</v>
      </c>
      <c r="AX370" s="20">
        <v>62128510024</v>
      </c>
      <c r="AY370" s="20">
        <v>62035811024</v>
      </c>
      <c r="AZ370" s="20">
        <v>55187694024</v>
      </c>
      <c r="BA370" s="20" t="s">
        <v>1175</v>
      </c>
      <c r="BB370" s="20" t="s">
        <v>1176</v>
      </c>
      <c r="BC370" s="20" t="s">
        <v>1177</v>
      </c>
      <c r="BD370" s="20">
        <v>1</v>
      </c>
      <c r="BE370" s="20">
        <v>0</v>
      </c>
      <c r="BF370" s="20">
        <v>0</v>
      </c>
      <c r="BG370" s="20">
        <v>0</v>
      </c>
      <c r="BN370" s="20" t="s">
        <v>1178</v>
      </c>
      <c r="BV370" s="20">
        <v>0</v>
      </c>
      <c r="CL370" s="20">
        <v>0</v>
      </c>
      <c r="DD370" s="20" t="s">
        <v>1179</v>
      </c>
      <c r="DE370" s="20" t="s">
        <v>1179</v>
      </c>
      <c r="DI370" s="20">
        <v>0</v>
      </c>
      <c r="DP370" s="21" t="s">
        <v>1180</v>
      </c>
      <c r="DQ370" s="21">
        <f>PartsMaster!$A362</f>
        <v>0</v>
      </c>
      <c r="DR370" s="21" t="s">
        <v>1181</v>
      </c>
      <c r="DS370" s="21" t="str">
        <f>PartsMaster!$K363&amp;" "&amp;PartsMaster!L363&amp;" "&amp;PartsMaster!$M363</f>
        <v xml:space="preserve">  </v>
      </c>
    </row>
    <row r="371" spans="1:123" ht="30" hidden="1" x14ac:dyDescent="0.25">
      <c r="A371" s="20" t="s">
        <v>1166</v>
      </c>
      <c r="B371" s="20" t="s">
        <v>1167</v>
      </c>
      <c r="C371" s="20" t="s">
        <v>1168</v>
      </c>
      <c r="D371" s="21" t="str">
        <f>PartsMaster!B363&amp;" "&amp;PartsMaster!$C363</f>
        <v xml:space="preserve">Jaguar XK8 XKR X100 Repaint Armrest Center </v>
      </c>
      <c r="E371" s="20">
        <v>3000</v>
      </c>
      <c r="F371" s="20" t="s">
        <v>1182</v>
      </c>
      <c r="H371" s="21">
        <f>PartsMaster!$Q363</f>
        <v>0</v>
      </c>
      <c r="I371" s="20">
        <v>9886</v>
      </c>
      <c r="K371" s="20">
        <v>0</v>
      </c>
      <c r="L371" s="20">
        <v>0</v>
      </c>
      <c r="M371" s="21">
        <f>PartsMaster!$D363</f>
        <v>0</v>
      </c>
      <c r="O371" s="20" t="s">
        <v>1169</v>
      </c>
      <c r="P371" s="23">
        <f>PartsMaster!$S363/1.45</f>
        <v>0</v>
      </c>
      <c r="S371" s="20">
        <v>30</v>
      </c>
      <c r="T371" s="20">
        <v>0</v>
      </c>
      <c r="U371" s="20" t="s">
        <v>1170</v>
      </c>
      <c r="Z371" s="26" t="str">
        <f>"&lt;P&gt;"&amp;PartsMaster!$I363&amp;" "&amp;PartsMaster!$H363&amp;"&lt;/P&gt;"&amp;"&lt;P&gt;Jaguar part name "&amp;PartsMaster!$E363&amp;"&lt;/P&gt;&lt;P&gt;Product numbers "&amp;PartsMaster!R363&amp;" "&amp;DQ371&amp;"&lt;/P&gt;&lt;P&gt;Fits starting from VIN/ModelYear "&amp;PartsMaster!$F363&amp;" until VIN/ModelYear "&amp;PartsMaster!$G363&amp;"&lt;/P&gt;&lt;P&gt;Condition: "&amp;PartsMaster!AB363&amp;"&lt;/P&gt;&lt;P&gt; (part source "&amp;PartsMaster!AD363&amp;")&lt;/P&gt;&lt;P&gt;Notes: "&amp;PartsMaster!AA363&amp;"&lt;/P&gt;"</f>
        <v>&lt;P&gt; &lt;/P&gt;&lt;P&gt;Jaguar part name &lt;/P&gt;&lt;P&gt;Product numbers  0&lt;/P&gt;&lt;P&gt;Fits starting from VIN/ModelYear  until VIN/ModelYear &lt;/P&gt;&lt;P&gt;Condition: &lt;/P&gt;&lt;P&gt; (part source )&lt;/P&gt;&lt;P&gt;Notes: &lt;/P&gt;</v>
      </c>
      <c r="AA371" s="20" t="s">
        <v>1171</v>
      </c>
      <c r="AC371" s="20">
        <v>0</v>
      </c>
      <c r="AD371" s="20">
        <v>0</v>
      </c>
      <c r="AE371" s="20" t="s">
        <v>1172</v>
      </c>
      <c r="AF371" s="20">
        <v>7</v>
      </c>
      <c r="AG371" s="20">
        <v>0</v>
      </c>
      <c r="AH371" s="20">
        <v>0</v>
      </c>
      <c r="AI371" s="20">
        <v>0</v>
      </c>
      <c r="AJ371" s="20">
        <v>0</v>
      </c>
      <c r="AK371" s="20">
        <v>0</v>
      </c>
      <c r="AO371" s="20" t="s">
        <v>1173</v>
      </c>
      <c r="AR371" s="20">
        <v>0</v>
      </c>
      <c r="AS371" s="20">
        <v>10112</v>
      </c>
      <c r="AV371" s="20" t="s">
        <v>1174</v>
      </c>
      <c r="AX371" s="20">
        <v>62128510024</v>
      </c>
      <c r="AY371" s="20">
        <v>62035811024</v>
      </c>
      <c r="AZ371" s="20">
        <v>55187694024</v>
      </c>
      <c r="BA371" s="20" t="s">
        <v>1175</v>
      </c>
      <c r="BB371" s="20" t="s">
        <v>1176</v>
      </c>
      <c r="BC371" s="20" t="s">
        <v>1177</v>
      </c>
      <c r="BD371" s="20">
        <v>1</v>
      </c>
      <c r="BE371" s="20">
        <v>0</v>
      </c>
      <c r="BF371" s="20">
        <v>0</v>
      </c>
      <c r="BG371" s="20">
        <v>0</v>
      </c>
      <c r="BN371" s="20" t="s">
        <v>1178</v>
      </c>
      <c r="BV371" s="20">
        <v>0</v>
      </c>
      <c r="CL371" s="20">
        <v>0</v>
      </c>
      <c r="DD371" s="20" t="s">
        <v>1179</v>
      </c>
      <c r="DE371" s="20" t="s">
        <v>1179</v>
      </c>
      <c r="DI371" s="20">
        <v>0</v>
      </c>
      <c r="DP371" s="21" t="s">
        <v>1180</v>
      </c>
      <c r="DQ371" s="21">
        <f>PartsMaster!$A363</f>
        <v>0</v>
      </c>
      <c r="DR371" s="21" t="s">
        <v>1181</v>
      </c>
      <c r="DS371" s="21" t="str">
        <f>PartsMaster!$K364&amp;" "&amp;PartsMaster!L364&amp;" "&amp;PartsMaster!$M364</f>
        <v xml:space="preserve">  </v>
      </c>
    </row>
    <row r="372" spans="1:123" ht="30" x14ac:dyDescent="0.25">
      <c r="A372" s="20" t="s">
        <v>1166</v>
      </c>
      <c r="B372" s="20" t="s">
        <v>1167</v>
      </c>
      <c r="C372" s="20" t="s">
        <v>1168</v>
      </c>
      <c r="D372" s="21" t="str">
        <f>PartsMaster!B50&amp;" "&amp;PartsMaster!$C50</f>
        <v>Jaguar XK8 XKR X100 Plenum cover screw</v>
      </c>
      <c r="E372" s="20">
        <v>3000</v>
      </c>
      <c r="F372" s="20" t="s">
        <v>1182</v>
      </c>
      <c r="H372" s="21" t="str">
        <f>PartsMaster!$Q50</f>
        <v>Screw</v>
      </c>
      <c r="I372" s="20">
        <v>9886</v>
      </c>
      <c r="K372" s="20">
        <v>0</v>
      </c>
      <c r="L372" s="20">
        <v>0</v>
      </c>
      <c r="M372" s="21">
        <f>PartsMaster!$D50</f>
        <v>0</v>
      </c>
      <c r="O372" s="20" t="s">
        <v>1169</v>
      </c>
      <c r="P372" s="23">
        <f>PartsMaster!$S50/1.45</f>
        <v>0</v>
      </c>
      <c r="S372" s="20">
        <v>30</v>
      </c>
      <c r="T372" s="20">
        <v>0</v>
      </c>
      <c r="U372" s="20" t="s">
        <v>1170</v>
      </c>
      <c r="Z372" s="26" t="str">
        <f>"&lt;P&gt;"&amp;PartsMaster!$I50&amp;" "&amp;PartsMaster!$H50&amp;"&lt;/P&gt;"&amp;"&lt;P&gt;Jaguar part name "&amp;PartsMaster!$E50&amp;"&lt;/P&gt;&lt;P&gt;Product numbers "&amp;PartsMaster!R50&amp;" "&amp;DQ372&amp;"&lt;/P&gt;&lt;P&gt;Fits starting from VIN/ModelYear "&amp;PartsMaster!$F50&amp;" until VIN/ModelYear "&amp;PartsMaster!$G50&amp;"&lt;/P&gt;&lt;P&gt;Condition: "&amp;PartsMaster!AB50&amp;"&lt;/P&gt;&lt;P&gt; (part source "&amp;PartsMaster!AD50&amp;")&lt;/P&gt;&lt;P&gt;Notes: "&amp;PartsMaster!AA50&amp;"&lt;/P&gt;"</f>
        <v>&lt;P&gt; Bolt / Screw&lt;/P&gt;&lt;P&gt;Jaguar part name &lt;/P&gt;&lt;P&gt;Product numbers JDA60804C EU JDA60805C / JDA60804C&lt;/P&gt;&lt;P&gt;Fits starting from VIN/ModelYear  until VIN/ModelYear &lt;/P&gt;&lt;P&gt;Condition: SNG Barrat&lt;/P&gt;&lt;P&gt; (part source )&lt;/P&gt;&lt;P&gt;Notes: &lt;/P&gt;</v>
      </c>
      <c r="AA372" s="20" t="s">
        <v>1171</v>
      </c>
      <c r="AC372" s="20">
        <v>0</v>
      </c>
      <c r="AD372" s="20">
        <v>0</v>
      </c>
      <c r="AE372" s="20" t="s">
        <v>1172</v>
      </c>
      <c r="AF372" s="20">
        <v>7</v>
      </c>
      <c r="AG372" s="20">
        <v>0</v>
      </c>
      <c r="AH372" s="20">
        <v>0</v>
      </c>
      <c r="AI372" s="20">
        <v>0</v>
      </c>
      <c r="AJ372" s="20">
        <v>0</v>
      </c>
      <c r="AK372" s="20">
        <v>0</v>
      </c>
      <c r="AO372" s="20" t="s">
        <v>1173</v>
      </c>
      <c r="AR372" s="20">
        <v>0</v>
      </c>
      <c r="AS372" s="20">
        <v>10112</v>
      </c>
      <c r="AV372" s="20" t="s">
        <v>1174</v>
      </c>
      <c r="AX372" s="20">
        <v>62128510024</v>
      </c>
      <c r="AY372" s="20">
        <v>62035811024</v>
      </c>
      <c r="AZ372" s="20">
        <v>55187694024</v>
      </c>
      <c r="BA372" s="20" t="s">
        <v>1175</v>
      </c>
      <c r="BB372" s="20" t="s">
        <v>1176</v>
      </c>
      <c r="BC372" s="20" t="s">
        <v>1177</v>
      </c>
      <c r="BD372" s="20">
        <v>1</v>
      </c>
      <c r="BE372" s="20">
        <v>0</v>
      </c>
      <c r="BF372" s="20">
        <v>0</v>
      </c>
      <c r="BG372" s="20">
        <v>0</v>
      </c>
      <c r="BN372" s="20" t="s">
        <v>1178</v>
      </c>
      <c r="BV372" s="20">
        <v>0</v>
      </c>
      <c r="CL372" s="20">
        <v>0</v>
      </c>
      <c r="DD372" s="20" t="s">
        <v>1179</v>
      </c>
      <c r="DE372" s="20" t="s">
        <v>1179</v>
      </c>
      <c r="DI372" s="20">
        <v>0</v>
      </c>
      <c r="DP372" s="21" t="s">
        <v>1180</v>
      </c>
      <c r="DQ372" s="21" t="str">
        <f>PartsMaster!$A50</f>
        <v>EU JDA60805C / JDA60804C</v>
      </c>
      <c r="DR372" s="21" t="s">
        <v>1181</v>
      </c>
      <c r="DS372" s="21" t="str">
        <f>PartsMaster!$K51&amp;" "&amp;PartsMaster!L51&amp;" "&amp;PartsMaster!$M51</f>
        <v xml:space="preserve"> Center </v>
      </c>
    </row>
    <row r="373" spans="1:123" ht="30" x14ac:dyDescent="0.25">
      <c r="A373" s="20" t="s">
        <v>1166</v>
      </c>
      <c r="B373" s="20" t="s">
        <v>1167</v>
      </c>
      <c r="C373" s="20" t="s">
        <v>1168</v>
      </c>
      <c r="D373" s="21" t="str">
        <f>PartsMaster!B72&amp;" "&amp;PartsMaster!$C72</f>
        <v>Jaguar XK8 XKR X100 Door handle</v>
      </c>
      <c r="E373" s="20">
        <v>3000</v>
      </c>
      <c r="F373" s="20" t="s">
        <v>1182</v>
      </c>
      <c r="H373" s="21" t="str">
        <f>PartsMaster!$Q72</f>
        <v>Door handle</v>
      </c>
      <c r="I373" s="20">
        <v>9886</v>
      </c>
      <c r="K373" s="20">
        <v>0</v>
      </c>
      <c r="L373" s="20">
        <v>0</v>
      </c>
      <c r="M373" s="21">
        <f>PartsMaster!$D72</f>
        <v>1</v>
      </c>
      <c r="O373" s="20" t="s">
        <v>1169</v>
      </c>
      <c r="P373" s="23">
        <f>PartsMaster!$S72/1.45</f>
        <v>75.862068965517238</v>
      </c>
      <c r="S373" s="20">
        <v>30</v>
      </c>
      <c r="T373" s="20">
        <v>0</v>
      </c>
      <c r="U373" s="20" t="s">
        <v>1170</v>
      </c>
      <c r="Z373" s="26" t="str">
        <f>"&lt;P&gt;"&amp;PartsMaster!$I72&amp;" "&amp;PartsMaster!$H72&amp;"&lt;/P&gt;"&amp;"&lt;P&gt;Jaguar part name "&amp;PartsMaster!$E72&amp;"&lt;/P&gt;&lt;P&gt;Product numbers "&amp;PartsMaster!R72&amp;" "&amp;DQ373&amp;"&lt;/P&gt;&lt;P&gt;Fits starting from VIN/ModelYear "&amp;PartsMaster!$F72&amp;" until VIN/ModelYear "&amp;PartsMaster!$G72&amp;"&lt;/P&gt;&lt;P&gt;Condition: "&amp;PartsMaster!AB72&amp;"&lt;/P&gt;&lt;P&gt; (part source "&amp;PartsMaster!AD72&amp;")&lt;/P&gt;&lt;P&gt;Notes: "&amp;PartsMaster!AA72&amp;"&lt;/P&gt;"</f>
        <v>&lt;P&gt;Handle Interior handle&lt;/P&gt;&lt;P&gt;Jaguar part name BODY CLOSURES AND SEALING/DOOR HANDLES AND LOCKS - Remote control handle&lt;/P&gt;&lt;P&gt;Product numbers GJA1100BC SDC GJA1100BC SDC&lt;/P&gt;&lt;P&gt;Fits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373" s="20" t="s">
        <v>1171</v>
      </c>
      <c r="AC373" s="20">
        <v>0</v>
      </c>
      <c r="AD373" s="20">
        <v>0</v>
      </c>
      <c r="AE373" s="20" t="s">
        <v>1172</v>
      </c>
      <c r="AF373" s="20">
        <v>7</v>
      </c>
      <c r="AG373" s="20">
        <v>0</v>
      </c>
      <c r="AH373" s="20">
        <v>0</v>
      </c>
      <c r="AI373" s="20">
        <v>0</v>
      </c>
      <c r="AJ373" s="20">
        <v>0</v>
      </c>
      <c r="AK373" s="20">
        <v>0</v>
      </c>
      <c r="AO373" s="20" t="s">
        <v>1173</v>
      </c>
      <c r="AR373" s="20">
        <v>0</v>
      </c>
      <c r="AS373" s="20">
        <v>10112</v>
      </c>
      <c r="AV373" s="20" t="s">
        <v>1174</v>
      </c>
      <c r="AX373" s="20">
        <v>62128510024</v>
      </c>
      <c r="AY373" s="20">
        <v>62035811024</v>
      </c>
      <c r="AZ373" s="20">
        <v>55187694024</v>
      </c>
      <c r="BA373" s="20" t="s">
        <v>1175</v>
      </c>
      <c r="BB373" s="20" t="s">
        <v>1176</v>
      </c>
      <c r="BC373" s="20" t="s">
        <v>1177</v>
      </c>
      <c r="BD373" s="20">
        <v>1</v>
      </c>
      <c r="BE373" s="20">
        <v>0</v>
      </c>
      <c r="BF373" s="20">
        <v>0</v>
      </c>
      <c r="BG373" s="20">
        <v>0</v>
      </c>
      <c r="BN373" s="20" t="s">
        <v>1178</v>
      </c>
      <c r="BV373" s="20">
        <v>0</v>
      </c>
      <c r="CL373" s="20">
        <v>0</v>
      </c>
      <c r="DD373" s="20" t="s">
        <v>1179</v>
      </c>
      <c r="DE373" s="20" t="s">
        <v>1179</v>
      </c>
      <c r="DI373" s="20">
        <v>0</v>
      </c>
      <c r="DP373" s="21" t="s">
        <v>1180</v>
      </c>
      <c r="DQ373" s="21" t="str">
        <f>PartsMaster!$A72</f>
        <v>GJA1100BC SDC</v>
      </c>
      <c r="DR373" s="21" t="s">
        <v>1181</v>
      </c>
      <c r="DS373" s="21" t="str">
        <f>PartsMaster!$K73&amp;" "&amp;PartsMaster!L73&amp;" "&amp;PartsMaster!$M73</f>
        <v xml:space="preserve">Center Right </v>
      </c>
    </row>
    <row r="374" spans="1:123" hidden="1" x14ac:dyDescent="0.25">
      <c r="A374" s="20" t="s">
        <v>1166</v>
      </c>
      <c r="B374" s="20" t="s">
        <v>1167</v>
      </c>
      <c r="C374" s="20" t="s">
        <v>1168</v>
      </c>
      <c r="D374" s="21" t="str">
        <f>PartsMaster!B404&amp;" "&amp;PartsMaster!$C404</f>
        <v>Jaguar XK8 XKR X100 Seat - Mechanism cover - Warm Charcoal</v>
      </c>
      <c r="E374" s="20">
        <v>3000</v>
      </c>
      <c r="F374" s="20" t="s">
        <v>1182</v>
      </c>
      <c r="H374" s="21">
        <f>PartsMaster!$Q404</f>
        <v>0</v>
      </c>
      <c r="I374" s="20">
        <v>9886</v>
      </c>
      <c r="K374" s="20">
        <v>0</v>
      </c>
      <c r="L374" s="20">
        <v>0</v>
      </c>
      <c r="M374" s="21">
        <f>PartsMaster!$D404</f>
        <v>0</v>
      </c>
      <c r="O374" s="20" t="s">
        <v>1169</v>
      </c>
      <c r="P374" s="23">
        <f>PartsMaster!$S404/1.45</f>
        <v>0</v>
      </c>
      <c r="S374" s="20">
        <v>30</v>
      </c>
      <c r="T374" s="20">
        <v>0</v>
      </c>
      <c r="U374" s="20" t="s">
        <v>1170</v>
      </c>
      <c r="Z374" s="26" t="str">
        <f>"&lt;P&gt;"&amp;PartsMaster!$I404&amp;" "&amp;PartsMaster!$H404&amp;"&lt;/P&gt;"&amp;"&lt;P&gt;Jaguar part name "&amp;PartsMaster!$E404&amp;"&lt;/P&gt;&lt;P&gt;Product numbers "&amp;PartsMaster!R404&amp;" "&amp;DQ374&amp;"&lt;/P&gt;&lt;P&gt;Fits starting from VIN/ModelYear "&amp;PartsMaster!$F404&amp;" until VIN/ModelYear "&amp;PartsMaster!$G404&amp;"&lt;/P&gt;&lt;P&gt;Condition: "&amp;PartsMaster!AB404&amp;"&lt;/P&gt;&lt;P&gt; (part source "&amp;PartsMaster!AD404&amp;")&lt;/P&gt;&lt;P&gt;Notes: "&amp;PartsMaster!AA404&amp;"&lt;/P&gt;"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374" s="20" t="s">
        <v>1171</v>
      </c>
      <c r="AC374" s="20">
        <v>0</v>
      </c>
      <c r="AD374" s="20">
        <v>0</v>
      </c>
      <c r="AE374" s="20" t="s">
        <v>1172</v>
      </c>
      <c r="AF374" s="20">
        <v>7</v>
      </c>
      <c r="AG374" s="20">
        <v>0</v>
      </c>
      <c r="AH374" s="20">
        <v>0</v>
      </c>
      <c r="AI374" s="20">
        <v>0</v>
      </c>
      <c r="AJ374" s="20">
        <v>0</v>
      </c>
      <c r="AK374" s="20">
        <v>0</v>
      </c>
      <c r="AO374" s="20" t="s">
        <v>1173</v>
      </c>
      <c r="AR374" s="20">
        <v>0</v>
      </c>
      <c r="AS374" s="20">
        <v>10112</v>
      </c>
      <c r="AV374" s="20" t="s">
        <v>1174</v>
      </c>
      <c r="AX374" s="20">
        <v>62128510024</v>
      </c>
      <c r="AY374" s="20">
        <v>62035811024</v>
      </c>
      <c r="AZ374" s="20">
        <v>55187694024</v>
      </c>
      <c r="BA374" s="20" t="s">
        <v>1175</v>
      </c>
      <c r="BB374" s="20" t="s">
        <v>1176</v>
      </c>
      <c r="BC374" s="20" t="s">
        <v>1177</v>
      </c>
      <c r="BD374" s="20">
        <v>1</v>
      </c>
      <c r="BE374" s="20">
        <v>0</v>
      </c>
      <c r="BF374" s="20">
        <v>0</v>
      </c>
      <c r="BG374" s="20">
        <v>0</v>
      </c>
      <c r="BN374" s="20" t="s">
        <v>1178</v>
      </c>
      <c r="BV374" s="20">
        <v>0</v>
      </c>
      <c r="CL374" s="20">
        <v>0</v>
      </c>
      <c r="DD374" s="20" t="s">
        <v>1179</v>
      </c>
      <c r="DE374" s="20" t="s">
        <v>1179</v>
      </c>
      <c r="DI374" s="20">
        <v>0</v>
      </c>
      <c r="DP374" s="21" t="s">
        <v>1180</v>
      </c>
      <c r="DQ374" s="21">
        <f>PartsMaster!$A404</f>
        <v>0</v>
      </c>
      <c r="DR374" s="21" t="s">
        <v>1181</v>
      </c>
      <c r="DS374" s="21" t="str">
        <f>PartsMaster!$K405&amp;" "&amp;PartsMaster!L405&amp;" "&amp;PartsMaster!$M405</f>
        <v xml:space="preserve">Front Left/Right </v>
      </c>
    </row>
    <row r="375" spans="1:123" hidden="1" x14ac:dyDescent="0.25">
      <c r="A375" s="20" t="s">
        <v>1166</v>
      </c>
      <c r="B375" s="20" t="s">
        <v>1167</v>
      </c>
      <c r="C375" s="20" t="s">
        <v>1168</v>
      </c>
      <c r="D375" s="21" t="str">
        <f>PartsMaster!B405&amp;" "&amp;PartsMaster!$C405</f>
        <v>Jaguar XK8 XKR X100 Signal light with body</v>
      </c>
      <c r="E375" s="20">
        <v>3000</v>
      </c>
      <c r="F375" s="20" t="s">
        <v>1182</v>
      </c>
      <c r="H375" s="21">
        <f>PartsMaster!$Q405</f>
        <v>0</v>
      </c>
      <c r="I375" s="20">
        <v>9886</v>
      </c>
      <c r="K375" s="20">
        <v>0</v>
      </c>
      <c r="L375" s="20">
        <v>0</v>
      </c>
      <c r="M375" s="21">
        <f>PartsMaster!$D405</f>
        <v>0</v>
      </c>
      <c r="O375" s="20" t="s">
        <v>1169</v>
      </c>
      <c r="P375" s="23">
        <f>PartsMaster!$S405/1.45</f>
        <v>0</v>
      </c>
      <c r="S375" s="20">
        <v>30</v>
      </c>
      <c r="T375" s="20">
        <v>0</v>
      </c>
      <c r="U375" s="20" t="s">
        <v>1170</v>
      </c>
      <c r="Z375" s="26" t="str">
        <f>"&lt;P&gt;"&amp;PartsMaster!$I405&amp;" "&amp;PartsMaster!$H405&amp;"&lt;/P&gt;"&amp;"&lt;P&gt;Jaguar part name "&amp;PartsMaster!$E405&amp;"&lt;/P&gt;&lt;P&gt;Product numbers "&amp;PartsMaster!R405&amp;" "&amp;DQ375&amp;"&lt;/P&gt;&lt;P&gt;Fits starting from VIN/ModelYear "&amp;PartsMaster!$F405&amp;" until VIN/ModelYear "&amp;PartsMaster!$G405&amp;"&lt;/P&gt;&lt;P&gt;Condition: "&amp;PartsMaster!AB405&amp;"&lt;/P&gt;&lt;P&gt; (part source "&amp;PartsMaster!AD405&amp;")&lt;/P&gt;&lt;P&gt;Notes: "&amp;PartsMaster!AA405&amp;"&lt;/P&gt;"</f>
        <v>&lt;P&gt;Light Bulp / Light&lt;/P&gt;&lt;P&gt;Jaguar part name &lt;/P&gt;&lt;P&gt;Product numbers  0&lt;/P&gt;&lt;P&gt;Fits starting from VIN/ModelYear  until VIN/ModelYear &lt;/P&gt;&lt;P&gt;Condition: jaguxkr@gmail.com&lt;/P&gt;&lt;P&gt; (part source )&lt;/P&gt;&lt;P&gt;Notes: &lt;/P&gt;</v>
      </c>
      <c r="AA375" s="20" t="s">
        <v>1171</v>
      </c>
      <c r="AC375" s="20">
        <v>0</v>
      </c>
      <c r="AD375" s="20">
        <v>0</v>
      </c>
      <c r="AE375" s="20" t="s">
        <v>1172</v>
      </c>
      <c r="AF375" s="20">
        <v>7</v>
      </c>
      <c r="AG375" s="20">
        <v>0</v>
      </c>
      <c r="AH375" s="20">
        <v>0</v>
      </c>
      <c r="AI375" s="20">
        <v>0</v>
      </c>
      <c r="AJ375" s="20">
        <v>0</v>
      </c>
      <c r="AK375" s="20">
        <v>0</v>
      </c>
      <c r="AO375" s="20" t="s">
        <v>1173</v>
      </c>
      <c r="AR375" s="20">
        <v>0</v>
      </c>
      <c r="AS375" s="20">
        <v>10112</v>
      </c>
      <c r="AV375" s="20" t="s">
        <v>1174</v>
      </c>
      <c r="AX375" s="20">
        <v>62128510024</v>
      </c>
      <c r="AY375" s="20">
        <v>62035811024</v>
      </c>
      <c r="AZ375" s="20">
        <v>55187694024</v>
      </c>
      <c r="BA375" s="20" t="s">
        <v>1175</v>
      </c>
      <c r="BB375" s="20" t="s">
        <v>1176</v>
      </c>
      <c r="BC375" s="20" t="s">
        <v>1177</v>
      </c>
      <c r="BD375" s="20">
        <v>1</v>
      </c>
      <c r="BE375" s="20">
        <v>0</v>
      </c>
      <c r="BF375" s="20">
        <v>0</v>
      </c>
      <c r="BG375" s="20">
        <v>0</v>
      </c>
      <c r="BN375" s="20" t="s">
        <v>1178</v>
      </c>
      <c r="BV375" s="20">
        <v>0</v>
      </c>
      <c r="CL375" s="20">
        <v>0</v>
      </c>
      <c r="DD375" s="20" t="s">
        <v>1179</v>
      </c>
      <c r="DE375" s="20" t="s">
        <v>1179</v>
      </c>
      <c r="DI375" s="20">
        <v>0</v>
      </c>
      <c r="DP375" s="21" t="s">
        <v>1180</v>
      </c>
      <c r="DQ375" s="21">
        <f>PartsMaster!$A405</f>
        <v>0</v>
      </c>
      <c r="DR375" s="21" t="s">
        <v>1181</v>
      </c>
      <c r="DS375" s="21" t="str">
        <f>PartsMaster!$K406&amp;" "&amp;PartsMaster!L406&amp;" "&amp;PartsMaster!$M406</f>
        <v>Front Left Low</v>
      </c>
    </row>
    <row r="376" spans="1:123" hidden="1" x14ac:dyDescent="0.25">
      <c r="A376" s="20" t="s">
        <v>1166</v>
      </c>
      <c r="B376" s="20" t="s">
        <v>1167</v>
      </c>
      <c r="C376" s="20" t="s">
        <v>1168</v>
      </c>
      <c r="D376" s="21" t="str">
        <f>PartsMaster!B368&amp;" "&amp;PartsMaster!$C368</f>
        <v>Jaguar XK8 XKR X100 Seat  - Mechanism cover</v>
      </c>
      <c r="E376" s="20">
        <v>3000</v>
      </c>
      <c r="F376" s="20" t="s">
        <v>1182</v>
      </c>
      <c r="H376" s="21">
        <f>PartsMaster!$Q368</f>
        <v>0</v>
      </c>
      <c r="I376" s="20">
        <v>9886</v>
      </c>
      <c r="K376" s="20">
        <v>0</v>
      </c>
      <c r="L376" s="20">
        <v>0</v>
      </c>
      <c r="M376" s="21">
        <f>PartsMaster!$D368</f>
        <v>0</v>
      </c>
      <c r="O376" s="20" t="s">
        <v>1169</v>
      </c>
      <c r="P376" s="23">
        <f>PartsMaster!$S368/1.45</f>
        <v>0</v>
      </c>
      <c r="S376" s="20">
        <v>30</v>
      </c>
      <c r="T376" s="20">
        <v>0</v>
      </c>
      <c r="U376" s="20" t="s">
        <v>1170</v>
      </c>
      <c r="Z376" s="26" t="str">
        <f>"&lt;P&gt;"&amp;PartsMaster!$I368&amp;" "&amp;PartsMaster!$H368&amp;"&lt;/P&gt;"&amp;"&lt;P&gt;Jaguar part name "&amp;PartsMaster!$E368&amp;"&lt;/P&gt;&lt;P&gt;Product numbers "&amp;PartsMaster!R368&amp;" "&amp;DQ376&amp;"&lt;/P&gt;&lt;P&gt;Fits starting from VIN/ModelYear "&amp;PartsMaster!$F368&amp;" until VIN/ModelYear "&amp;PartsMaster!$G368&amp;"&lt;/P&gt;&lt;P&gt;Condition: "&amp;PartsMaster!AB368&amp;"&lt;/P&gt;&lt;P&gt; (part source "&amp;PartsMaster!AD368&amp;")&lt;/P&gt;&lt;P&gt;Notes: "&amp;PartsMaster!AA368&amp;"&lt;/P&gt;"</f>
        <v>&lt;P&gt;Cap / Cover Cap / Cover / Trim&lt;/P&gt;&lt;P&gt;Jaguar part name &lt;/P&gt;&lt;P&gt;Product numbers  0&lt;/P&gt;&lt;P&gt;Fits starting from VIN/ModelYear 0 until VIN/ModelYear 18107&lt;/P&gt;&lt;P&gt;Condition: &lt;/P&gt;&lt;P&gt; (part source )&lt;/P&gt;&lt;P&gt;Notes: &lt;/P&gt;</v>
      </c>
      <c r="AA376" s="20" t="s">
        <v>1171</v>
      </c>
      <c r="AC376" s="20">
        <v>0</v>
      </c>
      <c r="AD376" s="20">
        <v>0</v>
      </c>
      <c r="AE376" s="20" t="s">
        <v>1172</v>
      </c>
      <c r="AF376" s="20">
        <v>7</v>
      </c>
      <c r="AG376" s="20">
        <v>0</v>
      </c>
      <c r="AH376" s="20">
        <v>0</v>
      </c>
      <c r="AI376" s="20">
        <v>0</v>
      </c>
      <c r="AJ376" s="20">
        <v>0</v>
      </c>
      <c r="AK376" s="20">
        <v>0</v>
      </c>
      <c r="AO376" s="20" t="s">
        <v>1173</v>
      </c>
      <c r="AR376" s="20">
        <v>0</v>
      </c>
      <c r="AS376" s="20">
        <v>10112</v>
      </c>
      <c r="AV376" s="20" t="s">
        <v>1174</v>
      </c>
      <c r="AX376" s="20">
        <v>62128510024</v>
      </c>
      <c r="AY376" s="20">
        <v>62035811024</v>
      </c>
      <c r="AZ376" s="20">
        <v>55187694024</v>
      </c>
      <c r="BA376" s="20" t="s">
        <v>1175</v>
      </c>
      <c r="BB376" s="20" t="s">
        <v>1176</v>
      </c>
      <c r="BC376" s="20" t="s">
        <v>1177</v>
      </c>
      <c r="BD376" s="20">
        <v>1</v>
      </c>
      <c r="BE376" s="20">
        <v>0</v>
      </c>
      <c r="BF376" s="20">
        <v>0</v>
      </c>
      <c r="BG376" s="20">
        <v>0</v>
      </c>
      <c r="BN376" s="20" t="s">
        <v>1178</v>
      </c>
      <c r="BV376" s="20">
        <v>0</v>
      </c>
      <c r="CL376" s="20">
        <v>0</v>
      </c>
      <c r="DD376" s="20" t="s">
        <v>1179</v>
      </c>
      <c r="DE376" s="20" t="s">
        <v>1179</v>
      </c>
      <c r="DI376" s="20">
        <v>0</v>
      </c>
      <c r="DP376" s="21" t="s">
        <v>1180</v>
      </c>
      <c r="DQ376" s="21">
        <f>PartsMaster!$A368</f>
        <v>0</v>
      </c>
      <c r="DR376" s="21" t="s">
        <v>1181</v>
      </c>
      <c r="DS376" s="21" t="str">
        <f>PartsMaster!$K369&amp;" "&amp;PartsMaster!L369&amp;" "&amp;PartsMaster!$M369</f>
        <v>Front Left Low</v>
      </c>
    </row>
    <row r="377" spans="1:123" hidden="1" x14ac:dyDescent="0.25">
      <c r="A377" s="20" t="s">
        <v>1166</v>
      </c>
      <c r="B377" s="20" t="s">
        <v>1167</v>
      </c>
      <c r="C377" s="20" t="s">
        <v>1168</v>
      </c>
      <c r="D377" s="21" t="str">
        <f>PartsMaster!B369&amp;" "&amp;PartsMaster!$C369</f>
        <v>Jaguar XK8 XKR X100 Seat  - Mechanism cover - Coffee</v>
      </c>
      <c r="E377" s="20">
        <v>3000</v>
      </c>
      <c r="F377" s="20" t="s">
        <v>1182</v>
      </c>
      <c r="H377" s="21">
        <f>PartsMaster!$Q369</f>
        <v>0</v>
      </c>
      <c r="I377" s="20">
        <v>9886</v>
      </c>
      <c r="K377" s="20">
        <v>0</v>
      </c>
      <c r="L377" s="20">
        <v>0</v>
      </c>
      <c r="M377" s="21">
        <f>PartsMaster!$D369</f>
        <v>0</v>
      </c>
      <c r="O377" s="20" t="s">
        <v>1169</v>
      </c>
      <c r="P377" s="23">
        <f>PartsMaster!$S369/1.45</f>
        <v>0</v>
      </c>
      <c r="S377" s="20">
        <v>30</v>
      </c>
      <c r="T377" s="20">
        <v>0</v>
      </c>
      <c r="U377" s="20" t="s">
        <v>1170</v>
      </c>
      <c r="Z377" s="26" t="str">
        <f>"&lt;P&gt;"&amp;PartsMaster!$I369&amp;" "&amp;PartsMaster!$H369&amp;"&lt;/P&gt;"&amp;"&lt;P&gt;Jaguar part name "&amp;PartsMaster!$E369&amp;"&lt;/P&gt;&lt;P&gt;Product numbers "&amp;PartsMaster!R369&amp;" "&amp;DQ377&amp;"&lt;/P&gt;&lt;P&gt;Fits starting from VIN/ModelYear "&amp;PartsMaster!$F369&amp;" until VIN/ModelYear "&amp;PartsMaster!$G369&amp;"&lt;/P&gt;&lt;P&gt;Condition: "&amp;PartsMaster!AB369&amp;"&lt;/P&gt;&lt;P&gt; (part source "&amp;PartsMaster!AD369&amp;")&lt;/P&gt;&lt;P&gt;Notes: "&amp;PartsMaster!AA369&amp;"&lt;/P&gt;"</f>
        <v>&lt;P&gt;Cap / Cover Cap / Cover / Trim&lt;/P&gt;&lt;P&gt;Jaguar part name &lt;/P&gt;&lt;P&gt;Product numbers  0&lt;/P&gt;&lt;P&gt;Fits starting from VIN/ModelYear 0 until VIN/ModelYear 18107&lt;/P&gt;&lt;P&gt;Condition: &lt;/P&gt;&lt;P&gt; (part source )&lt;/P&gt;&lt;P&gt;Notes: &lt;/P&gt;</v>
      </c>
      <c r="AA377" s="20" t="s">
        <v>1171</v>
      </c>
      <c r="AC377" s="20">
        <v>0</v>
      </c>
      <c r="AD377" s="20">
        <v>0</v>
      </c>
      <c r="AE377" s="20" t="s">
        <v>1172</v>
      </c>
      <c r="AF377" s="20">
        <v>7</v>
      </c>
      <c r="AG377" s="20">
        <v>0</v>
      </c>
      <c r="AH377" s="20">
        <v>0</v>
      </c>
      <c r="AI377" s="20">
        <v>0</v>
      </c>
      <c r="AJ377" s="20">
        <v>0</v>
      </c>
      <c r="AK377" s="20">
        <v>0</v>
      </c>
      <c r="AO377" s="20" t="s">
        <v>1173</v>
      </c>
      <c r="AR377" s="20">
        <v>0</v>
      </c>
      <c r="AS377" s="20">
        <v>10112</v>
      </c>
      <c r="AV377" s="20" t="s">
        <v>1174</v>
      </c>
      <c r="AX377" s="20">
        <v>62128510024</v>
      </c>
      <c r="AY377" s="20">
        <v>62035811024</v>
      </c>
      <c r="AZ377" s="20">
        <v>55187694024</v>
      </c>
      <c r="BA377" s="20" t="s">
        <v>1175</v>
      </c>
      <c r="BB377" s="20" t="s">
        <v>1176</v>
      </c>
      <c r="BC377" s="20" t="s">
        <v>1177</v>
      </c>
      <c r="BD377" s="20">
        <v>1</v>
      </c>
      <c r="BE377" s="20">
        <v>0</v>
      </c>
      <c r="BF377" s="20">
        <v>0</v>
      </c>
      <c r="BG377" s="20">
        <v>0</v>
      </c>
      <c r="BN377" s="20" t="s">
        <v>1178</v>
      </c>
      <c r="BV377" s="20">
        <v>0</v>
      </c>
      <c r="CL377" s="20">
        <v>0</v>
      </c>
      <c r="DD377" s="20" t="s">
        <v>1179</v>
      </c>
      <c r="DE377" s="20" t="s">
        <v>1179</v>
      </c>
      <c r="DI377" s="20">
        <v>0</v>
      </c>
      <c r="DP377" s="21" t="s">
        <v>1180</v>
      </c>
      <c r="DQ377" s="21">
        <f>PartsMaster!$A369</f>
        <v>0</v>
      </c>
      <c r="DR377" s="21" t="s">
        <v>1181</v>
      </c>
      <c r="DS377" s="21" t="str">
        <f>PartsMaster!$K370&amp;" "&amp;PartsMaster!L370&amp;" "&amp;PartsMaster!$M370</f>
        <v>Front Left Low</v>
      </c>
    </row>
    <row r="378" spans="1:123" hidden="1" x14ac:dyDescent="0.25">
      <c r="A378" s="20" t="s">
        <v>1166</v>
      </c>
      <c r="B378" s="20" t="s">
        <v>1167</v>
      </c>
      <c r="C378" s="20" t="s">
        <v>1168</v>
      </c>
      <c r="D378" s="21" t="str">
        <f>PartsMaster!B370&amp;" "&amp;PartsMaster!$C370</f>
        <v>Jaguar XK8 XKR X100 Seat  - Mechanism cover - Coffee</v>
      </c>
      <c r="E378" s="20">
        <v>3000</v>
      </c>
      <c r="F378" s="20" t="s">
        <v>1182</v>
      </c>
      <c r="H378" s="21">
        <f>PartsMaster!$Q370</f>
        <v>0</v>
      </c>
      <c r="I378" s="20">
        <v>9886</v>
      </c>
      <c r="K378" s="20">
        <v>0</v>
      </c>
      <c r="L378" s="20">
        <v>0</v>
      </c>
      <c r="M378" s="21">
        <f>PartsMaster!$D370</f>
        <v>0</v>
      </c>
      <c r="O378" s="20" t="s">
        <v>1169</v>
      </c>
      <c r="P378" s="23">
        <f>PartsMaster!$S370/1.45</f>
        <v>0</v>
      </c>
      <c r="S378" s="20">
        <v>30</v>
      </c>
      <c r="T378" s="20">
        <v>0</v>
      </c>
      <c r="U378" s="20" t="s">
        <v>1170</v>
      </c>
      <c r="Z378" s="26" t="str">
        <f>"&lt;P&gt;"&amp;PartsMaster!$I370&amp;" "&amp;PartsMaster!$H370&amp;"&lt;/P&gt;"&amp;"&lt;P&gt;Jaguar part name "&amp;PartsMaster!$E370&amp;"&lt;/P&gt;&lt;P&gt;Product numbers "&amp;PartsMaster!R370&amp;" "&amp;DQ378&amp;"&lt;/P&gt;&lt;P&gt;Fits starting from VIN/ModelYear "&amp;PartsMaster!$F370&amp;" until VIN/ModelYear "&amp;PartsMaster!$G370&amp;"&lt;/P&gt;&lt;P&gt;Condition: "&amp;PartsMaster!AB370&amp;"&lt;/P&gt;&lt;P&gt; (part source "&amp;PartsMaster!AD370&amp;")&lt;/P&gt;&lt;P&gt;Notes: "&amp;PartsMaster!AA370&amp;"&lt;/P&gt;"</f>
        <v>&lt;P&gt;Cap / Cover Cap / Cover / Trim&lt;/P&gt;&lt;P&gt;Jaguar part name &lt;/P&gt;&lt;P&gt;Product numbers  0&lt;/P&gt;&lt;P&gt;Fits starting from VIN/ModelYear 18108 until VIN/ModelYear -&lt;/P&gt;&lt;P&gt;Condition: &lt;/P&gt;&lt;P&gt; (part source )&lt;/P&gt;&lt;P&gt;Notes: &lt;/P&gt;</v>
      </c>
      <c r="AA378" s="20" t="s">
        <v>1171</v>
      </c>
      <c r="AC378" s="20">
        <v>0</v>
      </c>
      <c r="AD378" s="20">
        <v>0</v>
      </c>
      <c r="AE378" s="20" t="s">
        <v>1172</v>
      </c>
      <c r="AF378" s="20">
        <v>7</v>
      </c>
      <c r="AG378" s="20">
        <v>0</v>
      </c>
      <c r="AH378" s="20">
        <v>0</v>
      </c>
      <c r="AI378" s="20">
        <v>0</v>
      </c>
      <c r="AJ378" s="20">
        <v>0</v>
      </c>
      <c r="AK378" s="20">
        <v>0</v>
      </c>
      <c r="AO378" s="20" t="s">
        <v>1173</v>
      </c>
      <c r="AR378" s="20">
        <v>0</v>
      </c>
      <c r="AS378" s="20">
        <v>10112</v>
      </c>
      <c r="AV378" s="20" t="s">
        <v>1174</v>
      </c>
      <c r="AX378" s="20">
        <v>62128510024</v>
      </c>
      <c r="AY378" s="20">
        <v>62035811024</v>
      </c>
      <c r="AZ378" s="20">
        <v>55187694024</v>
      </c>
      <c r="BA378" s="20" t="s">
        <v>1175</v>
      </c>
      <c r="BB378" s="20" t="s">
        <v>1176</v>
      </c>
      <c r="BC378" s="20" t="s">
        <v>1177</v>
      </c>
      <c r="BD378" s="20">
        <v>1</v>
      </c>
      <c r="BE378" s="20">
        <v>0</v>
      </c>
      <c r="BF378" s="20">
        <v>0</v>
      </c>
      <c r="BG378" s="20">
        <v>0</v>
      </c>
      <c r="BN378" s="20" t="s">
        <v>1178</v>
      </c>
      <c r="BV378" s="20">
        <v>0</v>
      </c>
      <c r="CL378" s="20">
        <v>0</v>
      </c>
      <c r="DD378" s="20" t="s">
        <v>1179</v>
      </c>
      <c r="DE378" s="20" t="s">
        <v>1179</v>
      </c>
      <c r="DI378" s="20">
        <v>0</v>
      </c>
      <c r="DP378" s="21" t="s">
        <v>1180</v>
      </c>
      <c r="DQ378" s="21">
        <f>PartsMaster!$A370</f>
        <v>0</v>
      </c>
      <c r="DR378" s="21" t="s">
        <v>1181</v>
      </c>
      <c r="DS378" s="21" t="str">
        <f>PartsMaster!$K371&amp;" "&amp;PartsMaster!L371&amp;" "&amp;PartsMaster!$M371</f>
        <v>Front Left Low</v>
      </c>
    </row>
    <row r="379" spans="1:123" hidden="1" x14ac:dyDescent="0.25">
      <c r="A379" s="20" t="s">
        <v>1166</v>
      </c>
      <c r="B379" s="20" t="s">
        <v>1167</v>
      </c>
      <c r="C379" s="20" t="s">
        <v>1168</v>
      </c>
      <c r="D379" s="21" t="str">
        <f>PartsMaster!B371&amp;" "&amp;PartsMaster!$C371</f>
        <v>Jaguar XK8 XKR X100 Seat  - Mechanism cover - Coffee</v>
      </c>
      <c r="E379" s="20">
        <v>3000</v>
      </c>
      <c r="F379" s="20" t="s">
        <v>1182</v>
      </c>
      <c r="H379" s="21">
        <f>PartsMaster!$Q371</f>
        <v>0</v>
      </c>
      <c r="I379" s="20">
        <v>9886</v>
      </c>
      <c r="K379" s="20">
        <v>0</v>
      </c>
      <c r="L379" s="20">
        <v>0</v>
      </c>
      <c r="M379" s="21">
        <f>PartsMaster!$D371</f>
        <v>0</v>
      </c>
      <c r="O379" s="20" t="s">
        <v>1169</v>
      </c>
      <c r="P379" s="23">
        <f>PartsMaster!$S371/1.45</f>
        <v>0</v>
      </c>
      <c r="S379" s="20">
        <v>30</v>
      </c>
      <c r="T379" s="20">
        <v>0</v>
      </c>
      <c r="U379" s="20" t="s">
        <v>1170</v>
      </c>
      <c r="Z379" s="26" t="str">
        <f>"&lt;P&gt;"&amp;PartsMaster!$I371&amp;" "&amp;PartsMaster!$H371&amp;"&lt;/P&gt;"&amp;"&lt;P&gt;Jaguar part name "&amp;PartsMaster!$E371&amp;"&lt;/P&gt;&lt;P&gt;Product numbers "&amp;PartsMaster!R371&amp;" "&amp;DQ379&amp;"&lt;/P&gt;&lt;P&gt;Fits starting from VIN/ModelYear "&amp;PartsMaster!$F371&amp;" until VIN/ModelYear "&amp;PartsMaster!$G371&amp;"&lt;/P&gt;&lt;P&gt;Condition: "&amp;PartsMaster!AB371&amp;"&lt;/P&gt;&lt;P&gt; (part source "&amp;PartsMaster!AD371&amp;")&lt;/P&gt;&lt;P&gt;Notes: "&amp;PartsMaster!AA371&amp;"&lt;/P&gt;"</f>
        <v>&lt;P&gt;Cap / Cover Cap / Cover / Trim&lt;/P&gt;&lt;P&gt;Jaguar part name &lt;/P&gt;&lt;P&gt;Product numbers  0&lt;/P&gt;&lt;P&gt;Fits starting from VIN/ModelYear 0 until VIN/ModelYear 18107&lt;/P&gt;&lt;P&gt;Condition: &lt;/P&gt;&lt;P&gt; (part source )&lt;/P&gt;&lt;P&gt;Notes: &lt;/P&gt;</v>
      </c>
      <c r="AA379" s="20" t="s">
        <v>1171</v>
      </c>
      <c r="AC379" s="20">
        <v>0</v>
      </c>
      <c r="AD379" s="20">
        <v>0</v>
      </c>
      <c r="AE379" s="20" t="s">
        <v>1172</v>
      </c>
      <c r="AF379" s="20">
        <v>7</v>
      </c>
      <c r="AG379" s="20">
        <v>0</v>
      </c>
      <c r="AH379" s="20">
        <v>0</v>
      </c>
      <c r="AI379" s="20">
        <v>0</v>
      </c>
      <c r="AJ379" s="20">
        <v>0</v>
      </c>
      <c r="AK379" s="20">
        <v>0</v>
      </c>
      <c r="AO379" s="20" t="s">
        <v>1173</v>
      </c>
      <c r="AR379" s="20">
        <v>0</v>
      </c>
      <c r="AS379" s="20">
        <v>10112</v>
      </c>
      <c r="AV379" s="20" t="s">
        <v>1174</v>
      </c>
      <c r="AX379" s="20">
        <v>62128510024</v>
      </c>
      <c r="AY379" s="20">
        <v>62035811024</v>
      </c>
      <c r="AZ379" s="20">
        <v>55187694024</v>
      </c>
      <c r="BA379" s="20" t="s">
        <v>1175</v>
      </c>
      <c r="BB379" s="20" t="s">
        <v>1176</v>
      </c>
      <c r="BC379" s="20" t="s">
        <v>1177</v>
      </c>
      <c r="BD379" s="20">
        <v>1</v>
      </c>
      <c r="BE379" s="20">
        <v>0</v>
      </c>
      <c r="BF379" s="20">
        <v>0</v>
      </c>
      <c r="BG379" s="20">
        <v>0</v>
      </c>
      <c r="BN379" s="20" t="s">
        <v>1178</v>
      </c>
      <c r="BV379" s="20">
        <v>0</v>
      </c>
      <c r="CL379" s="20">
        <v>0</v>
      </c>
      <c r="DD379" s="20" t="s">
        <v>1179</v>
      </c>
      <c r="DE379" s="20" t="s">
        <v>1179</v>
      </c>
      <c r="DI379" s="20">
        <v>0</v>
      </c>
      <c r="DP379" s="21" t="s">
        <v>1180</v>
      </c>
      <c r="DQ379" s="21">
        <f>PartsMaster!$A371</f>
        <v>0</v>
      </c>
      <c r="DR379" s="21" t="s">
        <v>1181</v>
      </c>
      <c r="DS379" s="21" t="str">
        <f>PartsMaster!$K372&amp;" "&amp;PartsMaster!L372&amp;" "&amp;PartsMaster!$M372</f>
        <v>Front Left Low</v>
      </c>
    </row>
    <row r="380" spans="1:123" ht="30" x14ac:dyDescent="0.25">
      <c r="A380" s="20" t="s">
        <v>1166</v>
      </c>
      <c r="B380" s="20" t="s">
        <v>1167</v>
      </c>
      <c r="C380" s="20" t="s">
        <v>1168</v>
      </c>
      <c r="D380" s="21" t="str">
        <f>PartsMaster!B79&amp;" "&amp;PartsMaster!$C79</f>
        <v>Jaguar XK8 XKR X100 Carpet Trunk RH side with compact disc player</v>
      </c>
      <c r="E380" s="20">
        <v>3000</v>
      </c>
      <c r="F380" s="20" t="s">
        <v>1182</v>
      </c>
      <c r="H380" s="21" t="str">
        <f>PartsMaster!$Q79</f>
        <v>Trunk side carpet - Flint grey -  Convertible - RH Side - with compact disc player</v>
      </c>
      <c r="I380" s="20">
        <v>9886</v>
      </c>
      <c r="K380" s="20">
        <v>0</v>
      </c>
      <c r="L380" s="20">
        <v>0</v>
      </c>
      <c r="M380" s="21">
        <f>PartsMaster!$D79</f>
        <v>1</v>
      </c>
      <c r="O380" s="20" t="s">
        <v>1169</v>
      </c>
      <c r="P380" s="23">
        <f>PartsMaster!$S79/1.45</f>
        <v>44.827586206896555</v>
      </c>
      <c r="S380" s="20">
        <v>30</v>
      </c>
      <c r="T380" s="20">
        <v>0</v>
      </c>
      <c r="U380" s="20" t="s">
        <v>1170</v>
      </c>
      <c r="Z380" s="26" t="str">
        <f>"&lt;P&gt;"&amp;PartsMaster!$I79&amp;" "&amp;PartsMaster!$H79&amp;"&lt;/P&gt;"&amp;"&lt;P&gt;Jaguar part name "&amp;PartsMaster!$E79&amp;"&lt;/P&gt;&lt;P&gt;Product numbers "&amp;PartsMaster!R79&amp;" "&amp;DQ380&amp;"&lt;/P&gt;&lt;P&gt;Fits starting from VIN/ModelYear "&amp;PartsMaster!$F79&amp;" until VIN/ModelYear "&amp;PartsMaster!$G79&amp;"&lt;/P&gt;&lt;P&gt;Condition: "&amp;PartsMaster!AB79&amp;"&lt;/P&gt;&lt;P&gt; (part source "&amp;PartsMaster!AD79&amp;")&lt;/P&gt;&lt;P&gt;Notes: "&amp;PartsMaster!AA79&amp;"&lt;/P&gt;"</f>
        <v>&lt;P&gt;Trim Trim&lt;/P&gt;&lt;P&gt;Jaguar part name INTERIOR TRIM AND LININGS/FLOOR COVERINGS/CARPETS - Trunk side carpet - Flint grey -  Convertible - RH Side - with compact disc player&lt;/P&gt;&lt;P&gt;Product numbers GJA3612DK GJA3612DK&lt;/P&gt;&lt;P&gt;Fits starting from VIN/ModelYear MY1996 until VIN/ModelYear 034479&lt;/P&gt;&lt;P&gt;Condition: Dismantled from bottom &amp; engine damaged MY1997 XK8 Convertible VIN 0136xx&lt;/P&gt;&lt;P&gt; (part source )&lt;/P&gt;&lt;P&gt;Notes: &lt;/P&gt;</v>
      </c>
      <c r="AA380" s="20" t="s">
        <v>1171</v>
      </c>
      <c r="AC380" s="20">
        <v>0</v>
      </c>
      <c r="AD380" s="20">
        <v>0</v>
      </c>
      <c r="AE380" s="20" t="s">
        <v>1172</v>
      </c>
      <c r="AF380" s="20">
        <v>7</v>
      </c>
      <c r="AG380" s="20">
        <v>0</v>
      </c>
      <c r="AH380" s="20">
        <v>0</v>
      </c>
      <c r="AI380" s="20">
        <v>0</v>
      </c>
      <c r="AJ380" s="20">
        <v>0</v>
      </c>
      <c r="AK380" s="20">
        <v>0</v>
      </c>
      <c r="AO380" s="20" t="s">
        <v>1173</v>
      </c>
      <c r="AR380" s="20">
        <v>0</v>
      </c>
      <c r="AS380" s="20">
        <v>10112</v>
      </c>
      <c r="AV380" s="20" t="s">
        <v>1174</v>
      </c>
      <c r="AX380" s="20">
        <v>62128510024</v>
      </c>
      <c r="AY380" s="20">
        <v>62035811024</v>
      </c>
      <c r="AZ380" s="20">
        <v>55187694024</v>
      </c>
      <c r="BA380" s="20" t="s">
        <v>1175</v>
      </c>
      <c r="BB380" s="20" t="s">
        <v>1176</v>
      </c>
      <c r="BC380" s="20" t="s">
        <v>1177</v>
      </c>
      <c r="BD380" s="20">
        <v>1</v>
      </c>
      <c r="BE380" s="20">
        <v>0</v>
      </c>
      <c r="BF380" s="20">
        <v>0</v>
      </c>
      <c r="BG380" s="20">
        <v>0</v>
      </c>
      <c r="BN380" s="20" t="s">
        <v>1178</v>
      </c>
      <c r="BV380" s="20">
        <v>0</v>
      </c>
      <c r="CL380" s="20">
        <v>0</v>
      </c>
      <c r="DD380" s="20" t="s">
        <v>1179</v>
      </c>
      <c r="DE380" s="20" t="s">
        <v>1179</v>
      </c>
      <c r="DI380" s="20">
        <v>0</v>
      </c>
      <c r="DP380" s="21" t="s">
        <v>1180</v>
      </c>
      <c r="DQ380" s="21" t="str">
        <f>PartsMaster!$A79</f>
        <v>GJA3612DK</v>
      </c>
      <c r="DR380" s="21" t="s">
        <v>1181</v>
      </c>
      <c r="DS380" s="21" t="str">
        <f>PartsMaster!$K80&amp;" "&amp;PartsMaster!L80&amp;" "&amp;PartsMaster!$M80</f>
        <v>Rear Right Bottom</v>
      </c>
    </row>
    <row r="381" spans="1:123" ht="30" x14ac:dyDescent="0.25">
      <c r="A381" s="20" t="s">
        <v>1166</v>
      </c>
      <c r="B381" s="20" t="s">
        <v>1167</v>
      </c>
      <c r="C381" s="20" t="s">
        <v>1168</v>
      </c>
      <c r="D381" s="21" t="str">
        <f>PartsMaster!B319&amp;" "&amp;PartsMaster!$C319</f>
        <v>Jaguar XK8 XKR X100 Gearbox (Exchange) - XK8</v>
      </c>
      <c r="E381" s="20">
        <v>3000</v>
      </c>
      <c r="F381" s="20" t="s">
        <v>1182</v>
      </c>
      <c r="H381" s="21">
        <f>PartsMaster!$Q319</f>
        <v>0</v>
      </c>
      <c r="I381" s="20">
        <v>9886</v>
      </c>
      <c r="K381" s="20">
        <v>0</v>
      </c>
      <c r="L381" s="20">
        <v>0</v>
      </c>
      <c r="M381" s="21">
        <f>PartsMaster!$D319</f>
        <v>0</v>
      </c>
      <c r="O381" s="20" t="s">
        <v>1169</v>
      </c>
      <c r="P381" s="23">
        <f>PartsMaster!$S319/1.45</f>
        <v>0</v>
      </c>
      <c r="S381" s="20">
        <v>30</v>
      </c>
      <c r="T381" s="20">
        <v>0</v>
      </c>
      <c r="U381" s="20" t="s">
        <v>1170</v>
      </c>
      <c r="Z381" s="26" t="str">
        <f>"&lt;P&gt;"&amp;PartsMaster!$I319&amp;" "&amp;PartsMaster!$H319&amp;"&lt;/P&gt;"&amp;"&lt;P&gt;Jaguar part name "&amp;PartsMaster!$E319&amp;"&lt;/P&gt;&lt;P&gt;Product numbers "&amp;PartsMaster!R319&amp;" "&amp;DQ381&amp;"&lt;/P&gt;&lt;P&gt;Fits starting from VIN/ModelYear "&amp;PartsMaster!$F319&amp;" until VIN/ModelYear "&amp;PartsMaster!$G319&amp;"&lt;/P&gt;&lt;P&gt;Condition: "&amp;PartsMaster!AB319&amp;"&lt;/P&gt;&lt;P&gt; (part source "&amp;PartsMaster!AD319&amp;")&lt;/P&gt;&lt;P&gt;Notes: "&amp;PartsMaster!AA319&amp;"&lt;/P&gt;"</f>
        <v>&lt;P&gt;Automatic Gearbox Gearbox&lt;/P&gt;&lt;P&gt;Jaguar part name Automatic gearbox&lt;/P&gt;&lt;P&gt;Product numbers  NJA4400AGE &lt;/P&gt;&lt;P&gt;Fits starting from VIN/ModelYear 009695 until VIN/ModelYear 018107&lt;/P&gt;&lt;P&gt;Condition: &lt;/P&gt;&lt;P&gt; (part source )&lt;/P&gt;&lt;P&gt;Notes: &lt;/P&gt;</v>
      </c>
      <c r="AA381" s="20" t="s">
        <v>1171</v>
      </c>
      <c r="AC381" s="20">
        <v>0</v>
      </c>
      <c r="AD381" s="20">
        <v>0</v>
      </c>
      <c r="AE381" s="20" t="s">
        <v>1172</v>
      </c>
      <c r="AF381" s="20">
        <v>7</v>
      </c>
      <c r="AG381" s="20">
        <v>0</v>
      </c>
      <c r="AH381" s="20">
        <v>0</v>
      </c>
      <c r="AI381" s="20">
        <v>0</v>
      </c>
      <c r="AJ381" s="20">
        <v>0</v>
      </c>
      <c r="AK381" s="20">
        <v>0</v>
      </c>
      <c r="AO381" s="20" t="s">
        <v>1173</v>
      </c>
      <c r="AR381" s="20">
        <v>0</v>
      </c>
      <c r="AS381" s="20">
        <v>10112</v>
      </c>
      <c r="AV381" s="20" t="s">
        <v>1174</v>
      </c>
      <c r="AX381" s="20">
        <v>62128510024</v>
      </c>
      <c r="AY381" s="20">
        <v>62035811024</v>
      </c>
      <c r="AZ381" s="20">
        <v>55187694024</v>
      </c>
      <c r="BA381" s="20" t="s">
        <v>1175</v>
      </c>
      <c r="BB381" s="20" t="s">
        <v>1176</v>
      </c>
      <c r="BC381" s="20" t="s">
        <v>1177</v>
      </c>
      <c r="BD381" s="20">
        <v>1</v>
      </c>
      <c r="BE381" s="20">
        <v>0</v>
      </c>
      <c r="BF381" s="20">
        <v>0</v>
      </c>
      <c r="BG381" s="20">
        <v>0</v>
      </c>
      <c r="BN381" s="20" t="s">
        <v>1178</v>
      </c>
      <c r="BV381" s="20">
        <v>0</v>
      </c>
      <c r="CL381" s="20">
        <v>0</v>
      </c>
      <c r="DD381" s="20" t="s">
        <v>1179</v>
      </c>
      <c r="DE381" s="20" t="s">
        <v>1179</v>
      </c>
      <c r="DI381" s="20">
        <v>0</v>
      </c>
      <c r="DP381" s="21" t="s">
        <v>1180</v>
      </c>
      <c r="DQ381" s="21" t="str">
        <f>PartsMaster!$A319</f>
        <v xml:space="preserve">NJA4400AGE </v>
      </c>
      <c r="DR381" s="21" t="s">
        <v>1181</v>
      </c>
      <c r="DS381" s="21" t="str">
        <f>PartsMaster!$K320&amp;" "&amp;PartsMaster!L320&amp;" "&amp;PartsMaster!$M320</f>
        <v>Center Center Bottom</v>
      </c>
    </row>
    <row r="382" spans="1:123" ht="30" x14ac:dyDescent="0.25">
      <c r="A382" s="20" t="s">
        <v>1166</v>
      </c>
      <c r="B382" s="20" t="s">
        <v>1167</v>
      </c>
      <c r="C382" s="20" t="s">
        <v>1168</v>
      </c>
      <c r="D382" s="21" t="str">
        <f>PartsMaster!B320&amp;" "&amp;PartsMaster!$C320</f>
        <v>Jaguar XK8 XKR X100 Gearbox (New) - XK8</v>
      </c>
      <c r="E382" s="20">
        <v>3000</v>
      </c>
      <c r="F382" s="20" t="s">
        <v>1182</v>
      </c>
      <c r="H382" s="21">
        <f>PartsMaster!$Q320</f>
        <v>0</v>
      </c>
      <c r="I382" s="20">
        <v>9886</v>
      </c>
      <c r="K382" s="20">
        <v>0</v>
      </c>
      <c r="L382" s="20">
        <v>0</v>
      </c>
      <c r="M382" s="21">
        <f>PartsMaster!$D320</f>
        <v>0</v>
      </c>
      <c r="O382" s="20" t="s">
        <v>1169</v>
      </c>
      <c r="P382" s="23">
        <f>PartsMaster!$S320/1.45</f>
        <v>0</v>
      </c>
      <c r="S382" s="20">
        <v>30</v>
      </c>
      <c r="T382" s="20">
        <v>0</v>
      </c>
      <c r="U382" s="20" t="s">
        <v>1170</v>
      </c>
      <c r="Z382" s="26" t="str">
        <f>"&lt;P&gt;"&amp;PartsMaster!$I320&amp;" "&amp;PartsMaster!$H320&amp;"&lt;/P&gt;"&amp;"&lt;P&gt;Jaguar part name "&amp;PartsMaster!$E320&amp;"&lt;/P&gt;&lt;P&gt;Product numbers "&amp;PartsMaster!R320&amp;" "&amp;DQ382&amp;"&lt;/P&gt;&lt;P&gt;Fits starting from VIN/ModelYear "&amp;PartsMaster!$F320&amp;" until VIN/ModelYear "&amp;PartsMaster!$G320&amp;"&lt;/P&gt;&lt;P&gt;Condition: "&amp;PartsMaster!AB320&amp;"&lt;/P&gt;&lt;P&gt; (part source "&amp;PartsMaster!AD320&amp;")&lt;/P&gt;&lt;P&gt;Notes: "&amp;PartsMaster!AA320&amp;"&lt;/P&gt;"</f>
        <v>&lt;P&gt;Automatic Gearbox Gearbox&lt;/P&gt;&lt;P&gt;Jaguar part name Automatic gearbox&lt;/P&gt;&lt;P&gt;Product numbers  NJA4400AGN   (Superceded)&lt;/P&gt;&lt;P&gt;Fits starting from VIN/ModelYear 009695 until VIN/ModelYear 018107&lt;/P&gt;&lt;P&gt;Condition: &lt;/P&gt;&lt;P&gt; (part source )&lt;/P&gt;&lt;P&gt;Notes: &lt;/P&gt;</v>
      </c>
      <c r="AA382" s="20" t="s">
        <v>1171</v>
      </c>
      <c r="AC382" s="20">
        <v>0</v>
      </c>
      <c r="AD382" s="20">
        <v>0</v>
      </c>
      <c r="AE382" s="20" t="s">
        <v>1172</v>
      </c>
      <c r="AF382" s="20">
        <v>7</v>
      </c>
      <c r="AG382" s="20">
        <v>0</v>
      </c>
      <c r="AH382" s="20">
        <v>0</v>
      </c>
      <c r="AI382" s="20">
        <v>0</v>
      </c>
      <c r="AJ382" s="20">
        <v>0</v>
      </c>
      <c r="AK382" s="20">
        <v>0</v>
      </c>
      <c r="AO382" s="20" t="s">
        <v>1173</v>
      </c>
      <c r="AR382" s="20">
        <v>0</v>
      </c>
      <c r="AS382" s="20">
        <v>10112</v>
      </c>
      <c r="AV382" s="20" t="s">
        <v>1174</v>
      </c>
      <c r="AX382" s="20">
        <v>62128510024</v>
      </c>
      <c r="AY382" s="20">
        <v>62035811024</v>
      </c>
      <c r="AZ382" s="20">
        <v>55187694024</v>
      </c>
      <c r="BA382" s="20" t="s">
        <v>1175</v>
      </c>
      <c r="BB382" s="20" t="s">
        <v>1176</v>
      </c>
      <c r="BC382" s="20" t="s">
        <v>1177</v>
      </c>
      <c r="BD382" s="20">
        <v>1</v>
      </c>
      <c r="BE382" s="20">
        <v>0</v>
      </c>
      <c r="BF382" s="20">
        <v>0</v>
      </c>
      <c r="BG382" s="20">
        <v>0</v>
      </c>
      <c r="BN382" s="20" t="s">
        <v>1178</v>
      </c>
      <c r="BV382" s="20">
        <v>0</v>
      </c>
      <c r="CL382" s="20">
        <v>0</v>
      </c>
      <c r="DD382" s="20" t="s">
        <v>1179</v>
      </c>
      <c r="DE382" s="20" t="s">
        <v>1179</v>
      </c>
      <c r="DI382" s="20">
        <v>0</v>
      </c>
      <c r="DP382" s="21" t="s">
        <v>1180</v>
      </c>
      <c r="DQ382" s="21" t="str">
        <f>PartsMaster!$A320</f>
        <v>NJA4400AGN   (Superceded)</v>
      </c>
      <c r="DR382" s="21" t="s">
        <v>1181</v>
      </c>
      <c r="DS382" s="21" t="str">
        <f>PartsMaster!$K321&amp;" "&amp;PartsMaster!L321&amp;" "&amp;PartsMaster!$M321</f>
        <v>Rear Left/Right Bottom</v>
      </c>
    </row>
    <row r="383" spans="1:123" ht="30" x14ac:dyDescent="0.25">
      <c r="A383" s="20" t="s">
        <v>1166</v>
      </c>
      <c r="B383" s="20" t="s">
        <v>1167</v>
      </c>
      <c r="C383" s="20" t="s">
        <v>1168</v>
      </c>
      <c r="D383" s="21" t="str">
        <f>PartsMaster!B316&amp;" "&amp;PartsMaster!$C316</f>
        <v>Jaguar XK8 XKR X100 Damper Cover (aka Shock Top Bolt Plastic Cover)</v>
      </c>
      <c r="E383" s="20">
        <v>3000</v>
      </c>
      <c r="F383" s="20" t="s">
        <v>1182</v>
      </c>
      <c r="H383" s="21" t="str">
        <f>PartsMaster!$Q316</f>
        <v>Damper Cover</v>
      </c>
      <c r="I383" s="20">
        <v>9886</v>
      </c>
      <c r="K383" s="20">
        <v>0</v>
      </c>
      <c r="L383" s="20">
        <v>0</v>
      </c>
      <c r="M383" s="21">
        <f>PartsMaster!$D316</f>
        <v>0</v>
      </c>
      <c r="O383" s="20" t="s">
        <v>1169</v>
      </c>
      <c r="P383" s="23">
        <f>PartsMaster!$S316/1.45</f>
        <v>0</v>
      </c>
      <c r="S383" s="20">
        <v>30</v>
      </c>
      <c r="T383" s="20">
        <v>0</v>
      </c>
      <c r="U383" s="20" t="s">
        <v>1170</v>
      </c>
      <c r="Z383" s="26" t="str">
        <f>"&lt;P&gt;"&amp;PartsMaster!$I316&amp;" "&amp;PartsMaster!$H316&amp;"&lt;/P&gt;"&amp;"&lt;P&gt;Jaguar part name "&amp;PartsMaster!$E316&amp;"&lt;/P&gt;&lt;P&gt;Product numbers "&amp;PartsMaster!R316&amp;" "&amp;DQ383&amp;"&lt;/P&gt;&lt;P&gt;Fits starting from VIN/ModelYear "&amp;PartsMaster!$F316&amp;" until VIN/ModelYear "&amp;PartsMaster!$G316&amp;"&lt;/P&gt;&lt;P&gt;Condition: "&amp;PartsMaster!AB316&amp;"&lt;/P&gt;&lt;P&gt; (part source "&amp;PartsMaster!AD316&amp;")&lt;/P&gt;&lt;P&gt;Notes: "&amp;PartsMaster!AA316&amp;"&lt;/P&gt;"</f>
        <v>&lt;P&gt;Cap / Cover Cap / Cover / Trim&lt;/P&gt;&lt;P&gt;Jaguar part name Damper Cover&lt;/P&gt;&lt;P&gt;Product numbers  NJA3975AB&lt;/P&gt;&lt;P&gt;Fits starting from VIN/ModelYear  until VIN/ModelYear &lt;/P&gt;&lt;P&gt;Condition: &lt;/P&gt;&lt;P&gt; (part source )&lt;/P&gt;&lt;P&gt;Notes: &lt;/P&gt;</v>
      </c>
      <c r="AA383" s="20" t="s">
        <v>1171</v>
      </c>
      <c r="AC383" s="20">
        <v>0</v>
      </c>
      <c r="AD383" s="20">
        <v>0</v>
      </c>
      <c r="AE383" s="20" t="s">
        <v>1172</v>
      </c>
      <c r="AF383" s="20">
        <v>7</v>
      </c>
      <c r="AG383" s="20">
        <v>0</v>
      </c>
      <c r="AH383" s="20">
        <v>0</v>
      </c>
      <c r="AI383" s="20">
        <v>0</v>
      </c>
      <c r="AJ383" s="20">
        <v>0</v>
      </c>
      <c r="AK383" s="20">
        <v>0</v>
      </c>
      <c r="AO383" s="20" t="s">
        <v>1173</v>
      </c>
      <c r="AR383" s="20">
        <v>0</v>
      </c>
      <c r="AS383" s="20">
        <v>10112</v>
      </c>
      <c r="AV383" s="20" t="s">
        <v>1174</v>
      </c>
      <c r="AX383" s="20">
        <v>62128510024</v>
      </c>
      <c r="AY383" s="20">
        <v>62035811024</v>
      </c>
      <c r="AZ383" s="20">
        <v>55187694024</v>
      </c>
      <c r="BA383" s="20" t="s">
        <v>1175</v>
      </c>
      <c r="BB383" s="20" t="s">
        <v>1176</v>
      </c>
      <c r="BC383" s="20" t="s">
        <v>1177</v>
      </c>
      <c r="BD383" s="20">
        <v>1</v>
      </c>
      <c r="BE383" s="20">
        <v>0</v>
      </c>
      <c r="BF383" s="20">
        <v>0</v>
      </c>
      <c r="BG383" s="20">
        <v>0</v>
      </c>
      <c r="BN383" s="20" t="s">
        <v>1178</v>
      </c>
      <c r="BV383" s="20">
        <v>0</v>
      </c>
      <c r="CL383" s="20">
        <v>0</v>
      </c>
      <c r="DD383" s="20" t="s">
        <v>1179</v>
      </c>
      <c r="DE383" s="20" t="s">
        <v>1179</v>
      </c>
      <c r="DI383" s="20">
        <v>0</v>
      </c>
      <c r="DP383" s="21" t="s">
        <v>1180</v>
      </c>
      <c r="DQ383" s="21" t="str">
        <f>PartsMaster!$A316</f>
        <v>NJA3975AB</v>
      </c>
      <c r="DR383" s="21" t="s">
        <v>1181</v>
      </c>
      <c r="DS383" s="21" t="str">
        <f>PartsMaster!$K317&amp;" "&amp;PartsMaster!L317&amp;" "&amp;PartsMaster!$M317</f>
        <v>Center Center Bottom</v>
      </c>
    </row>
    <row r="384" spans="1:123" x14ac:dyDescent="0.25">
      <c r="A384" s="20" t="s">
        <v>1166</v>
      </c>
      <c r="B384" s="20" t="s">
        <v>1167</v>
      </c>
      <c r="C384" s="20" t="s">
        <v>1168</v>
      </c>
      <c r="D384" s="21" t="str">
        <f>PartsMaster!B400&amp;" "&amp;PartsMaster!$C400</f>
        <v>Jaguar XK8 XKR X100 Seat  - Mechanism cover - Teal</v>
      </c>
      <c r="E384" s="20">
        <v>3000</v>
      </c>
      <c r="F384" s="20" t="s">
        <v>1182</v>
      </c>
      <c r="H384" s="21">
        <f>PartsMaster!$Q400</f>
        <v>0</v>
      </c>
      <c r="I384" s="20">
        <v>9886</v>
      </c>
      <c r="K384" s="20">
        <v>0</v>
      </c>
      <c r="L384" s="20">
        <v>0</v>
      </c>
      <c r="M384" s="21">
        <f>PartsMaster!$D400</f>
        <v>0</v>
      </c>
      <c r="O384" s="20" t="s">
        <v>1169</v>
      </c>
      <c r="P384" s="23">
        <f>PartsMaster!$S400/1.45</f>
        <v>0</v>
      </c>
      <c r="S384" s="20">
        <v>30</v>
      </c>
      <c r="T384" s="20">
        <v>0</v>
      </c>
      <c r="U384" s="20" t="s">
        <v>1170</v>
      </c>
      <c r="Z384" s="26" t="str">
        <f>"&lt;P&gt;"&amp;PartsMaster!$I400&amp;" "&amp;PartsMaster!$H400&amp;"&lt;/P&gt;"&amp;"&lt;P&gt;Jaguar part name "&amp;PartsMaster!$E400&amp;"&lt;/P&gt;&lt;P&gt;Product numbers "&amp;PartsMaster!R400&amp;" "&amp;DQ384&amp;"&lt;/P&gt;&lt;P&gt;Fits starting from VIN/ModelYear "&amp;PartsMaster!$F400&amp;" until VIN/ModelYear "&amp;PartsMaster!$G400&amp;"&lt;/P&gt;&lt;P&gt;Condition: "&amp;PartsMaster!AB400&amp;"&lt;/P&gt;&lt;P&gt; (part source "&amp;PartsMaster!AD400&amp;")&lt;/P&gt;&lt;P&gt;Notes: "&amp;PartsMaster!AA400&amp;"&lt;/P&gt;"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384" s="20" t="s">
        <v>1171</v>
      </c>
      <c r="AC384" s="20">
        <v>0</v>
      </c>
      <c r="AD384" s="20">
        <v>0</v>
      </c>
      <c r="AE384" s="20" t="s">
        <v>1172</v>
      </c>
      <c r="AF384" s="20">
        <v>7</v>
      </c>
      <c r="AG384" s="20">
        <v>0</v>
      </c>
      <c r="AH384" s="20">
        <v>0</v>
      </c>
      <c r="AI384" s="20">
        <v>0</v>
      </c>
      <c r="AJ384" s="20">
        <v>0</v>
      </c>
      <c r="AK384" s="20">
        <v>0</v>
      </c>
      <c r="AO384" s="20" t="s">
        <v>1173</v>
      </c>
      <c r="AR384" s="20">
        <v>0</v>
      </c>
      <c r="AS384" s="20">
        <v>10112</v>
      </c>
      <c r="AV384" s="20" t="s">
        <v>1174</v>
      </c>
      <c r="AX384" s="20">
        <v>62128510024</v>
      </c>
      <c r="AY384" s="20">
        <v>62035811024</v>
      </c>
      <c r="AZ384" s="20">
        <v>55187694024</v>
      </c>
      <c r="BA384" s="20" t="s">
        <v>1175</v>
      </c>
      <c r="BB384" s="20" t="s">
        <v>1176</v>
      </c>
      <c r="BC384" s="20" t="s">
        <v>1177</v>
      </c>
      <c r="BD384" s="20">
        <v>1</v>
      </c>
      <c r="BE384" s="20">
        <v>0</v>
      </c>
      <c r="BF384" s="20">
        <v>0</v>
      </c>
      <c r="BG384" s="20">
        <v>0</v>
      </c>
      <c r="BN384" s="20" t="s">
        <v>1178</v>
      </c>
      <c r="BV384" s="20">
        <v>0</v>
      </c>
      <c r="CL384" s="20">
        <v>0</v>
      </c>
      <c r="DD384" s="20" t="s">
        <v>1179</v>
      </c>
      <c r="DE384" s="20" t="s">
        <v>1179</v>
      </c>
      <c r="DI384" s="20">
        <v>0</v>
      </c>
      <c r="DP384" s="21" t="s">
        <v>1180</v>
      </c>
      <c r="DQ384" s="21">
        <f>PartsMaster!$A400</f>
        <v>0</v>
      </c>
      <c r="DR384" s="21" t="s">
        <v>1181</v>
      </c>
      <c r="DS384" s="21" t="str">
        <f>PartsMaster!$K401&amp;" "&amp;PartsMaster!L401&amp;" "&amp;PartsMaster!$M401</f>
        <v xml:space="preserve">  </v>
      </c>
    </row>
    <row r="385" spans="1:123" hidden="1" x14ac:dyDescent="0.25">
      <c r="A385" s="20" t="s">
        <v>1166</v>
      </c>
      <c r="B385" s="20" t="s">
        <v>1167</v>
      </c>
      <c r="C385" s="20" t="s">
        <v>1168</v>
      </c>
      <c r="D385" s="21" t="str">
        <f>PartsMaster!B409&amp;" "&amp;PartsMaster!$C409</f>
        <v>Jaguar XK8 XKR X100 Seat - Mechanism cover - Warm Charcoal</v>
      </c>
      <c r="E385" s="20">
        <v>3000</v>
      </c>
      <c r="F385" s="20" t="s">
        <v>1182</v>
      </c>
      <c r="H385" s="21">
        <f>PartsMaster!$Q409</f>
        <v>0</v>
      </c>
      <c r="I385" s="20">
        <v>9886</v>
      </c>
      <c r="K385" s="20">
        <v>0</v>
      </c>
      <c r="L385" s="20">
        <v>0</v>
      </c>
      <c r="M385" s="21">
        <f>PartsMaster!$D409</f>
        <v>0</v>
      </c>
      <c r="O385" s="20" t="s">
        <v>1169</v>
      </c>
      <c r="P385" s="23">
        <f>PartsMaster!$S409/1.45</f>
        <v>0</v>
      </c>
      <c r="S385" s="20">
        <v>30</v>
      </c>
      <c r="T385" s="20">
        <v>0</v>
      </c>
      <c r="U385" s="20" t="s">
        <v>1170</v>
      </c>
      <c r="Z385" s="26" t="str">
        <f>"&lt;P&gt;"&amp;PartsMaster!$I409&amp;" "&amp;PartsMaster!$H409&amp;"&lt;/P&gt;"&amp;"&lt;P&gt;Jaguar part name "&amp;PartsMaster!$E409&amp;"&lt;/P&gt;&lt;P&gt;Product numbers "&amp;PartsMaster!R409&amp;" "&amp;DQ385&amp;"&lt;/P&gt;&lt;P&gt;Fits starting from VIN/ModelYear "&amp;PartsMaster!$F409&amp;" until VIN/ModelYear "&amp;PartsMaster!$G409&amp;"&lt;/P&gt;&lt;P&gt;Condition: "&amp;PartsMaster!AB409&amp;"&lt;/P&gt;&lt;P&gt; (part source "&amp;PartsMaster!AD409&amp;")&lt;/P&gt;&lt;P&gt;Notes: "&amp;PartsMaster!AA409&amp;"&lt;/P&gt;"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385" s="20" t="s">
        <v>1171</v>
      </c>
      <c r="AC385" s="20">
        <v>0</v>
      </c>
      <c r="AD385" s="20">
        <v>0</v>
      </c>
      <c r="AE385" s="20" t="s">
        <v>1172</v>
      </c>
      <c r="AF385" s="20">
        <v>7</v>
      </c>
      <c r="AG385" s="20">
        <v>0</v>
      </c>
      <c r="AH385" s="20">
        <v>0</v>
      </c>
      <c r="AI385" s="20">
        <v>0</v>
      </c>
      <c r="AJ385" s="20">
        <v>0</v>
      </c>
      <c r="AK385" s="20">
        <v>0</v>
      </c>
      <c r="AO385" s="20" t="s">
        <v>1173</v>
      </c>
      <c r="AR385" s="20">
        <v>0</v>
      </c>
      <c r="AS385" s="20">
        <v>10112</v>
      </c>
      <c r="AV385" s="20" t="s">
        <v>1174</v>
      </c>
      <c r="AX385" s="20">
        <v>62128510024</v>
      </c>
      <c r="AY385" s="20">
        <v>62035811024</v>
      </c>
      <c r="AZ385" s="20">
        <v>55187694024</v>
      </c>
      <c r="BA385" s="20" t="s">
        <v>1175</v>
      </c>
      <c r="BB385" s="20" t="s">
        <v>1176</v>
      </c>
      <c r="BC385" s="20" t="s">
        <v>1177</v>
      </c>
      <c r="BD385" s="20">
        <v>1</v>
      </c>
      <c r="BE385" s="20">
        <v>0</v>
      </c>
      <c r="BF385" s="20">
        <v>0</v>
      </c>
      <c r="BG385" s="20">
        <v>0</v>
      </c>
      <c r="BN385" s="20" t="s">
        <v>1178</v>
      </c>
      <c r="BV385" s="20">
        <v>0</v>
      </c>
      <c r="CL385" s="20">
        <v>0</v>
      </c>
      <c r="DD385" s="20" t="s">
        <v>1179</v>
      </c>
      <c r="DE385" s="20" t="s">
        <v>1179</v>
      </c>
      <c r="DI385" s="20">
        <v>0</v>
      </c>
      <c r="DP385" s="21" t="s">
        <v>1180</v>
      </c>
      <c r="DQ385" s="21">
        <f>PartsMaster!$A409</f>
        <v>0</v>
      </c>
      <c r="DR385" s="21" t="s">
        <v>1181</v>
      </c>
      <c r="DS385" s="21" t="str">
        <f>PartsMaster!$K410&amp;" "&amp;PartsMaster!L410&amp;" "&amp;PartsMaster!$M410</f>
        <v>Front Right Low</v>
      </c>
    </row>
    <row r="386" spans="1:123" hidden="1" x14ac:dyDescent="0.25">
      <c r="A386" s="20" t="s">
        <v>1166</v>
      </c>
      <c r="B386" s="20" t="s">
        <v>1167</v>
      </c>
      <c r="C386" s="20" t="s">
        <v>1168</v>
      </c>
      <c r="D386" s="21" t="str">
        <f>PartsMaster!B377&amp;" "&amp;PartsMaster!$C377</f>
        <v>Jaguar XK8 XKR X100 Seat  - Mechanism cover - Cream</v>
      </c>
      <c r="E386" s="20">
        <v>3000</v>
      </c>
      <c r="F386" s="20" t="s">
        <v>1182</v>
      </c>
      <c r="H386" s="21">
        <f>PartsMaster!$Q377</f>
        <v>0</v>
      </c>
      <c r="I386" s="20">
        <v>9886</v>
      </c>
      <c r="K386" s="20">
        <v>0</v>
      </c>
      <c r="L386" s="20">
        <v>0</v>
      </c>
      <c r="M386" s="21">
        <f>PartsMaster!$D377</f>
        <v>0</v>
      </c>
      <c r="O386" s="20" t="s">
        <v>1169</v>
      </c>
      <c r="P386" s="23">
        <f>PartsMaster!$S377/1.45</f>
        <v>0</v>
      </c>
      <c r="S386" s="20">
        <v>30</v>
      </c>
      <c r="T386" s="20">
        <v>0</v>
      </c>
      <c r="U386" s="20" t="s">
        <v>1170</v>
      </c>
      <c r="Z386" s="26" t="str">
        <f>"&lt;P&gt;"&amp;PartsMaster!$I377&amp;" "&amp;PartsMaster!$H377&amp;"&lt;/P&gt;"&amp;"&lt;P&gt;Jaguar part name "&amp;PartsMaster!$E377&amp;"&lt;/P&gt;&lt;P&gt;Product numbers "&amp;PartsMaster!R377&amp;" "&amp;DQ386&amp;"&lt;/P&gt;&lt;P&gt;Fits starting from VIN/ModelYear "&amp;PartsMaster!$F377&amp;" until VIN/ModelYear "&amp;PartsMaster!$G377&amp;"&lt;/P&gt;&lt;P&gt;Condition: "&amp;PartsMaster!AB377&amp;"&lt;/P&gt;&lt;P&gt; (part source "&amp;PartsMaster!AD377&amp;")&lt;/P&gt;&lt;P&gt;Notes: "&amp;PartsMaster!AA377&amp;"&lt;/P&gt;"</f>
        <v>&lt;P&gt;Cap / Cover Cap / Cover / Trim&lt;/P&gt;&lt;P&gt;Jaguar part name &lt;/P&gt;&lt;P&gt;Product numbers  0&lt;/P&gt;&lt;P&gt;Fits starting from VIN/ModelYear 0 until VIN/ModelYear 18107&lt;/P&gt;&lt;P&gt;Condition: &lt;/P&gt;&lt;P&gt; (part source )&lt;/P&gt;&lt;P&gt;Notes: &lt;/P&gt;</v>
      </c>
      <c r="AA386" s="20" t="s">
        <v>1171</v>
      </c>
      <c r="AC386" s="20">
        <v>0</v>
      </c>
      <c r="AD386" s="20">
        <v>0</v>
      </c>
      <c r="AE386" s="20" t="s">
        <v>1172</v>
      </c>
      <c r="AF386" s="20">
        <v>7</v>
      </c>
      <c r="AG386" s="20">
        <v>0</v>
      </c>
      <c r="AH386" s="20">
        <v>0</v>
      </c>
      <c r="AI386" s="20">
        <v>0</v>
      </c>
      <c r="AJ386" s="20">
        <v>0</v>
      </c>
      <c r="AK386" s="20">
        <v>0</v>
      </c>
      <c r="AO386" s="20" t="s">
        <v>1173</v>
      </c>
      <c r="AR386" s="20">
        <v>0</v>
      </c>
      <c r="AS386" s="20">
        <v>10112</v>
      </c>
      <c r="AV386" s="20" t="s">
        <v>1174</v>
      </c>
      <c r="AX386" s="20">
        <v>62128510024</v>
      </c>
      <c r="AY386" s="20">
        <v>62035811024</v>
      </c>
      <c r="AZ386" s="20">
        <v>55187694024</v>
      </c>
      <c r="BA386" s="20" t="s">
        <v>1175</v>
      </c>
      <c r="BB386" s="20" t="s">
        <v>1176</v>
      </c>
      <c r="BC386" s="20" t="s">
        <v>1177</v>
      </c>
      <c r="BD386" s="20">
        <v>1</v>
      </c>
      <c r="BE386" s="20">
        <v>0</v>
      </c>
      <c r="BF386" s="20">
        <v>0</v>
      </c>
      <c r="BG386" s="20">
        <v>0</v>
      </c>
      <c r="BN386" s="20" t="s">
        <v>1178</v>
      </c>
      <c r="BV386" s="20">
        <v>0</v>
      </c>
      <c r="CL386" s="20">
        <v>0</v>
      </c>
      <c r="DD386" s="20" t="s">
        <v>1179</v>
      </c>
      <c r="DE386" s="20" t="s">
        <v>1179</v>
      </c>
      <c r="DI386" s="20">
        <v>0</v>
      </c>
      <c r="DP386" s="21" t="s">
        <v>1180</v>
      </c>
      <c r="DQ386" s="21">
        <f>PartsMaster!$A377</f>
        <v>0</v>
      </c>
      <c r="DR386" s="21" t="s">
        <v>1181</v>
      </c>
      <c r="DS386" s="21" t="str">
        <f>PartsMaster!$K378&amp;" "&amp;PartsMaster!L378&amp;" "&amp;PartsMaster!$M378</f>
        <v>Front Left Low</v>
      </c>
    </row>
    <row r="387" spans="1:123" hidden="1" x14ac:dyDescent="0.25">
      <c r="A387" s="20" t="s">
        <v>1166</v>
      </c>
      <c r="B387" s="20" t="s">
        <v>1167</v>
      </c>
      <c r="C387" s="20" t="s">
        <v>1168</v>
      </c>
      <c r="D387" s="21" t="str">
        <f>PartsMaster!B403&amp;" "&amp;PartsMaster!$C403</f>
        <v>Jaguar XK8 XKR X100 Seat - Mechanism cover - Warm Charcoal</v>
      </c>
      <c r="E387" s="20">
        <v>3000</v>
      </c>
      <c r="F387" s="20" t="s">
        <v>1182</v>
      </c>
      <c r="H387" s="21">
        <f>PartsMaster!$Q403</f>
        <v>0</v>
      </c>
      <c r="I387" s="20">
        <v>9886</v>
      </c>
      <c r="K387" s="20">
        <v>0</v>
      </c>
      <c r="L387" s="20">
        <v>0</v>
      </c>
      <c r="M387" s="21">
        <f>PartsMaster!$D403</f>
        <v>0</v>
      </c>
      <c r="O387" s="20" t="s">
        <v>1169</v>
      </c>
      <c r="P387" s="23">
        <f>PartsMaster!$S403/1.45</f>
        <v>0</v>
      </c>
      <c r="S387" s="20">
        <v>30</v>
      </c>
      <c r="T387" s="20">
        <v>0</v>
      </c>
      <c r="U387" s="20" t="s">
        <v>1170</v>
      </c>
      <c r="Z387" s="26" t="str">
        <f>"&lt;P&gt;"&amp;PartsMaster!$I403&amp;" "&amp;PartsMaster!$H403&amp;"&lt;/P&gt;"&amp;"&lt;P&gt;Jaguar part name "&amp;PartsMaster!$E403&amp;"&lt;/P&gt;&lt;P&gt;Product numbers "&amp;PartsMaster!R403&amp;" "&amp;DQ387&amp;"&lt;/P&gt;&lt;P&gt;Fits starting from VIN/ModelYear "&amp;PartsMaster!$F403&amp;" until VIN/ModelYear "&amp;PartsMaster!$G403&amp;"&lt;/P&gt;&lt;P&gt;Condition: "&amp;PartsMaster!AB403&amp;"&lt;/P&gt;&lt;P&gt; (part source "&amp;PartsMaster!AD403&amp;")&lt;/P&gt;&lt;P&gt;Notes: "&amp;PartsMaster!AA403&amp;"&lt;/P&gt;"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387" s="20" t="s">
        <v>1171</v>
      </c>
      <c r="AC387" s="20">
        <v>0</v>
      </c>
      <c r="AD387" s="20">
        <v>0</v>
      </c>
      <c r="AE387" s="20" t="s">
        <v>1172</v>
      </c>
      <c r="AF387" s="20">
        <v>7</v>
      </c>
      <c r="AG387" s="20">
        <v>0</v>
      </c>
      <c r="AH387" s="20">
        <v>0</v>
      </c>
      <c r="AI387" s="20">
        <v>0</v>
      </c>
      <c r="AJ387" s="20">
        <v>0</v>
      </c>
      <c r="AK387" s="20">
        <v>0</v>
      </c>
      <c r="AO387" s="20" t="s">
        <v>1173</v>
      </c>
      <c r="AR387" s="20">
        <v>0</v>
      </c>
      <c r="AS387" s="20">
        <v>10112</v>
      </c>
      <c r="AV387" s="20" t="s">
        <v>1174</v>
      </c>
      <c r="AX387" s="20">
        <v>62128510024</v>
      </c>
      <c r="AY387" s="20">
        <v>62035811024</v>
      </c>
      <c r="AZ387" s="20">
        <v>55187694024</v>
      </c>
      <c r="BA387" s="20" t="s">
        <v>1175</v>
      </c>
      <c r="BB387" s="20" t="s">
        <v>1176</v>
      </c>
      <c r="BC387" s="20" t="s">
        <v>1177</v>
      </c>
      <c r="BD387" s="20">
        <v>1</v>
      </c>
      <c r="BE387" s="20">
        <v>0</v>
      </c>
      <c r="BF387" s="20">
        <v>0</v>
      </c>
      <c r="BG387" s="20">
        <v>0</v>
      </c>
      <c r="BN387" s="20" t="s">
        <v>1178</v>
      </c>
      <c r="BV387" s="20">
        <v>0</v>
      </c>
      <c r="CL387" s="20">
        <v>0</v>
      </c>
      <c r="DD387" s="20" t="s">
        <v>1179</v>
      </c>
      <c r="DE387" s="20" t="s">
        <v>1179</v>
      </c>
      <c r="DI387" s="20">
        <v>0</v>
      </c>
      <c r="DP387" s="21" t="s">
        <v>1180</v>
      </c>
      <c r="DQ387" s="21">
        <f>PartsMaster!$A403</f>
        <v>0</v>
      </c>
      <c r="DR387" s="21" t="s">
        <v>1181</v>
      </c>
      <c r="DS387" s="21" t="str">
        <f>PartsMaster!$K404&amp;" "&amp;PartsMaster!L404&amp;" "&amp;PartsMaster!$M404</f>
        <v>Front Left Low</v>
      </c>
    </row>
    <row r="388" spans="1:123" ht="45" hidden="1" x14ac:dyDescent="0.25">
      <c r="A388" s="20" t="s">
        <v>1166</v>
      </c>
      <c r="B388" s="20" t="s">
        <v>1167</v>
      </c>
      <c r="C388" s="20" t="s">
        <v>1168</v>
      </c>
      <c r="D388" s="21" t="str">
        <f>PartsMaster!B178&amp;" "&amp;PartsMaster!$C178</f>
        <v>Jaguar XK8 XKR X100 Gasket / Gearbox Sump Pan Filter</v>
      </c>
      <c r="E388" s="20">
        <v>3000</v>
      </c>
      <c r="F388" s="20" t="s">
        <v>1182</v>
      </c>
      <c r="H388" s="21" t="str">
        <f>PartsMaster!$Q178</f>
        <v>FILTER GASKET</v>
      </c>
      <c r="I388" s="20">
        <v>9886</v>
      </c>
      <c r="K388" s="20">
        <v>0</v>
      </c>
      <c r="L388" s="20">
        <v>0</v>
      </c>
      <c r="M388" s="21">
        <f>PartsMaster!$D178</f>
        <v>0</v>
      </c>
      <c r="O388" s="20" t="s">
        <v>1169</v>
      </c>
      <c r="P388" s="23">
        <f>PartsMaster!$S178/1.45</f>
        <v>24.137931034482758</v>
      </c>
      <c r="S388" s="20">
        <v>30</v>
      </c>
      <c r="T388" s="20">
        <v>0</v>
      </c>
      <c r="U388" s="20" t="s">
        <v>1170</v>
      </c>
      <c r="Z388" s="26" t="str">
        <f>"&lt;P&gt;"&amp;PartsMaster!$I178&amp;" "&amp;PartsMaster!$H178&amp;"&lt;/P&gt;"&amp;"&lt;P&gt;Jaguar part name "&amp;PartsMaster!$E178&amp;"&lt;/P&gt;&lt;P&gt;Product numbers "&amp;PartsMaster!R178&amp;" "&amp;DQ388&amp;"&lt;/P&gt;&lt;P&gt;Fits starting from VIN/ModelYear "&amp;PartsMaster!$F178&amp;" until VIN/ModelYear "&amp;PartsMaster!$G178&amp;"&lt;/P&gt;&lt;P&gt;Condition: "&amp;PartsMaster!AB178&amp;"&lt;/P&gt;&lt;P&gt; (part source "&amp;PartsMaster!AD178&amp;")&lt;/P&gt;&lt;P&gt;Notes: "&amp;PartsMaster!AA178&amp;"&lt;/P&gt;"</f>
        <v>&lt;P&gt;Gear box / Gear shifter / Gear Selector Gasket / Seal / O-Ring&lt;/P&gt;&lt;P&gt;Jaguar part name &lt;/P&gt;&lt;P&gt;Product numbers JLM20204 JLM20204&lt;/P&gt;&lt;P&gt;Fits starting from VIN/ModelYear MY97 until VIN/ModelYear &lt;/P&gt;&lt;P&gt;Condition: New&lt;/P&gt;&lt;P&gt; (part source LT)&lt;/P&gt;&lt;P&gt;Notes: &lt;/P&gt;</v>
      </c>
      <c r="AA388" s="20" t="s">
        <v>1171</v>
      </c>
      <c r="AC388" s="20">
        <v>0</v>
      </c>
      <c r="AD388" s="20">
        <v>0</v>
      </c>
      <c r="AE388" s="20" t="s">
        <v>1172</v>
      </c>
      <c r="AF388" s="20">
        <v>7</v>
      </c>
      <c r="AG388" s="20">
        <v>0</v>
      </c>
      <c r="AH388" s="20">
        <v>0</v>
      </c>
      <c r="AI388" s="20">
        <v>0</v>
      </c>
      <c r="AJ388" s="20">
        <v>0</v>
      </c>
      <c r="AK388" s="20">
        <v>0</v>
      </c>
      <c r="AO388" s="20" t="s">
        <v>1173</v>
      </c>
      <c r="AR388" s="20">
        <v>0</v>
      </c>
      <c r="AS388" s="20">
        <v>10112</v>
      </c>
      <c r="AV388" s="20" t="s">
        <v>1174</v>
      </c>
      <c r="AX388" s="20">
        <v>62128510024</v>
      </c>
      <c r="AY388" s="20">
        <v>62035811024</v>
      </c>
      <c r="AZ388" s="20">
        <v>55187694024</v>
      </c>
      <c r="BA388" s="20" t="s">
        <v>1175</v>
      </c>
      <c r="BB388" s="20" t="s">
        <v>1176</v>
      </c>
      <c r="BC388" s="20" t="s">
        <v>1177</v>
      </c>
      <c r="BD388" s="20">
        <v>1</v>
      </c>
      <c r="BE388" s="20">
        <v>0</v>
      </c>
      <c r="BF388" s="20">
        <v>0</v>
      </c>
      <c r="BG388" s="20">
        <v>0</v>
      </c>
      <c r="BN388" s="20" t="s">
        <v>1178</v>
      </c>
      <c r="BV388" s="20">
        <v>0</v>
      </c>
      <c r="CL388" s="20">
        <v>0</v>
      </c>
      <c r="DD388" s="20" t="s">
        <v>1179</v>
      </c>
      <c r="DE388" s="20" t="s">
        <v>1179</v>
      </c>
      <c r="DI388" s="20">
        <v>0</v>
      </c>
      <c r="DP388" s="21" t="s">
        <v>1180</v>
      </c>
      <c r="DQ388" s="21" t="str">
        <f>PartsMaster!$A178</f>
        <v>JLM20204</v>
      </c>
      <c r="DR388" s="21" t="s">
        <v>1181</v>
      </c>
      <c r="DS388" s="21" t="str">
        <f>PartsMaster!$K179&amp;" "&amp;PartsMaster!L179&amp;" "&amp;PartsMaster!$M179</f>
        <v xml:space="preserve">  </v>
      </c>
    </row>
    <row r="389" spans="1:123" hidden="1" x14ac:dyDescent="0.25">
      <c r="A389" s="20" t="s">
        <v>1166</v>
      </c>
      <c r="B389" s="20" t="s">
        <v>1167</v>
      </c>
      <c r="C389" s="20" t="s">
        <v>1168</v>
      </c>
      <c r="D389" s="21" t="str">
        <f>PartsMaster!B380&amp;" "&amp;PartsMaster!$C380</f>
        <v>Jaguar XK8 XKR X100 Seat  - Mechanism cover - Cream</v>
      </c>
      <c r="E389" s="20">
        <v>3000</v>
      </c>
      <c r="F389" s="20" t="s">
        <v>1182</v>
      </c>
      <c r="H389" s="21">
        <f>PartsMaster!$Q380</f>
        <v>0</v>
      </c>
      <c r="I389" s="20">
        <v>9886</v>
      </c>
      <c r="K389" s="20">
        <v>0</v>
      </c>
      <c r="L389" s="20">
        <v>0</v>
      </c>
      <c r="M389" s="21">
        <f>PartsMaster!$D380</f>
        <v>0</v>
      </c>
      <c r="O389" s="20" t="s">
        <v>1169</v>
      </c>
      <c r="P389" s="23">
        <f>PartsMaster!$S380/1.45</f>
        <v>0</v>
      </c>
      <c r="S389" s="20">
        <v>30</v>
      </c>
      <c r="T389" s="20">
        <v>0</v>
      </c>
      <c r="U389" s="20" t="s">
        <v>1170</v>
      </c>
      <c r="Z389" s="26" t="str">
        <f>"&lt;P&gt;"&amp;PartsMaster!$I380&amp;" "&amp;PartsMaster!$H380&amp;"&lt;/P&gt;"&amp;"&lt;P&gt;Jaguar part name "&amp;PartsMaster!$E380&amp;"&lt;/P&gt;&lt;P&gt;Product numbers "&amp;PartsMaster!R380&amp;" "&amp;DQ389&amp;"&lt;/P&gt;&lt;P&gt;Fits starting from VIN/ModelYear "&amp;PartsMaster!$F380&amp;" until VIN/ModelYear "&amp;PartsMaster!$G380&amp;"&lt;/P&gt;&lt;P&gt;Condition: "&amp;PartsMaster!AB380&amp;"&lt;/P&gt;&lt;P&gt; (part source "&amp;PartsMaster!AD380&amp;")&lt;/P&gt;&lt;P&gt;Notes: "&amp;PartsMaster!AA380&amp;"&lt;/P&gt;"</f>
        <v>&lt;P&gt;Cap / Cover Cap / Cover / Trim&lt;/P&gt;&lt;P&gt;Jaguar part name &lt;/P&gt;&lt;P&gt;Product numbers  0&lt;/P&gt;&lt;P&gt;Fits starting from VIN/ModelYear 18108 until VIN/ModelYear -&lt;/P&gt;&lt;P&gt;Condition: &lt;/P&gt;&lt;P&gt; (part source )&lt;/P&gt;&lt;P&gt;Notes: &lt;/P&gt;</v>
      </c>
      <c r="AA389" s="20" t="s">
        <v>1171</v>
      </c>
      <c r="AC389" s="20">
        <v>0</v>
      </c>
      <c r="AD389" s="20">
        <v>0</v>
      </c>
      <c r="AE389" s="20" t="s">
        <v>1172</v>
      </c>
      <c r="AF389" s="20">
        <v>7</v>
      </c>
      <c r="AG389" s="20">
        <v>0</v>
      </c>
      <c r="AH389" s="20">
        <v>0</v>
      </c>
      <c r="AI389" s="20">
        <v>0</v>
      </c>
      <c r="AJ389" s="20">
        <v>0</v>
      </c>
      <c r="AK389" s="20">
        <v>0</v>
      </c>
      <c r="AO389" s="20" t="s">
        <v>1173</v>
      </c>
      <c r="AR389" s="20">
        <v>0</v>
      </c>
      <c r="AS389" s="20">
        <v>10112</v>
      </c>
      <c r="AV389" s="20" t="s">
        <v>1174</v>
      </c>
      <c r="AX389" s="20">
        <v>62128510024</v>
      </c>
      <c r="AY389" s="20">
        <v>62035811024</v>
      </c>
      <c r="AZ389" s="20">
        <v>55187694024</v>
      </c>
      <c r="BA389" s="20" t="s">
        <v>1175</v>
      </c>
      <c r="BB389" s="20" t="s">
        <v>1176</v>
      </c>
      <c r="BC389" s="20" t="s">
        <v>1177</v>
      </c>
      <c r="BD389" s="20">
        <v>1</v>
      </c>
      <c r="BE389" s="20">
        <v>0</v>
      </c>
      <c r="BF389" s="20">
        <v>0</v>
      </c>
      <c r="BG389" s="20">
        <v>0</v>
      </c>
      <c r="BN389" s="20" t="s">
        <v>1178</v>
      </c>
      <c r="BV389" s="20">
        <v>0</v>
      </c>
      <c r="CL389" s="20">
        <v>0</v>
      </c>
      <c r="DD389" s="20" t="s">
        <v>1179</v>
      </c>
      <c r="DE389" s="20" t="s">
        <v>1179</v>
      </c>
      <c r="DI389" s="20">
        <v>0</v>
      </c>
      <c r="DP389" s="21" t="s">
        <v>1180</v>
      </c>
      <c r="DQ389" s="21">
        <f>PartsMaster!$A380</f>
        <v>0</v>
      </c>
      <c r="DR389" s="21" t="s">
        <v>1181</v>
      </c>
      <c r="DS389" s="21" t="str">
        <f>PartsMaster!$K381&amp;" "&amp;PartsMaster!L381&amp;" "&amp;PartsMaster!$M381</f>
        <v>Front Right Low</v>
      </c>
    </row>
    <row r="390" spans="1:123" ht="30" hidden="1" x14ac:dyDescent="0.25">
      <c r="A390" s="20" t="s">
        <v>1166</v>
      </c>
      <c r="B390" s="20" t="s">
        <v>1167</v>
      </c>
      <c r="C390" s="20" t="s">
        <v>1168</v>
      </c>
      <c r="D390" s="21" t="str">
        <f>PartsMaster!B88&amp;" "&amp;PartsMaster!$C88</f>
        <v>Jaguar XK8 XKR X100 WIPER BLADE</v>
      </c>
      <c r="E390" s="20">
        <v>3000</v>
      </c>
      <c r="F390" s="20" t="s">
        <v>1182</v>
      </c>
      <c r="H390" s="21" t="str">
        <f>PartsMaster!$Q88</f>
        <v>WIPER BLADE</v>
      </c>
      <c r="I390" s="20">
        <v>9886</v>
      </c>
      <c r="K390" s="20">
        <v>0</v>
      </c>
      <c r="L390" s="20">
        <v>0</v>
      </c>
      <c r="M390" s="21">
        <f>PartsMaster!$D88</f>
        <v>0</v>
      </c>
      <c r="O390" s="20" t="s">
        <v>1169</v>
      </c>
      <c r="P390" s="23">
        <f>PartsMaster!$S88/1.45</f>
        <v>0</v>
      </c>
      <c r="S390" s="20">
        <v>30</v>
      </c>
      <c r="T390" s="20">
        <v>0</v>
      </c>
      <c r="U390" s="20" t="s">
        <v>1170</v>
      </c>
      <c r="Z390" s="26" t="str">
        <f>"&lt;P&gt;"&amp;PartsMaster!$I88&amp;" "&amp;PartsMaster!$H88&amp;"&lt;/P&gt;"&amp;"&lt;P&gt;Jaguar part name "&amp;PartsMaster!$E88&amp;"&lt;/P&gt;&lt;P&gt;Product numbers "&amp;PartsMaster!R88&amp;" "&amp;DQ390&amp;"&lt;/P&gt;&lt;P&gt;Fits starting from VIN/ModelYear "&amp;PartsMaster!$F88&amp;" until VIN/ModelYear "&amp;PartsMaster!$G88&amp;"&lt;/P&gt;&lt;P&gt;Condition: "&amp;PartsMaster!AB88&amp;"&lt;/P&gt;&lt;P&gt; (part source "&amp;PartsMaster!AD88&amp;")&lt;/P&gt;&lt;P&gt;Notes: "&amp;PartsMaster!AA88&amp;"&lt;/P&gt;"</f>
        <v>&lt;P&gt;Windshield &lt;/P&gt;&lt;P&gt;Jaguar part name &lt;/P&gt;&lt;P&gt;Product numbers GJA8960BB GJA8960BB&lt;/P&gt;&lt;P&gt;Fits starting from VIN/ModelYear  until VIN/ModelYear &lt;/P&gt;&lt;P&gt;Condition: British Parts&lt;/P&gt;&lt;P&gt; (part source )&lt;/P&gt;&lt;P&gt;Notes: V23136-A1-X20&lt;/P&gt;</v>
      </c>
      <c r="AA390" s="20" t="s">
        <v>1171</v>
      </c>
      <c r="AC390" s="20">
        <v>0</v>
      </c>
      <c r="AD390" s="20">
        <v>0</v>
      </c>
      <c r="AE390" s="20" t="s">
        <v>1172</v>
      </c>
      <c r="AF390" s="20">
        <v>7</v>
      </c>
      <c r="AG390" s="20">
        <v>0</v>
      </c>
      <c r="AH390" s="20">
        <v>0</v>
      </c>
      <c r="AI390" s="20">
        <v>0</v>
      </c>
      <c r="AJ390" s="20">
        <v>0</v>
      </c>
      <c r="AK390" s="20">
        <v>0</v>
      </c>
      <c r="AO390" s="20" t="s">
        <v>1173</v>
      </c>
      <c r="AR390" s="20">
        <v>0</v>
      </c>
      <c r="AS390" s="20">
        <v>10112</v>
      </c>
      <c r="AV390" s="20" t="s">
        <v>1174</v>
      </c>
      <c r="AX390" s="20">
        <v>62128510024</v>
      </c>
      <c r="AY390" s="20">
        <v>62035811024</v>
      </c>
      <c r="AZ390" s="20">
        <v>55187694024</v>
      </c>
      <c r="BA390" s="20" t="s">
        <v>1175</v>
      </c>
      <c r="BB390" s="20" t="s">
        <v>1176</v>
      </c>
      <c r="BC390" s="20" t="s">
        <v>1177</v>
      </c>
      <c r="BD390" s="20">
        <v>1</v>
      </c>
      <c r="BE390" s="20">
        <v>0</v>
      </c>
      <c r="BF390" s="20">
        <v>0</v>
      </c>
      <c r="BG390" s="20">
        <v>0</v>
      </c>
      <c r="BN390" s="20" t="s">
        <v>1178</v>
      </c>
      <c r="BV390" s="20">
        <v>0</v>
      </c>
      <c r="CL390" s="20">
        <v>0</v>
      </c>
      <c r="DD390" s="20" t="s">
        <v>1179</v>
      </c>
      <c r="DE390" s="20" t="s">
        <v>1179</v>
      </c>
      <c r="DI390" s="20">
        <v>0</v>
      </c>
      <c r="DP390" s="21" t="s">
        <v>1180</v>
      </c>
      <c r="DQ390" s="21" t="str">
        <f>PartsMaster!$A88</f>
        <v>GJA8960BB</v>
      </c>
      <c r="DR390" s="21" t="s">
        <v>1181</v>
      </c>
      <c r="DS390" s="21" t="str">
        <f>PartsMaster!$K89&amp;" "&amp;PartsMaster!L89&amp;" "&amp;PartsMaster!$M89</f>
        <v xml:space="preserve">  </v>
      </c>
    </row>
    <row r="391" spans="1:123" ht="30" hidden="1" x14ac:dyDescent="0.25">
      <c r="A391" s="20" t="s">
        <v>1166</v>
      </c>
      <c r="B391" s="20" t="s">
        <v>1167</v>
      </c>
      <c r="C391" s="20" t="s">
        <v>1168</v>
      </c>
      <c r="D391" s="21" t="str">
        <f>PartsMaster!B71&amp;" "&amp;PartsMaster!$C71</f>
        <v>Jaguar XK8 XKR X100 Door latch</v>
      </c>
      <c r="E391" s="20">
        <v>3000</v>
      </c>
      <c r="F391" s="20" t="s">
        <v>1182</v>
      </c>
      <c r="H391" s="21" t="str">
        <f>PartsMaster!$Q71</f>
        <v>Door latch</v>
      </c>
      <c r="I391" s="20">
        <v>9886</v>
      </c>
      <c r="K391" s="20">
        <v>0</v>
      </c>
      <c r="L391" s="20">
        <v>0</v>
      </c>
      <c r="M391" s="21">
        <f>PartsMaster!$D71</f>
        <v>1</v>
      </c>
      <c r="O391" s="20" t="s">
        <v>1169</v>
      </c>
      <c r="P391" s="23">
        <f>PartsMaster!$S71/1.45</f>
        <v>65.517241379310349</v>
      </c>
      <c r="S391" s="20">
        <v>30</v>
      </c>
      <c r="T391" s="20">
        <v>0</v>
      </c>
      <c r="U391" s="20" t="s">
        <v>1170</v>
      </c>
      <c r="Z391" s="26" t="str">
        <f>"&lt;P&gt;"&amp;PartsMaster!$I71&amp;" "&amp;PartsMaster!$H71&amp;"&lt;/P&gt;"&amp;"&lt;P&gt;Jaguar part name "&amp;PartsMaster!$E71&amp;"&lt;/P&gt;&lt;P&gt;Product numbers "&amp;PartsMaster!R71&amp;" "&amp;DQ391&amp;"&lt;/P&gt;&lt;P&gt;Fits starting from VIN/ModelYear "&amp;PartsMaster!$F71&amp;" until VIN/ModelYear "&amp;PartsMaster!$G71&amp;"&lt;/P&gt;&lt;P&gt;Condition: "&amp;PartsMaster!AB71&amp;"&lt;/P&gt;&lt;P&gt; (part source "&amp;PartsMaster!AD71&amp;")&lt;/P&gt;&lt;P&gt;Notes: "&amp;PartsMaster!AA71&amp;"&lt;/P&gt;"</f>
        <v>&lt;P&gt;Locking Latch&lt;/P&gt;&lt;P&gt;Jaguar part name BODY CLOSURES AND SEALING/DOOR HANDLES AND LOCKS - Door latch - RH&lt;/P&gt;&lt;P&gt;Product numbers GJA1080FE GJA1080FE&lt;/P&gt;&lt;P&gt;Fits starting from VIN/ModelYear  until VIN/ModelYear &lt;/P&gt;&lt;P&gt;Condition: Dismantled from bottom &amp; engine damaged MY1997 XK8 Convertible VIN 0136xx&lt;/P&gt;&lt;P&gt; (part source KK)&lt;/P&gt;&lt;P&gt;Notes: &lt;/P&gt;</v>
      </c>
      <c r="AA391" s="20" t="s">
        <v>1171</v>
      </c>
      <c r="AC391" s="20">
        <v>0</v>
      </c>
      <c r="AD391" s="20">
        <v>0</v>
      </c>
      <c r="AE391" s="20" t="s">
        <v>1172</v>
      </c>
      <c r="AF391" s="20">
        <v>7</v>
      </c>
      <c r="AG391" s="20">
        <v>0</v>
      </c>
      <c r="AH391" s="20">
        <v>0</v>
      </c>
      <c r="AI391" s="20">
        <v>0</v>
      </c>
      <c r="AJ391" s="20">
        <v>0</v>
      </c>
      <c r="AK391" s="20">
        <v>0</v>
      </c>
      <c r="AO391" s="20" t="s">
        <v>1173</v>
      </c>
      <c r="AR391" s="20">
        <v>0</v>
      </c>
      <c r="AS391" s="20">
        <v>10112</v>
      </c>
      <c r="AV391" s="20" t="s">
        <v>1174</v>
      </c>
      <c r="AX391" s="20">
        <v>62128510024</v>
      </c>
      <c r="AY391" s="20">
        <v>62035811024</v>
      </c>
      <c r="AZ391" s="20">
        <v>55187694024</v>
      </c>
      <c r="BA391" s="20" t="s">
        <v>1175</v>
      </c>
      <c r="BB391" s="20" t="s">
        <v>1176</v>
      </c>
      <c r="BC391" s="20" t="s">
        <v>1177</v>
      </c>
      <c r="BD391" s="20">
        <v>1</v>
      </c>
      <c r="BE391" s="20">
        <v>0</v>
      </c>
      <c r="BF391" s="20">
        <v>0</v>
      </c>
      <c r="BG391" s="20">
        <v>0</v>
      </c>
      <c r="BN391" s="20" t="s">
        <v>1178</v>
      </c>
      <c r="BV391" s="20">
        <v>0</v>
      </c>
      <c r="CL391" s="20">
        <v>0</v>
      </c>
      <c r="DD391" s="20" t="s">
        <v>1179</v>
      </c>
      <c r="DE391" s="20" t="s">
        <v>1179</v>
      </c>
      <c r="DI391" s="20">
        <v>0</v>
      </c>
      <c r="DP391" s="21" t="s">
        <v>1180</v>
      </c>
      <c r="DQ391" s="21" t="str">
        <f>PartsMaster!$A71</f>
        <v>GJA1080FE</v>
      </c>
      <c r="DR391" s="21" t="s">
        <v>1181</v>
      </c>
      <c r="DS391" s="21" t="str">
        <f>PartsMaster!$K72&amp;" "&amp;PartsMaster!L72&amp;" "&amp;PartsMaster!$M72</f>
        <v xml:space="preserve">Front Right </v>
      </c>
    </row>
    <row r="392" spans="1:123" hidden="1" x14ac:dyDescent="0.25">
      <c r="A392" s="20" t="s">
        <v>1166</v>
      </c>
      <c r="B392" s="20" t="s">
        <v>1167</v>
      </c>
      <c r="C392" s="20" t="s">
        <v>1168</v>
      </c>
      <c r="D392" s="21" t="str">
        <f>PartsMaster!B411&amp;" "&amp;PartsMaster!$C411</f>
        <v>Jaguar XK8 XKR X100 Signal light bulbs</v>
      </c>
      <c r="E392" s="20">
        <v>3000</v>
      </c>
      <c r="F392" s="20" t="s">
        <v>1182</v>
      </c>
      <c r="H392" s="21">
        <f>PartsMaster!$Q411</f>
        <v>0</v>
      </c>
      <c r="I392" s="20">
        <v>9886</v>
      </c>
      <c r="K392" s="20">
        <v>0</v>
      </c>
      <c r="L392" s="20">
        <v>0</v>
      </c>
      <c r="M392" s="21">
        <f>PartsMaster!$D411</f>
        <v>0</v>
      </c>
      <c r="O392" s="20" t="s">
        <v>1169</v>
      </c>
      <c r="P392" s="23">
        <f>PartsMaster!$S411/1.45</f>
        <v>0</v>
      </c>
      <c r="S392" s="20">
        <v>30</v>
      </c>
      <c r="T392" s="20">
        <v>0</v>
      </c>
      <c r="U392" s="20" t="s">
        <v>1170</v>
      </c>
      <c r="Z392" s="26" t="str">
        <f>"&lt;P&gt;"&amp;PartsMaster!$I411&amp;" "&amp;PartsMaster!$H411&amp;"&lt;/P&gt;"&amp;"&lt;P&gt;Jaguar part name "&amp;PartsMaster!$E411&amp;"&lt;/P&gt;&lt;P&gt;Product numbers "&amp;PartsMaster!R411&amp;" "&amp;DQ392&amp;"&lt;/P&gt;&lt;P&gt;Fits starting from VIN/ModelYear "&amp;PartsMaster!$F411&amp;" until VIN/ModelYear "&amp;PartsMaster!$G411&amp;"&lt;/P&gt;&lt;P&gt;Condition: "&amp;PartsMaster!AB411&amp;"&lt;/P&gt;&lt;P&gt; (part source "&amp;PartsMaster!AD411&amp;")&lt;/P&gt;&lt;P&gt;Notes: "&amp;PartsMaster!AA411&amp;"&lt;/P&gt;"</f>
        <v>&lt;P&gt;Light Bulp / Light&lt;/P&gt;&lt;P&gt;Jaguar part name &lt;/P&gt;&lt;P&gt;Product numbers  0&lt;/P&gt;&lt;P&gt;Fits starting from VIN/ModelYear  until VIN/ModelYear &lt;/P&gt;&lt;P&gt;Condition: &lt;/P&gt;&lt;P&gt; (part source )&lt;/P&gt;&lt;P&gt;Notes: &lt;/P&gt;</v>
      </c>
      <c r="AA392" s="20" t="s">
        <v>1171</v>
      </c>
      <c r="AC392" s="20">
        <v>0</v>
      </c>
      <c r="AD392" s="20">
        <v>0</v>
      </c>
      <c r="AE392" s="20" t="s">
        <v>1172</v>
      </c>
      <c r="AF392" s="20">
        <v>7</v>
      </c>
      <c r="AG392" s="20">
        <v>0</v>
      </c>
      <c r="AH392" s="20">
        <v>0</v>
      </c>
      <c r="AI392" s="20">
        <v>0</v>
      </c>
      <c r="AJ392" s="20">
        <v>0</v>
      </c>
      <c r="AK392" s="20">
        <v>0</v>
      </c>
      <c r="AO392" s="20" t="s">
        <v>1173</v>
      </c>
      <c r="AR392" s="20">
        <v>0</v>
      </c>
      <c r="AS392" s="20">
        <v>10112</v>
      </c>
      <c r="AV392" s="20" t="s">
        <v>1174</v>
      </c>
      <c r="AX392" s="20">
        <v>62128510024</v>
      </c>
      <c r="AY392" s="20">
        <v>62035811024</v>
      </c>
      <c r="AZ392" s="20">
        <v>55187694024</v>
      </c>
      <c r="BA392" s="20" t="s">
        <v>1175</v>
      </c>
      <c r="BB392" s="20" t="s">
        <v>1176</v>
      </c>
      <c r="BC392" s="20" t="s">
        <v>1177</v>
      </c>
      <c r="BD392" s="20">
        <v>1</v>
      </c>
      <c r="BE392" s="20">
        <v>0</v>
      </c>
      <c r="BF392" s="20">
        <v>0</v>
      </c>
      <c r="BG392" s="20">
        <v>0</v>
      </c>
      <c r="BN392" s="20" t="s">
        <v>1178</v>
      </c>
      <c r="BV392" s="20">
        <v>0</v>
      </c>
      <c r="CL392" s="20">
        <v>0</v>
      </c>
      <c r="DD392" s="20" t="s">
        <v>1179</v>
      </c>
      <c r="DE392" s="20" t="s">
        <v>1179</v>
      </c>
      <c r="DI392" s="20">
        <v>0</v>
      </c>
      <c r="DP392" s="21" t="s">
        <v>1180</v>
      </c>
      <c r="DQ392" s="21">
        <f>PartsMaster!$A411</f>
        <v>0</v>
      </c>
      <c r="DR392" s="21" t="s">
        <v>1181</v>
      </c>
      <c r="DS392" s="21" t="str">
        <f>PartsMaster!$K412&amp;" "&amp;PartsMaster!L412&amp;" "&amp;PartsMaster!$M412</f>
        <v xml:space="preserve">  </v>
      </c>
    </row>
    <row r="393" spans="1:123" ht="30" hidden="1" x14ac:dyDescent="0.25">
      <c r="A393" s="20" t="s">
        <v>1166</v>
      </c>
      <c r="B393" s="20" t="s">
        <v>1167</v>
      </c>
      <c r="C393" s="20" t="s">
        <v>1168</v>
      </c>
      <c r="D393" s="21" t="str">
        <f>PartsMaster!B63&amp;" "&amp;PartsMaster!$C63</f>
        <v>Jaguar XK8 XKR X100 Trunk lid</v>
      </c>
      <c r="E393" s="20">
        <v>3000</v>
      </c>
      <c r="F393" s="20" t="s">
        <v>1182</v>
      </c>
      <c r="H393" s="21" t="str">
        <f>PartsMaster!$Q63</f>
        <v>Trunk lid</v>
      </c>
      <c r="I393" s="20">
        <v>9886</v>
      </c>
      <c r="K393" s="20">
        <v>0</v>
      </c>
      <c r="L393" s="20">
        <v>0</v>
      </c>
      <c r="M393" s="21">
        <f>PartsMaster!$D63</f>
        <v>1</v>
      </c>
      <c r="O393" s="20" t="s">
        <v>1169</v>
      </c>
      <c r="P393" s="23">
        <f>PartsMaster!$S63/1.45</f>
        <v>320.68965517241378</v>
      </c>
      <c r="S393" s="20">
        <v>30</v>
      </c>
      <c r="T393" s="20">
        <v>0</v>
      </c>
      <c r="U393" s="20" t="s">
        <v>1170</v>
      </c>
      <c r="Z393" s="26" t="str">
        <f>"&lt;P&gt;"&amp;PartsMaster!$I63&amp;" "&amp;PartsMaster!$H63&amp;"&lt;/P&gt;"&amp;"&lt;P&gt;Jaguar part name "&amp;PartsMaster!$E63&amp;"&lt;/P&gt;&lt;P&gt;Product numbers "&amp;PartsMaster!R63&amp;" "&amp;DQ393&amp;"&lt;/P&gt;&lt;P&gt;Fits starting from VIN/ModelYear "&amp;PartsMaster!$F63&amp;" until VIN/ModelYear "&amp;PartsMaster!$G63&amp;"&lt;/P&gt;&lt;P&gt;Condition: "&amp;PartsMaster!AB63&amp;"&lt;/P&gt;&lt;P&gt; (part source "&amp;PartsMaster!AD63&amp;")&lt;/P&gt;&lt;P&gt;Notes: "&amp;PartsMaster!AA63&amp;"&lt;/P&gt;"</f>
        <v>&lt;P&gt;Body Body panel&lt;/P&gt;&lt;P&gt;Jaguar part name BODY METAL PANELS AND SEALING/BOLTED BODY PANELS&lt;/P&gt;&lt;P&gt;Product numbers FJB3019BA FJB3019BA&lt;/P&gt;&lt;P&gt;Fits starting from VIN/ModelYear  until VIN/ModelYear 042775&lt;/P&gt;&lt;P&gt;Condition: Dismantled from bottom &amp; engine damaged MY1997 XK8 Convertible VIN 0136xx&lt;/P&gt;&lt;P&gt; (part source KK)&lt;/P&gt;&lt;P&gt;Notes: Convertible&lt;/P&gt;</v>
      </c>
      <c r="AA393" s="20" t="s">
        <v>1171</v>
      </c>
      <c r="AC393" s="20">
        <v>0</v>
      </c>
      <c r="AD393" s="20">
        <v>0</v>
      </c>
      <c r="AE393" s="20" t="s">
        <v>1172</v>
      </c>
      <c r="AF393" s="20">
        <v>7</v>
      </c>
      <c r="AG393" s="20">
        <v>0</v>
      </c>
      <c r="AH393" s="20">
        <v>0</v>
      </c>
      <c r="AI393" s="20">
        <v>0</v>
      </c>
      <c r="AJ393" s="20">
        <v>0</v>
      </c>
      <c r="AK393" s="20">
        <v>0</v>
      </c>
      <c r="AO393" s="20" t="s">
        <v>1173</v>
      </c>
      <c r="AR393" s="20">
        <v>0</v>
      </c>
      <c r="AS393" s="20">
        <v>10112</v>
      </c>
      <c r="AV393" s="20" t="s">
        <v>1174</v>
      </c>
      <c r="AX393" s="20">
        <v>62128510024</v>
      </c>
      <c r="AY393" s="20">
        <v>62035811024</v>
      </c>
      <c r="AZ393" s="20">
        <v>55187694024</v>
      </c>
      <c r="BA393" s="20" t="s">
        <v>1175</v>
      </c>
      <c r="BB393" s="20" t="s">
        <v>1176</v>
      </c>
      <c r="BC393" s="20" t="s">
        <v>1177</v>
      </c>
      <c r="BD393" s="20">
        <v>1</v>
      </c>
      <c r="BE393" s="20">
        <v>0</v>
      </c>
      <c r="BF393" s="20">
        <v>0</v>
      </c>
      <c r="BG393" s="20">
        <v>0</v>
      </c>
      <c r="BN393" s="20" t="s">
        <v>1178</v>
      </c>
      <c r="BV393" s="20">
        <v>0</v>
      </c>
      <c r="CL393" s="20">
        <v>0</v>
      </c>
      <c r="DD393" s="20" t="s">
        <v>1179</v>
      </c>
      <c r="DE393" s="20" t="s">
        <v>1179</v>
      </c>
      <c r="DI393" s="20">
        <v>0</v>
      </c>
      <c r="DP393" s="21" t="s">
        <v>1180</v>
      </c>
      <c r="DQ393" s="21" t="str">
        <f>PartsMaster!$A63</f>
        <v>FJB3019BA</v>
      </c>
      <c r="DR393" s="21" t="s">
        <v>1181</v>
      </c>
      <c r="DS393" s="21" t="str">
        <f>PartsMaster!$K64&amp;" "&amp;PartsMaster!L64&amp;" "&amp;PartsMaster!$M64</f>
        <v>Front Left/Right Middle</v>
      </c>
    </row>
    <row r="394" spans="1:123" hidden="1" x14ac:dyDescent="0.25">
      <c r="A394" s="20" t="s">
        <v>1166</v>
      </c>
      <c r="B394" s="20" t="s">
        <v>1167</v>
      </c>
      <c r="C394" s="20" t="s">
        <v>1168</v>
      </c>
      <c r="D394" s="21" t="str">
        <f>PartsMaster!B410&amp;" "&amp;PartsMaster!$C410</f>
        <v>Jaguar XK8 XKR X100 Seat - Mechanism cover - Warm Charcoal</v>
      </c>
      <c r="E394" s="20">
        <v>3000</v>
      </c>
      <c r="F394" s="20" t="s">
        <v>1182</v>
      </c>
      <c r="H394" s="21">
        <f>PartsMaster!$Q410</f>
        <v>0</v>
      </c>
      <c r="I394" s="20">
        <v>9886</v>
      </c>
      <c r="K394" s="20">
        <v>0</v>
      </c>
      <c r="L394" s="20">
        <v>0</v>
      </c>
      <c r="M394" s="21">
        <f>PartsMaster!$D410</f>
        <v>0</v>
      </c>
      <c r="O394" s="20" t="s">
        <v>1169</v>
      </c>
      <c r="P394" s="23">
        <f>PartsMaster!$S410/1.45</f>
        <v>0</v>
      </c>
      <c r="S394" s="20">
        <v>30</v>
      </c>
      <c r="T394" s="20">
        <v>0</v>
      </c>
      <c r="U394" s="20" t="s">
        <v>1170</v>
      </c>
      <c r="Z394" s="26" t="str">
        <f>"&lt;P&gt;"&amp;PartsMaster!$I410&amp;" "&amp;PartsMaster!$H410&amp;"&lt;/P&gt;"&amp;"&lt;P&gt;Jaguar part name "&amp;PartsMaster!$E410&amp;"&lt;/P&gt;&lt;P&gt;Product numbers "&amp;PartsMaster!R410&amp;" "&amp;DQ394&amp;"&lt;/P&gt;&lt;P&gt;Fits starting from VIN/ModelYear "&amp;PartsMaster!$F410&amp;" until VIN/ModelYear "&amp;PartsMaster!$G410&amp;"&lt;/P&gt;&lt;P&gt;Condition: "&amp;PartsMaster!AB410&amp;"&lt;/P&gt;&lt;P&gt; (part source "&amp;PartsMaster!AD410&amp;")&lt;/P&gt;&lt;P&gt;Notes: "&amp;PartsMaster!AA410&amp;"&lt;/P&gt;"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394" s="20" t="s">
        <v>1171</v>
      </c>
      <c r="AC394" s="20">
        <v>0</v>
      </c>
      <c r="AD394" s="20">
        <v>0</v>
      </c>
      <c r="AE394" s="20" t="s">
        <v>1172</v>
      </c>
      <c r="AF394" s="20">
        <v>7</v>
      </c>
      <c r="AG394" s="20">
        <v>0</v>
      </c>
      <c r="AH394" s="20">
        <v>0</v>
      </c>
      <c r="AI394" s="20">
        <v>0</v>
      </c>
      <c r="AJ394" s="20">
        <v>0</v>
      </c>
      <c r="AK394" s="20">
        <v>0</v>
      </c>
      <c r="AO394" s="20" t="s">
        <v>1173</v>
      </c>
      <c r="AR394" s="20">
        <v>0</v>
      </c>
      <c r="AS394" s="20">
        <v>10112</v>
      </c>
      <c r="AV394" s="20" t="s">
        <v>1174</v>
      </c>
      <c r="AX394" s="20">
        <v>62128510024</v>
      </c>
      <c r="AY394" s="20">
        <v>62035811024</v>
      </c>
      <c r="AZ394" s="20">
        <v>55187694024</v>
      </c>
      <c r="BA394" s="20" t="s">
        <v>1175</v>
      </c>
      <c r="BB394" s="20" t="s">
        <v>1176</v>
      </c>
      <c r="BC394" s="20" t="s">
        <v>1177</v>
      </c>
      <c r="BD394" s="20">
        <v>1</v>
      </c>
      <c r="BE394" s="20">
        <v>0</v>
      </c>
      <c r="BF394" s="20">
        <v>0</v>
      </c>
      <c r="BG394" s="20">
        <v>0</v>
      </c>
      <c r="BN394" s="20" t="s">
        <v>1178</v>
      </c>
      <c r="BV394" s="20">
        <v>0</v>
      </c>
      <c r="CL394" s="20">
        <v>0</v>
      </c>
      <c r="DD394" s="20" t="s">
        <v>1179</v>
      </c>
      <c r="DE394" s="20" t="s">
        <v>1179</v>
      </c>
      <c r="DI394" s="20">
        <v>0</v>
      </c>
      <c r="DP394" s="21" t="s">
        <v>1180</v>
      </c>
      <c r="DQ394" s="21">
        <f>PartsMaster!$A410</f>
        <v>0</v>
      </c>
      <c r="DR394" s="21" t="s">
        <v>1181</v>
      </c>
      <c r="DS394" s="21" t="str">
        <f>PartsMaster!$K411&amp;" "&amp;PartsMaster!L411&amp;" "&amp;PartsMaster!$M411</f>
        <v xml:space="preserve">Front  </v>
      </c>
    </row>
    <row r="395" spans="1:123" hidden="1" x14ac:dyDescent="0.25">
      <c r="A395" s="20" t="s">
        <v>1166</v>
      </c>
      <c r="B395" s="20" t="s">
        <v>1167</v>
      </c>
      <c r="C395" s="20" t="s">
        <v>1168</v>
      </c>
      <c r="D395" s="21" t="str">
        <f>PartsMaster!B382&amp;" "&amp;PartsMaster!$C382</f>
        <v>Jaguar XK8 XKR X100 Seat  - Mechanism cover - Cream</v>
      </c>
      <c r="E395" s="20">
        <v>3000</v>
      </c>
      <c r="F395" s="20" t="s">
        <v>1182</v>
      </c>
      <c r="H395" s="21">
        <f>PartsMaster!$Q382</f>
        <v>0</v>
      </c>
      <c r="I395" s="20">
        <v>9886</v>
      </c>
      <c r="K395" s="20">
        <v>0</v>
      </c>
      <c r="L395" s="20">
        <v>0</v>
      </c>
      <c r="M395" s="21">
        <f>PartsMaster!$D382</f>
        <v>0</v>
      </c>
      <c r="O395" s="20" t="s">
        <v>1169</v>
      </c>
      <c r="P395" s="23">
        <f>PartsMaster!$S382/1.45</f>
        <v>0</v>
      </c>
      <c r="S395" s="20">
        <v>30</v>
      </c>
      <c r="T395" s="20">
        <v>0</v>
      </c>
      <c r="U395" s="20" t="s">
        <v>1170</v>
      </c>
      <c r="Z395" s="26" t="str">
        <f>"&lt;P&gt;"&amp;PartsMaster!$I382&amp;" "&amp;PartsMaster!$H382&amp;"&lt;/P&gt;"&amp;"&lt;P&gt;Jaguar part name "&amp;PartsMaster!$E382&amp;"&lt;/P&gt;&lt;P&gt;Product numbers "&amp;PartsMaster!R382&amp;" "&amp;DQ395&amp;"&lt;/P&gt;&lt;P&gt;Fits starting from VIN/ModelYear "&amp;PartsMaster!$F382&amp;" until VIN/ModelYear "&amp;PartsMaster!$G382&amp;"&lt;/P&gt;&lt;P&gt;Condition: "&amp;PartsMaster!AB382&amp;"&lt;/P&gt;&lt;P&gt; (part source "&amp;PartsMaster!AD382&amp;")&lt;/P&gt;&lt;P&gt;Notes: "&amp;PartsMaster!AA382&amp;"&lt;/P&gt;"</f>
        <v>&lt;P&gt;Cap / Cover Cap / Cover / Trim&lt;/P&gt;&lt;P&gt;Jaguar part name &lt;/P&gt;&lt;P&gt;Product numbers  0&lt;/P&gt;&lt;P&gt;Fits starting from VIN/ModelYear 18108 until VIN/ModelYear -&lt;/P&gt;&lt;P&gt;Condition: &lt;/P&gt;&lt;P&gt; (part source )&lt;/P&gt;&lt;P&gt;Notes: &lt;/P&gt;</v>
      </c>
      <c r="AA395" s="20" t="s">
        <v>1171</v>
      </c>
      <c r="AC395" s="20">
        <v>0</v>
      </c>
      <c r="AD395" s="20">
        <v>0</v>
      </c>
      <c r="AE395" s="20" t="s">
        <v>1172</v>
      </c>
      <c r="AF395" s="20">
        <v>7</v>
      </c>
      <c r="AG395" s="20">
        <v>0</v>
      </c>
      <c r="AH395" s="20">
        <v>0</v>
      </c>
      <c r="AI395" s="20">
        <v>0</v>
      </c>
      <c r="AJ395" s="20">
        <v>0</v>
      </c>
      <c r="AK395" s="20">
        <v>0</v>
      </c>
      <c r="AO395" s="20" t="s">
        <v>1173</v>
      </c>
      <c r="AR395" s="20">
        <v>0</v>
      </c>
      <c r="AS395" s="20">
        <v>10112</v>
      </c>
      <c r="AV395" s="20" t="s">
        <v>1174</v>
      </c>
      <c r="AX395" s="20">
        <v>62128510024</v>
      </c>
      <c r="AY395" s="20">
        <v>62035811024</v>
      </c>
      <c r="AZ395" s="20">
        <v>55187694024</v>
      </c>
      <c r="BA395" s="20" t="s">
        <v>1175</v>
      </c>
      <c r="BB395" s="20" t="s">
        <v>1176</v>
      </c>
      <c r="BC395" s="20" t="s">
        <v>1177</v>
      </c>
      <c r="BD395" s="20">
        <v>1</v>
      </c>
      <c r="BE395" s="20">
        <v>0</v>
      </c>
      <c r="BF395" s="20">
        <v>0</v>
      </c>
      <c r="BG395" s="20">
        <v>0</v>
      </c>
      <c r="BN395" s="20" t="s">
        <v>1178</v>
      </c>
      <c r="BV395" s="20">
        <v>0</v>
      </c>
      <c r="CL395" s="20">
        <v>0</v>
      </c>
      <c r="DD395" s="20" t="s">
        <v>1179</v>
      </c>
      <c r="DE395" s="20" t="s">
        <v>1179</v>
      </c>
      <c r="DI395" s="20">
        <v>0</v>
      </c>
      <c r="DP395" s="21" t="s">
        <v>1180</v>
      </c>
      <c r="DQ395" s="21">
        <f>PartsMaster!$A382</f>
        <v>0</v>
      </c>
      <c r="DR395" s="21" t="s">
        <v>1181</v>
      </c>
      <c r="DS395" s="21" t="str">
        <f>PartsMaster!$K383&amp;" "&amp;PartsMaster!L383&amp;" "&amp;PartsMaster!$M383</f>
        <v>Front Right Low</v>
      </c>
    </row>
    <row r="396" spans="1:123" hidden="1" x14ac:dyDescent="0.25">
      <c r="A396" s="20" t="s">
        <v>1166</v>
      </c>
      <c r="B396" s="20" t="s">
        <v>1167</v>
      </c>
      <c r="C396" s="20" t="s">
        <v>1168</v>
      </c>
      <c r="D396" s="21" t="str">
        <f>PartsMaster!B397&amp;" "&amp;PartsMaster!$C397</f>
        <v>Jaguar XK8 XKR X100 Seat  - Mechanism cover - Teal</v>
      </c>
      <c r="E396" s="20">
        <v>3000</v>
      </c>
      <c r="F396" s="20" t="s">
        <v>1182</v>
      </c>
      <c r="H396" s="21">
        <f>PartsMaster!$Q397</f>
        <v>0</v>
      </c>
      <c r="I396" s="20">
        <v>9886</v>
      </c>
      <c r="K396" s="20">
        <v>0</v>
      </c>
      <c r="L396" s="20">
        <v>0</v>
      </c>
      <c r="M396" s="21">
        <f>PartsMaster!$D397</f>
        <v>0</v>
      </c>
      <c r="O396" s="20" t="s">
        <v>1169</v>
      </c>
      <c r="P396" s="23">
        <f>PartsMaster!$S397/1.45</f>
        <v>0</v>
      </c>
      <c r="S396" s="20">
        <v>30</v>
      </c>
      <c r="T396" s="20">
        <v>0</v>
      </c>
      <c r="U396" s="20" t="s">
        <v>1170</v>
      </c>
      <c r="Z396" s="26" t="str">
        <f>"&lt;P&gt;"&amp;PartsMaster!$I397&amp;" "&amp;PartsMaster!$H397&amp;"&lt;/P&gt;"&amp;"&lt;P&gt;Jaguar part name "&amp;PartsMaster!$E397&amp;"&lt;/P&gt;&lt;P&gt;Product numbers "&amp;PartsMaster!R397&amp;" "&amp;DQ396&amp;"&lt;/P&gt;&lt;P&gt;Fits starting from VIN/ModelYear "&amp;PartsMaster!$F397&amp;" until VIN/ModelYear "&amp;PartsMaster!$G397&amp;"&lt;/P&gt;&lt;P&gt;Condition: "&amp;PartsMaster!AB397&amp;"&lt;/P&gt;&lt;P&gt; (part source "&amp;PartsMaster!AD397&amp;")&lt;/P&gt;&lt;P&gt;Notes: "&amp;PartsMaster!AA397&amp;"&lt;/P&gt;"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396" s="20" t="s">
        <v>1171</v>
      </c>
      <c r="AC396" s="20">
        <v>0</v>
      </c>
      <c r="AD396" s="20">
        <v>0</v>
      </c>
      <c r="AE396" s="20" t="s">
        <v>1172</v>
      </c>
      <c r="AF396" s="20">
        <v>7</v>
      </c>
      <c r="AG396" s="20">
        <v>0</v>
      </c>
      <c r="AH396" s="20">
        <v>0</v>
      </c>
      <c r="AI396" s="20">
        <v>0</v>
      </c>
      <c r="AJ396" s="20">
        <v>0</v>
      </c>
      <c r="AK396" s="20">
        <v>0</v>
      </c>
      <c r="AO396" s="20" t="s">
        <v>1173</v>
      </c>
      <c r="AR396" s="20">
        <v>0</v>
      </c>
      <c r="AS396" s="20">
        <v>10112</v>
      </c>
      <c r="AV396" s="20" t="s">
        <v>1174</v>
      </c>
      <c r="AX396" s="20">
        <v>62128510024</v>
      </c>
      <c r="AY396" s="20">
        <v>62035811024</v>
      </c>
      <c r="AZ396" s="20">
        <v>55187694024</v>
      </c>
      <c r="BA396" s="20" t="s">
        <v>1175</v>
      </c>
      <c r="BB396" s="20" t="s">
        <v>1176</v>
      </c>
      <c r="BC396" s="20" t="s">
        <v>1177</v>
      </c>
      <c r="BD396" s="20">
        <v>1</v>
      </c>
      <c r="BE396" s="20">
        <v>0</v>
      </c>
      <c r="BF396" s="20">
        <v>0</v>
      </c>
      <c r="BG396" s="20">
        <v>0</v>
      </c>
      <c r="BN396" s="20" t="s">
        <v>1178</v>
      </c>
      <c r="BV396" s="20">
        <v>0</v>
      </c>
      <c r="CL396" s="20">
        <v>0</v>
      </c>
      <c r="DD396" s="20" t="s">
        <v>1179</v>
      </c>
      <c r="DE396" s="20" t="s">
        <v>1179</v>
      </c>
      <c r="DI396" s="20">
        <v>0</v>
      </c>
      <c r="DP396" s="21" t="s">
        <v>1180</v>
      </c>
      <c r="DQ396" s="21">
        <f>PartsMaster!$A397</f>
        <v>0</v>
      </c>
      <c r="DR396" s="21" t="s">
        <v>1181</v>
      </c>
      <c r="DS396" s="21" t="str">
        <f>PartsMaster!$K398&amp;" "&amp;PartsMaster!L398&amp;" "&amp;PartsMaster!$M398</f>
        <v>Front Right Low</v>
      </c>
    </row>
    <row r="397" spans="1:123" ht="30" hidden="1" x14ac:dyDescent="0.25">
      <c r="A397" s="20" t="s">
        <v>1166</v>
      </c>
      <c r="B397" s="20" t="s">
        <v>1167</v>
      </c>
      <c r="C397" s="20" t="s">
        <v>1168</v>
      </c>
      <c r="D397" s="21" t="str">
        <f>PartsMaster!B33&amp;" "&amp;PartsMaster!$C33</f>
        <v>Jaguar XK8 XKR X100 FUEL FILTER O-RING</v>
      </c>
      <c r="E397" s="20">
        <v>3000</v>
      </c>
      <c r="F397" s="20" t="s">
        <v>1182</v>
      </c>
      <c r="H397" s="21" t="str">
        <f>PartsMaster!$Q33</f>
        <v>FUEL FILTER O-RING</v>
      </c>
      <c r="I397" s="20">
        <v>9886</v>
      </c>
      <c r="K397" s="20">
        <v>0</v>
      </c>
      <c r="L397" s="20">
        <v>0</v>
      </c>
      <c r="M397" s="21">
        <f>PartsMaster!$D33</f>
        <v>0</v>
      </c>
      <c r="O397" s="20" t="s">
        <v>1169</v>
      </c>
      <c r="P397" s="23">
        <f>PartsMaster!$S33/1.45</f>
        <v>0</v>
      </c>
      <c r="S397" s="20">
        <v>30</v>
      </c>
      <c r="T397" s="20">
        <v>0</v>
      </c>
      <c r="U397" s="20" t="s">
        <v>1170</v>
      </c>
      <c r="Z397" s="26" t="str">
        <f>"&lt;P&gt;"&amp;PartsMaster!$I33&amp;" "&amp;PartsMaster!$H33&amp;"&lt;/P&gt;"&amp;"&lt;P&gt;Jaguar part name "&amp;PartsMaster!$E33&amp;"&lt;/P&gt;&lt;P&gt;Product numbers "&amp;PartsMaster!R33&amp;" "&amp;DQ397&amp;"&lt;/P&gt;&lt;P&gt;Fits starting from VIN/ModelYear "&amp;PartsMaster!$F33&amp;" until VIN/ModelYear "&amp;PartsMaster!$G33&amp;"&lt;/P&gt;&lt;P&gt;Condition: "&amp;PartsMaster!AB33&amp;"&lt;/P&gt;&lt;P&gt; (part source "&amp;PartsMaster!AD33&amp;")&lt;/P&gt;&lt;P&gt;Notes: "&amp;PartsMaster!AA33&amp;"&lt;/P&gt;"</f>
        <v>&lt;P&gt;Fuel System Gasket / Seal / O-Ring&lt;/P&gt;&lt;P&gt;Jaguar part name &lt;/P&gt;&lt;P&gt;Product numbers CAC89682 CAC89682&lt;/P&gt;&lt;P&gt;Fits starting from VIN/ModelYear  until VIN/ModelYear &lt;/P&gt;&lt;P&gt;Condition: British Parts&lt;/P&gt;&lt;P&gt; (part source )&lt;/P&gt;&lt;P&gt;Notes: &lt;/P&gt;</v>
      </c>
      <c r="AA397" s="20" t="s">
        <v>1171</v>
      </c>
      <c r="AC397" s="20">
        <v>0</v>
      </c>
      <c r="AD397" s="20">
        <v>0</v>
      </c>
      <c r="AE397" s="20" t="s">
        <v>1172</v>
      </c>
      <c r="AF397" s="20">
        <v>7</v>
      </c>
      <c r="AG397" s="20">
        <v>0</v>
      </c>
      <c r="AH397" s="20">
        <v>0</v>
      </c>
      <c r="AI397" s="20">
        <v>0</v>
      </c>
      <c r="AJ397" s="20">
        <v>0</v>
      </c>
      <c r="AK397" s="20">
        <v>0</v>
      </c>
      <c r="AO397" s="20" t="s">
        <v>1173</v>
      </c>
      <c r="AR397" s="20">
        <v>0</v>
      </c>
      <c r="AS397" s="20">
        <v>10112</v>
      </c>
      <c r="AV397" s="20" t="s">
        <v>1174</v>
      </c>
      <c r="AX397" s="20">
        <v>62128510024</v>
      </c>
      <c r="AY397" s="20">
        <v>62035811024</v>
      </c>
      <c r="AZ397" s="20">
        <v>55187694024</v>
      </c>
      <c r="BA397" s="20" t="s">
        <v>1175</v>
      </c>
      <c r="BB397" s="20" t="s">
        <v>1176</v>
      </c>
      <c r="BC397" s="20" t="s">
        <v>1177</v>
      </c>
      <c r="BD397" s="20">
        <v>1</v>
      </c>
      <c r="BE397" s="20">
        <v>0</v>
      </c>
      <c r="BF397" s="20">
        <v>0</v>
      </c>
      <c r="BG397" s="20">
        <v>0</v>
      </c>
      <c r="BN397" s="20" t="s">
        <v>1178</v>
      </c>
      <c r="BV397" s="20">
        <v>0</v>
      </c>
      <c r="CL397" s="20">
        <v>0</v>
      </c>
      <c r="DD397" s="20" t="s">
        <v>1179</v>
      </c>
      <c r="DE397" s="20" t="s">
        <v>1179</v>
      </c>
      <c r="DI397" s="20">
        <v>0</v>
      </c>
      <c r="DP397" s="21" t="s">
        <v>1180</v>
      </c>
      <c r="DQ397" s="21" t="str">
        <f>PartsMaster!$A33</f>
        <v>CAC89682</v>
      </c>
      <c r="DR397" s="21" t="s">
        <v>1181</v>
      </c>
      <c r="DS397" s="21" t="str">
        <f>PartsMaster!$K34&amp;" "&amp;PartsMaster!L34&amp;" "&amp;PartsMaster!$M34</f>
        <v xml:space="preserve">Rear Left/Right </v>
      </c>
    </row>
    <row r="398" spans="1:123" hidden="1" x14ac:dyDescent="0.25">
      <c r="A398" s="20" t="s">
        <v>1166</v>
      </c>
      <c r="B398" s="20" t="s">
        <v>1167</v>
      </c>
      <c r="C398" s="20" t="s">
        <v>1168</v>
      </c>
      <c r="D398" s="21" t="str">
        <f>PartsMaster!B398&amp;" "&amp;PartsMaster!$C398</f>
        <v>Jaguar XK8 XKR X100 Seat  - Mechanism cover - Teal</v>
      </c>
      <c r="E398" s="20">
        <v>3000</v>
      </c>
      <c r="F398" s="20" t="s">
        <v>1182</v>
      </c>
      <c r="H398" s="21">
        <f>PartsMaster!$Q398</f>
        <v>0</v>
      </c>
      <c r="I398" s="20">
        <v>9886</v>
      </c>
      <c r="K398" s="20">
        <v>0</v>
      </c>
      <c r="L398" s="20">
        <v>0</v>
      </c>
      <c r="M398" s="21">
        <f>PartsMaster!$D398</f>
        <v>0</v>
      </c>
      <c r="O398" s="20" t="s">
        <v>1169</v>
      </c>
      <c r="P398" s="23">
        <f>PartsMaster!$S398/1.45</f>
        <v>0</v>
      </c>
      <c r="S398" s="20">
        <v>30</v>
      </c>
      <c r="T398" s="20">
        <v>0</v>
      </c>
      <c r="U398" s="20" t="s">
        <v>1170</v>
      </c>
      <c r="Z398" s="26" t="str">
        <f>"&lt;P&gt;"&amp;PartsMaster!$I398&amp;" "&amp;PartsMaster!$H398&amp;"&lt;/P&gt;"&amp;"&lt;P&gt;Jaguar part name "&amp;PartsMaster!$E398&amp;"&lt;/P&gt;&lt;P&gt;Product numbers "&amp;PartsMaster!R398&amp;" "&amp;DQ398&amp;"&lt;/P&gt;&lt;P&gt;Fits starting from VIN/ModelYear "&amp;PartsMaster!$F398&amp;" until VIN/ModelYear "&amp;PartsMaster!$G398&amp;"&lt;/P&gt;&lt;P&gt;Condition: "&amp;PartsMaster!AB398&amp;"&lt;/P&gt;&lt;P&gt; (part source "&amp;PartsMaster!AD398&amp;")&lt;/P&gt;&lt;P&gt;Notes: "&amp;PartsMaster!AA398&amp;"&lt;/P&gt;"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398" s="20" t="s">
        <v>1171</v>
      </c>
      <c r="AC398" s="20">
        <v>0</v>
      </c>
      <c r="AD398" s="20">
        <v>0</v>
      </c>
      <c r="AE398" s="20" t="s">
        <v>1172</v>
      </c>
      <c r="AF398" s="20">
        <v>7</v>
      </c>
      <c r="AG398" s="20">
        <v>0</v>
      </c>
      <c r="AH398" s="20">
        <v>0</v>
      </c>
      <c r="AI398" s="20">
        <v>0</v>
      </c>
      <c r="AJ398" s="20">
        <v>0</v>
      </c>
      <c r="AK398" s="20">
        <v>0</v>
      </c>
      <c r="AO398" s="20" t="s">
        <v>1173</v>
      </c>
      <c r="AR398" s="20">
        <v>0</v>
      </c>
      <c r="AS398" s="20">
        <v>10112</v>
      </c>
      <c r="AV398" s="20" t="s">
        <v>1174</v>
      </c>
      <c r="AX398" s="20">
        <v>62128510024</v>
      </c>
      <c r="AY398" s="20">
        <v>62035811024</v>
      </c>
      <c r="AZ398" s="20">
        <v>55187694024</v>
      </c>
      <c r="BA398" s="20" t="s">
        <v>1175</v>
      </c>
      <c r="BB398" s="20" t="s">
        <v>1176</v>
      </c>
      <c r="BC398" s="20" t="s">
        <v>1177</v>
      </c>
      <c r="BD398" s="20">
        <v>1</v>
      </c>
      <c r="BE398" s="20">
        <v>0</v>
      </c>
      <c r="BF398" s="20">
        <v>0</v>
      </c>
      <c r="BG398" s="20">
        <v>0</v>
      </c>
      <c r="BN398" s="20" t="s">
        <v>1178</v>
      </c>
      <c r="BV398" s="20">
        <v>0</v>
      </c>
      <c r="CL398" s="20">
        <v>0</v>
      </c>
      <c r="DD398" s="20" t="s">
        <v>1179</v>
      </c>
      <c r="DE398" s="20" t="s">
        <v>1179</v>
      </c>
      <c r="DI398" s="20">
        <v>0</v>
      </c>
      <c r="DP398" s="21" t="s">
        <v>1180</v>
      </c>
      <c r="DQ398" s="21">
        <f>PartsMaster!$A398</f>
        <v>0</v>
      </c>
      <c r="DR398" s="21" t="s">
        <v>1181</v>
      </c>
      <c r="DS398" s="21" t="str">
        <f>PartsMaster!$K399&amp;" "&amp;PartsMaster!L399&amp;" "&amp;PartsMaster!$M399</f>
        <v>Front Right Low</v>
      </c>
    </row>
    <row r="399" spans="1:123" hidden="1" x14ac:dyDescent="0.25">
      <c r="A399" s="20" t="s">
        <v>1166</v>
      </c>
      <c r="B399" s="20" t="s">
        <v>1167</v>
      </c>
      <c r="C399" s="20" t="s">
        <v>1168</v>
      </c>
      <c r="D399" s="21" t="str">
        <f>PartsMaster!B402&amp;" "&amp;PartsMaster!$C402</f>
        <v>Jaguar XK8 XKR X100 Seat - Mechanism cover - Warm Charcoal</v>
      </c>
      <c r="E399" s="20">
        <v>3000</v>
      </c>
      <c r="F399" s="20" t="s">
        <v>1182</v>
      </c>
      <c r="H399" s="21">
        <f>PartsMaster!$Q402</f>
        <v>0</v>
      </c>
      <c r="I399" s="20">
        <v>9886</v>
      </c>
      <c r="K399" s="20">
        <v>0</v>
      </c>
      <c r="L399" s="20">
        <v>0</v>
      </c>
      <c r="M399" s="21">
        <f>PartsMaster!$D402</f>
        <v>0</v>
      </c>
      <c r="O399" s="20" t="s">
        <v>1169</v>
      </c>
      <c r="P399" s="23">
        <f>PartsMaster!$S402/1.45</f>
        <v>0</v>
      </c>
      <c r="S399" s="20">
        <v>30</v>
      </c>
      <c r="T399" s="20">
        <v>0</v>
      </c>
      <c r="U399" s="20" t="s">
        <v>1170</v>
      </c>
      <c r="Z399" s="26" t="str">
        <f>"&lt;P&gt;"&amp;PartsMaster!$I402&amp;" "&amp;PartsMaster!$H402&amp;"&lt;/P&gt;"&amp;"&lt;P&gt;Jaguar part name "&amp;PartsMaster!$E402&amp;"&lt;/P&gt;&lt;P&gt;Product numbers "&amp;PartsMaster!R402&amp;" "&amp;DQ399&amp;"&lt;/P&gt;&lt;P&gt;Fits starting from VIN/ModelYear "&amp;PartsMaster!$F402&amp;" until VIN/ModelYear "&amp;PartsMaster!$G402&amp;"&lt;/P&gt;&lt;P&gt;Condition: "&amp;PartsMaster!AB402&amp;"&lt;/P&gt;&lt;P&gt; (part source "&amp;PartsMaster!AD402&amp;")&lt;/P&gt;&lt;P&gt;Notes: "&amp;PartsMaster!AA402&amp;"&lt;/P&gt;"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399" s="20" t="s">
        <v>1171</v>
      </c>
      <c r="AC399" s="20">
        <v>0</v>
      </c>
      <c r="AD399" s="20">
        <v>0</v>
      </c>
      <c r="AE399" s="20" t="s">
        <v>1172</v>
      </c>
      <c r="AF399" s="20">
        <v>7</v>
      </c>
      <c r="AG399" s="20">
        <v>0</v>
      </c>
      <c r="AH399" s="20">
        <v>0</v>
      </c>
      <c r="AI399" s="20">
        <v>0</v>
      </c>
      <c r="AJ399" s="20">
        <v>0</v>
      </c>
      <c r="AK399" s="20">
        <v>0</v>
      </c>
      <c r="AO399" s="20" t="s">
        <v>1173</v>
      </c>
      <c r="AR399" s="20">
        <v>0</v>
      </c>
      <c r="AS399" s="20">
        <v>10112</v>
      </c>
      <c r="AV399" s="20" t="s">
        <v>1174</v>
      </c>
      <c r="AX399" s="20">
        <v>62128510024</v>
      </c>
      <c r="AY399" s="20">
        <v>62035811024</v>
      </c>
      <c r="AZ399" s="20">
        <v>55187694024</v>
      </c>
      <c r="BA399" s="20" t="s">
        <v>1175</v>
      </c>
      <c r="BB399" s="20" t="s">
        <v>1176</v>
      </c>
      <c r="BC399" s="20" t="s">
        <v>1177</v>
      </c>
      <c r="BD399" s="20">
        <v>1</v>
      </c>
      <c r="BE399" s="20">
        <v>0</v>
      </c>
      <c r="BF399" s="20">
        <v>0</v>
      </c>
      <c r="BG399" s="20">
        <v>0</v>
      </c>
      <c r="BN399" s="20" t="s">
        <v>1178</v>
      </c>
      <c r="BV399" s="20">
        <v>0</v>
      </c>
      <c r="CL399" s="20">
        <v>0</v>
      </c>
      <c r="DD399" s="20" t="s">
        <v>1179</v>
      </c>
      <c r="DE399" s="20" t="s">
        <v>1179</v>
      </c>
      <c r="DI399" s="20">
        <v>0</v>
      </c>
      <c r="DP399" s="21" t="s">
        <v>1180</v>
      </c>
      <c r="DQ399" s="21">
        <f>PartsMaster!$A402</f>
        <v>0</v>
      </c>
      <c r="DR399" s="21" t="s">
        <v>1181</v>
      </c>
      <c r="DS399" s="21" t="str">
        <f>PartsMaster!$K403&amp;" "&amp;PartsMaster!L403&amp;" "&amp;PartsMaster!$M403</f>
        <v>Front Left Low</v>
      </c>
    </row>
    <row r="400" spans="1:123" ht="30" hidden="1" x14ac:dyDescent="0.25">
      <c r="A400" s="20" t="s">
        <v>1166</v>
      </c>
      <c r="B400" s="20" t="s">
        <v>1167</v>
      </c>
      <c r="C400" s="20" t="s">
        <v>1168</v>
      </c>
      <c r="D400" s="21" t="str">
        <f>PartsMaster!B181&amp;" "&amp;PartsMaster!$C181</f>
        <v>Jaguar XK8 XKR X100 GEARBOX FILTER</v>
      </c>
      <c r="E400" s="20">
        <v>3000</v>
      </c>
      <c r="F400" s="20" t="s">
        <v>1182</v>
      </c>
      <c r="H400" s="21" t="str">
        <f>PartsMaster!$Q181</f>
        <v>FILTER-AUTO GEARBOX</v>
      </c>
      <c r="I400" s="20">
        <v>9886</v>
      </c>
      <c r="K400" s="20">
        <v>0</v>
      </c>
      <c r="L400" s="20">
        <v>0</v>
      </c>
      <c r="M400" s="21">
        <f>PartsMaster!$D181</f>
        <v>0</v>
      </c>
      <c r="O400" s="20" t="s">
        <v>1169</v>
      </c>
      <c r="P400" s="23">
        <f>PartsMaster!$S181/1.45</f>
        <v>0</v>
      </c>
      <c r="S400" s="20">
        <v>30</v>
      </c>
      <c r="T400" s="20">
        <v>0</v>
      </c>
      <c r="U400" s="20" t="s">
        <v>1170</v>
      </c>
      <c r="Z400" s="26" t="str">
        <f>"&lt;P&gt;"&amp;PartsMaster!$I181&amp;" "&amp;PartsMaster!$H181&amp;"&lt;/P&gt;"&amp;"&lt;P&gt;Jaguar part name "&amp;PartsMaster!$E181&amp;"&lt;/P&gt;&lt;P&gt;Product numbers "&amp;PartsMaster!R181&amp;" "&amp;DQ400&amp;"&lt;/P&gt;&lt;P&gt;Fits starting from VIN/ModelYear "&amp;PartsMaster!$F181&amp;" until VIN/ModelYear "&amp;PartsMaster!$G181&amp;"&lt;/P&gt;&lt;P&gt;Condition: "&amp;PartsMaster!AB181&amp;"&lt;/P&gt;&lt;P&gt; (part source "&amp;PartsMaster!AD181&amp;")&lt;/P&gt;&lt;P&gt;Notes: "&amp;PartsMaster!AA181&amp;"&lt;/P&gt;"</f>
        <v>&lt;P&gt;Gear box / Gear shifter / Gear Selector Filter&lt;/P&gt;&lt;P&gt;Jaguar part name &lt;/P&gt;&lt;P&gt;Product numbers JLM20216 JLM20216&lt;/P&gt;&lt;P&gt;Fits starting from VIN/ModelYear  until VIN/ModelYear &lt;/P&gt;&lt;P&gt;Condition: British Parts&lt;/P&gt;&lt;P&gt; (part source )&lt;/P&gt;&lt;P&gt;Notes: &lt;/P&gt;</v>
      </c>
      <c r="AA400" s="20" t="s">
        <v>1171</v>
      </c>
      <c r="AC400" s="20">
        <v>0</v>
      </c>
      <c r="AD400" s="20">
        <v>0</v>
      </c>
      <c r="AE400" s="20" t="s">
        <v>1172</v>
      </c>
      <c r="AF400" s="20">
        <v>7</v>
      </c>
      <c r="AG400" s="20">
        <v>0</v>
      </c>
      <c r="AH400" s="20">
        <v>0</v>
      </c>
      <c r="AI400" s="20">
        <v>0</v>
      </c>
      <c r="AJ400" s="20">
        <v>0</v>
      </c>
      <c r="AK400" s="20">
        <v>0</v>
      </c>
      <c r="AO400" s="20" t="s">
        <v>1173</v>
      </c>
      <c r="AR400" s="20">
        <v>0</v>
      </c>
      <c r="AS400" s="20">
        <v>10112</v>
      </c>
      <c r="AV400" s="20" t="s">
        <v>1174</v>
      </c>
      <c r="AX400" s="20">
        <v>62128510024</v>
      </c>
      <c r="AY400" s="20">
        <v>62035811024</v>
      </c>
      <c r="AZ400" s="20">
        <v>55187694024</v>
      </c>
      <c r="BA400" s="20" t="s">
        <v>1175</v>
      </c>
      <c r="BB400" s="20" t="s">
        <v>1176</v>
      </c>
      <c r="BC400" s="20" t="s">
        <v>1177</v>
      </c>
      <c r="BD400" s="20">
        <v>1</v>
      </c>
      <c r="BE400" s="20">
        <v>0</v>
      </c>
      <c r="BF400" s="20">
        <v>0</v>
      </c>
      <c r="BG400" s="20">
        <v>0</v>
      </c>
      <c r="BN400" s="20" t="s">
        <v>1178</v>
      </c>
      <c r="BV400" s="20">
        <v>0</v>
      </c>
      <c r="CL400" s="20">
        <v>0</v>
      </c>
      <c r="DD400" s="20" t="s">
        <v>1179</v>
      </c>
      <c r="DE400" s="20" t="s">
        <v>1179</v>
      </c>
      <c r="DI400" s="20">
        <v>0</v>
      </c>
      <c r="DP400" s="21" t="s">
        <v>1180</v>
      </c>
      <c r="DQ400" s="21" t="str">
        <f>PartsMaster!$A181</f>
        <v>JLM20216</v>
      </c>
      <c r="DR400" s="21" t="s">
        <v>1181</v>
      </c>
      <c r="DS400" s="21" t="str">
        <f>PartsMaster!$K182&amp;" "&amp;PartsMaster!L182&amp;" "&amp;PartsMaster!$M182</f>
        <v xml:space="preserve">  </v>
      </c>
    </row>
    <row r="401" spans="1:123" hidden="1" x14ac:dyDescent="0.25">
      <c r="A401" s="20" t="s">
        <v>1166</v>
      </c>
      <c r="B401" s="20" t="s">
        <v>1167</v>
      </c>
      <c r="C401" s="20" t="s">
        <v>1168</v>
      </c>
      <c r="D401" s="21" t="str">
        <f>PartsMaster!B386&amp;" "&amp;PartsMaster!$C386</f>
        <v>Jaguar XK8 XKR X100 Seat  - Mechanism cover - Ivory</v>
      </c>
      <c r="E401" s="20">
        <v>3000</v>
      </c>
      <c r="F401" s="20" t="s">
        <v>1182</v>
      </c>
      <c r="H401" s="21">
        <f>PartsMaster!$Q386</f>
        <v>0</v>
      </c>
      <c r="I401" s="20">
        <v>9886</v>
      </c>
      <c r="K401" s="20">
        <v>0</v>
      </c>
      <c r="L401" s="20">
        <v>0</v>
      </c>
      <c r="M401" s="21">
        <f>PartsMaster!$D386</f>
        <v>0</v>
      </c>
      <c r="O401" s="20" t="s">
        <v>1169</v>
      </c>
      <c r="P401" s="23">
        <f>PartsMaster!$S386/1.45</f>
        <v>0</v>
      </c>
      <c r="S401" s="20">
        <v>30</v>
      </c>
      <c r="T401" s="20">
        <v>0</v>
      </c>
      <c r="U401" s="20" t="s">
        <v>1170</v>
      </c>
      <c r="Z401" s="26" t="str">
        <f>"&lt;P&gt;"&amp;PartsMaster!$I386&amp;" "&amp;PartsMaster!$H386&amp;"&lt;/P&gt;"&amp;"&lt;P&gt;Jaguar part name "&amp;PartsMaster!$E386&amp;"&lt;/P&gt;&lt;P&gt;Product numbers "&amp;PartsMaster!R386&amp;" "&amp;DQ401&amp;"&lt;/P&gt;&lt;P&gt;Fits starting from VIN/ModelYear "&amp;PartsMaster!$F386&amp;" until VIN/ModelYear "&amp;PartsMaster!$G386&amp;"&lt;/P&gt;&lt;P&gt;Condition: "&amp;PartsMaster!AB386&amp;"&lt;/P&gt;&lt;P&gt; (part source "&amp;PartsMaster!AD386&amp;")&lt;/P&gt;&lt;P&gt;Notes: "&amp;PartsMaster!AA386&amp;"&lt;/P&gt;"</f>
        <v>&lt;P&gt;Cap / Cover Cap / Cover / Trim&lt;/P&gt;&lt;P&gt;Jaguar part name &lt;/P&gt;&lt;P&gt;Product numbers  0&lt;/P&gt;&lt;P&gt;Fits starting from VIN/ModelYear 18108 until VIN/ModelYear -&lt;/P&gt;&lt;P&gt;Condition: &lt;/P&gt;&lt;P&gt; (part source )&lt;/P&gt;&lt;P&gt;Notes: &lt;/P&gt;</v>
      </c>
      <c r="AA401" s="20" t="s">
        <v>1171</v>
      </c>
      <c r="AC401" s="20">
        <v>0</v>
      </c>
      <c r="AD401" s="20">
        <v>0</v>
      </c>
      <c r="AE401" s="20" t="s">
        <v>1172</v>
      </c>
      <c r="AF401" s="20">
        <v>7</v>
      </c>
      <c r="AG401" s="20">
        <v>0</v>
      </c>
      <c r="AH401" s="20">
        <v>0</v>
      </c>
      <c r="AI401" s="20">
        <v>0</v>
      </c>
      <c r="AJ401" s="20">
        <v>0</v>
      </c>
      <c r="AK401" s="20">
        <v>0</v>
      </c>
      <c r="AO401" s="20" t="s">
        <v>1173</v>
      </c>
      <c r="AR401" s="20">
        <v>0</v>
      </c>
      <c r="AS401" s="20">
        <v>10112</v>
      </c>
      <c r="AV401" s="20" t="s">
        <v>1174</v>
      </c>
      <c r="AX401" s="20">
        <v>62128510024</v>
      </c>
      <c r="AY401" s="20">
        <v>62035811024</v>
      </c>
      <c r="AZ401" s="20">
        <v>55187694024</v>
      </c>
      <c r="BA401" s="20" t="s">
        <v>1175</v>
      </c>
      <c r="BB401" s="20" t="s">
        <v>1176</v>
      </c>
      <c r="BC401" s="20" t="s">
        <v>1177</v>
      </c>
      <c r="BD401" s="20">
        <v>1</v>
      </c>
      <c r="BE401" s="20">
        <v>0</v>
      </c>
      <c r="BF401" s="20">
        <v>0</v>
      </c>
      <c r="BG401" s="20">
        <v>0</v>
      </c>
      <c r="BN401" s="20" t="s">
        <v>1178</v>
      </c>
      <c r="BV401" s="20">
        <v>0</v>
      </c>
      <c r="CL401" s="20">
        <v>0</v>
      </c>
      <c r="DD401" s="20" t="s">
        <v>1179</v>
      </c>
      <c r="DE401" s="20" t="s">
        <v>1179</v>
      </c>
      <c r="DI401" s="20">
        <v>0</v>
      </c>
      <c r="DP401" s="21" t="s">
        <v>1180</v>
      </c>
      <c r="DQ401" s="21">
        <f>PartsMaster!$A386</f>
        <v>0</v>
      </c>
      <c r="DR401" s="21" t="s">
        <v>1181</v>
      </c>
      <c r="DS401" s="21" t="str">
        <f>PartsMaster!$K387&amp;" "&amp;PartsMaster!L387&amp;" "&amp;PartsMaster!$M387</f>
        <v>Front Left Low</v>
      </c>
    </row>
    <row r="402" spans="1:123" hidden="1" x14ac:dyDescent="0.25">
      <c r="A402" s="20" t="s">
        <v>1166</v>
      </c>
      <c r="B402" s="20" t="s">
        <v>1167</v>
      </c>
      <c r="C402" s="20" t="s">
        <v>1168</v>
      </c>
      <c r="D402" s="21" t="str">
        <f>PartsMaster!B387&amp;" "&amp;PartsMaster!$C387</f>
        <v>Jaguar XK8 XKR X100 Seat  - Mechanism cover - Ivory</v>
      </c>
      <c r="E402" s="20">
        <v>3000</v>
      </c>
      <c r="F402" s="20" t="s">
        <v>1182</v>
      </c>
      <c r="H402" s="21">
        <f>PartsMaster!$Q387</f>
        <v>0</v>
      </c>
      <c r="I402" s="20">
        <v>9886</v>
      </c>
      <c r="K402" s="20">
        <v>0</v>
      </c>
      <c r="L402" s="20">
        <v>0</v>
      </c>
      <c r="M402" s="21">
        <f>PartsMaster!$D387</f>
        <v>0</v>
      </c>
      <c r="O402" s="20" t="s">
        <v>1169</v>
      </c>
      <c r="P402" s="23">
        <f>PartsMaster!$S387/1.45</f>
        <v>0</v>
      </c>
      <c r="S402" s="20">
        <v>30</v>
      </c>
      <c r="T402" s="20">
        <v>0</v>
      </c>
      <c r="U402" s="20" t="s">
        <v>1170</v>
      </c>
      <c r="Z402" s="26" t="str">
        <f>"&lt;P&gt;"&amp;PartsMaster!$I387&amp;" "&amp;PartsMaster!$H387&amp;"&lt;/P&gt;"&amp;"&lt;P&gt;Jaguar part name "&amp;PartsMaster!$E387&amp;"&lt;/P&gt;&lt;P&gt;Product numbers "&amp;PartsMaster!R387&amp;" "&amp;DQ402&amp;"&lt;/P&gt;&lt;P&gt;Fits starting from VIN/ModelYear "&amp;PartsMaster!$F387&amp;" until VIN/ModelYear "&amp;PartsMaster!$G387&amp;"&lt;/P&gt;&lt;P&gt;Condition: "&amp;PartsMaster!AB387&amp;"&lt;/P&gt;&lt;P&gt; (part source "&amp;PartsMaster!AD387&amp;")&lt;/P&gt;&lt;P&gt;Notes: "&amp;PartsMaster!AA387&amp;"&lt;/P&gt;"</f>
        <v>&lt;P&gt;Cap / Cover Cap / Cover / Trim&lt;/P&gt;&lt;P&gt;Jaguar part name &lt;/P&gt;&lt;P&gt;Product numbers  0&lt;/P&gt;&lt;P&gt;Fits starting from VIN/ModelYear 0 until VIN/ModelYear 18107&lt;/P&gt;&lt;P&gt;Condition: &lt;/P&gt;&lt;P&gt; (part source )&lt;/P&gt;&lt;P&gt;Notes: &lt;/P&gt;</v>
      </c>
      <c r="AA402" s="20" t="s">
        <v>1171</v>
      </c>
      <c r="AC402" s="20">
        <v>0</v>
      </c>
      <c r="AD402" s="20">
        <v>0</v>
      </c>
      <c r="AE402" s="20" t="s">
        <v>1172</v>
      </c>
      <c r="AF402" s="20">
        <v>7</v>
      </c>
      <c r="AG402" s="20">
        <v>0</v>
      </c>
      <c r="AH402" s="20">
        <v>0</v>
      </c>
      <c r="AI402" s="20">
        <v>0</v>
      </c>
      <c r="AJ402" s="20">
        <v>0</v>
      </c>
      <c r="AK402" s="20">
        <v>0</v>
      </c>
      <c r="AO402" s="20" t="s">
        <v>1173</v>
      </c>
      <c r="AR402" s="20">
        <v>0</v>
      </c>
      <c r="AS402" s="20">
        <v>10112</v>
      </c>
      <c r="AV402" s="20" t="s">
        <v>1174</v>
      </c>
      <c r="AX402" s="20">
        <v>62128510024</v>
      </c>
      <c r="AY402" s="20">
        <v>62035811024</v>
      </c>
      <c r="AZ402" s="20">
        <v>55187694024</v>
      </c>
      <c r="BA402" s="20" t="s">
        <v>1175</v>
      </c>
      <c r="BB402" s="20" t="s">
        <v>1176</v>
      </c>
      <c r="BC402" s="20" t="s">
        <v>1177</v>
      </c>
      <c r="BD402" s="20">
        <v>1</v>
      </c>
      <c r="BE402" s="20">
        <v>0</v>
      </c>
      <c r="BF402" s="20">
        <v>0</v>
      </c>
      <c r="BG402" s="20">
        <v>0</v>
      </c>
      <c r="BN402" s="20" t="s">
        <v>1178</v>
      </c>
      <c r="BV402" s="20">
        <v>0</v>
      </c>
      <c r="CL402" s="20">
        <v>0</v>
      </c>
      <c r="DD402" s="20" t="s">
        <v>1179</v>
      </c>
      <c r="DE402" s="20" t="s">
        <v>1179</v>
      </c>
      <c r="DI402" s="20">
        <v>0</v>
      </c>
      <c r="DP402" s="21" t="s">
        <v>1180</v>
      </c>
      <c r="DQ402" s="21">
        <f>PartsMaster!$A387</f>
        <v>0</v>
      </c>
      <c r="DR402" s="21" t="s">
        <v>1181</v>
      </c>
      <c r="DS402" s="21" t="str">
        <f>PartsMaster!$K388&amp;" "&amp;PartsMaster!L388&amp;" "&amp;PartsMaster!$M388</f>
        <v>Front Left Low</v>
      </c>
    </row>
    <row r="403" spans="1:123" hidden="1" x14ac:dyDescent="0.25">
      <c r="A403" s="20" t="s">
        <v>1166</v>
      </c>
      <c r="B403" s="20" t="s">
        <v>1167</v>
      </c>
      <c r="C403" s="20" t="s">
        <v>1168</v>
      </c>
      <c r="D403" s="21" t="str">
        <f>PartsMaster!B388&amp;" "&amp;PartsMaster!$C388</f>
        <v>Jaguar XK8 XKR X100 Seat  - Mechanism cover - Ivory</v>
      </c>
      <c r="E403" s="20">
        <v>3000</v>
      </c>
      <c r="F403" s="20" t="s">
        <v>1182</v>
      </c>
      <c r="H403" s="21">
        <f>PartsMaster!$Q388</f>
        <v>0</v>
      </c>
      <c r="I403" s="20">
        <v>9886</v>
      </c>
      <c r="K403" s="20">
        <v>0</v>
      </c>
      <c r="L403" s="20">
        <v>0</v>
      </c>
      <c r="M403" s="21">
        <f>PartsMaster!$D388</f>
        <v>0</v>
      </c>
      <c r="O403" s="20" t="s">
        <v>1169</v>
      </c>
      <c r="P403" s="23">
        <f>PartsMaster!$S388/1.45</f>
        <v>0</v>
      </c>
      <c r="S403" s="20">
        <v>30</v>
      </c>
      <c r="T403" s="20">
        <v>0</v>
      </c>
      <c r="U403" s="20" t="s">
        <v>1170</v>
      </c>
      <c r="Z403" s="26" t="str">
        <f>"&lt;P&gt;"&amp;PartsMaster!$I388&amp;" "&amp;PartsMaster!$H388&amp;"&lt;/P&gt;"&amp;"&lt;P&gt;Jaguar part name "&amp;PartsMaster!$E388&amp;"&lt;/P&gt;&lt;P&gt;Product numbers "&amp;PartsMaster!R388&amp;" "&amp;DQ403&amp;"&lt;/P&gt;&lt;P&gt;Fits starting from VIN/ModelYear "&amp;PartsMaster!$F388&amp;" until VIN/ModelYear "&amp;PartsMaster!$G388&amp;"&lt;/P&gt;&lt;P&gt;Condition: "&amp;PartsMaster!AB388&amp;"&lt;/P&gt;&lt;P&gt; (part source "&amp;PartsMaster!AD388&amp;")&lt;/P&gt;&lt;P&gt;Notes: "&amp;PartsMaster!AA388&amp;"&lt;/P&gt;"</f>
        <v>&lt;P&gt;Cap / Cover Cap / Cover / Trim&lt;/P&gt;&lt;P&gt;Jaguar part name &lt;/P&gt;&lt;P&gt;Product numbers  0&lt;/P&gt;&lt;P&gt;Fits starting from VIN/ModelYear 18108 until VIN/ModelYear -&lt;/P&gt;&lt;P&gt;Condition: &lt;/P&gt;&lt;P&gt; (part source )&lt;/P&gt;&lt;P&gt;Notes: &lt;/P&gt;</v>
      </c>
      <c r="AA403" s="20" t="s">
        <v>1171</v>
      </c>
      <c r="AC403" s="20">
        <v>0</v>
      </c>
      <c r="AD403" s="20">
        <v>0</v>
      </c>
      <c r="AE403" s="20" t="s">
        <v>1172</v>
      </c>
      <c r="AF403" s="20">
        <v>7</v>
      </c>
      <c r="AG403" s="20">
        <v>0</v>
      </c>
      <c r="AH403" s="20">
        <v>0</v>
      </c>
      <c r="AI403" s="20">
        <v>0</v>
      </c>
      <c r="AJ403" s="20">
        <v>0</v>
      </c>
      <c r="AK403" s="20">
        <v>0</v>
      </c>
      <c r="AO403" s="20" t="s">
        <v>1173</v>
      </c>
      <c r="AR403" s="20">
        <v>0</v>
      </c>
      <c r="AS403" s="20">
        <v>10112</v>
      </c>
      <c r="AV403" s="20" t="s">
        <v>1174</v>
      </c>
      <c r="AX403" s="20">
        <v>62128510024</v>
      </c>
      <c r="AY403" s="20">
        <v>62035811024</v>
      </c>
      <c r="AZ403" s="20">
        <v>55187694024</v>
      </c>
      <c r="BA403" s="20" t="s">
        <v>1175</v>
      </c>
      <c r="BB403" s="20" t="s">
        <v>1176</v>
      </c>
      <c r="BC403" s="20" t="s">
        <v>1177</v>
      </c>
      <c r="BD403" s="20">
        <v>1</v>
      </c>
      <c r="BE403" s="20">
        <v>0</v>
      </c>
      <c r="BF403" s="20">
        <v>0</v>
      </c>
      <c r="BG403" s="20">
        <v>0</v>
      </c>
      <c r="BN403" s="20" t="s">
        <v>1178</v>
      </c>
      <c r="BV403" s="20">
        <v>0</v>
      </c>
      <c r="CL403" s="20">
        <v>0</v>
      </c>
      <c r="DD403" s="20" t="s">
        <v>1179</v>
      </c>
      <c r="DE403" s="20" t="s">
        <v>1179</v>
      </c>
      <c r="DI403" s="20">
        <v>0</v>
      </c>
      <c r="DP403" s="21" t="s">
        <v>1180</v>
      </c>
      <c r="DQ403" s="21">
        <f>PartsMaster!$A388</f>
        <v>0</v>
      </c>
      <c r="DR403" s="21" t="s">
        <v>1181</v>
      </c>
      <c r="DS403" s="21" t="str">
        <f>PartsMaster!$K389&amp;" "&amp;PartsMaster!L389&amp;" "&amp;PartsMaster!$M389</f>
        <v>Front Right Low</v>
      </c>
    </row>
    <row r="404" spans="1:123" hidden="1" x14ac:dyDescent="0.25">
      <c r="A404" s="20" t="s">
        <v>1166</v>
      </c>
      <c r="B404" s="20" t="s">
        <v>1167</v>
      </c>
      <c r="C404" s="20" t="s">
        <v>1168</v>
      </c>
      <c r="D404" s="21" t="str">
        <f>PartsMaster!B389&amp;" "&amp;PartsMaster!$C389</f>
        <v>Jaguar XK8 XKR X100 Seat  - Mechanism cover - Ivory</v>
      </c>
      <c r="E404" s="20">
        <v>3000</v>
      </c>
      <c r="F404" s="20" t="s">
        <v>1182</v>
      </c>
      <c r="H404" s="21">
        <f>PartsMaster!$Q389</f>
        <v>0</v>
      </c>
      <c r="I404" s="20">
        <v>9886</v>
      </c>
      <c r="K404" s="20">
        <v>0</v>
      </c>
      <c r="L404" s="20">
        <v>0</v>
      </c>
      <c r="M404" s="21">
        <f>PartsMaster!$D389</f>
        <v>0</v>
      </c>
      <c r="O404" s="20" t="s">
        <v>1169</v>
      </c>
      <c r="P404" s="23">
        <f>PartsMaster!$S389/1.45</f>
        <v>0</v>
      </c>
      <c r="S404" s="20">
        <v>30</v>
      </c>
      <c r="T404" s="20">
        <v>0</v>
      </c>
      <c r="U404" s="20" t="s">
        <v>1170</v>
      </c>
      <c r="Z404" s="26" t="str">
        <f>"&lt;P&gt;"&amp;PartsMaster!$I389&amp;" "&amp;PartsMaster!$H389&amp;"&lt;/P&gt;"&amp;"&lt;P&gt;Jaguar part name "&amp;PartsMaster!$E389&amp;"&lt;/P&gt;&lt;P&gt;Product numbers "&amp;PartsMaster!R389&amp;" "&amp;DQ404&amp;"&lt;/P&gt;&lt;P&gt;Fits starting from VIN/ModelYear "&amp;PartsMaster!$F389&amp;" until VIN/ModelYear "&amp;PartsMaster!$G389&amp;"&lt;/P&gt;&lt;P&gt;Condition: "&amp;PartsMaster!AB389&amp;"&lt;/P&gt;&lt;P&gt; (part source "&amp;PartsMaster!AD389&amp;")&lt;/P&gt;&lt;P&gt;Notes: "&amp;PartsMaster!AA389&amp;"&lt;/P&gt;"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404" s="20" t="s">
        <v>1171</v>
      </c>
      <c r="AC404" s="20">
        <v>0</v>
      </c>
      <c r="AD404" s="20">
        <v>0</v>
      </c>
      <c r="AE404" s="20" t="s">
        <v>1172</v>
      </c>
      <c r="AF404" s="20">
        <v>7</v>
      </c>
      <c r="AG404" s="20">
        <v>0</v>
      </c>
      <c r="AH404" s="20">
        <v>0</v>
      </c>
      <c r="AI404" s="20">
        <v>0</v>
      </c>
      <c r="AJ404" s="20">
        <v>0</v>
      </c>
      <c r="AK404" s="20">
        <v>0</v>
      </c>
      <c r="AO404" s="20" t="s">
        <v>1173</v>
      </c>
      <c r="AR404" s="20">
        <v>0</v>
      </c>
      <c r="AS404" s="20">
        <v>10112</v>
      </c>
      <c r="AV404" s="20" t="s">
        <v>1174</v>
      </c>
      <c r="AX404" s="20">
        <v>62128510024</v>
      </c>
      <c r="AY404" s="20">
        <v>62035811024</v>
      </c>
      <c r="AZ404" s="20">
        <v>55187694024</v>
      </c>
      <c r="BA404" s="20" t="s">
        <v>1175</v>
      </c>
      <c r="BB404" s="20" t="s">
        <v>1176</v>
      </c>
      <c r="BC404" s="20" t="s">
        <v>1177</v>
      </c>
      <c r="BD404" s="20">
        <v>1</v>
      </c>
      <c r="BE404" s="20">
        <v>0</v>
      </c>
      <c r="BF404" s="20">
        <v>0</v>
      </c>
      <c r="BG404" s="20">
        <v>0</v>
      </c>
      <c r="BN404" s="20" t="s">
        <v>1178</v>
      </c>
      <c r="BV404" s="20">
        <v>0</v>
      </c>
      <c r="CL404" s="20">
        <v>0</v>
      </c>
      <c r="DD404" s="20" t="s">
        <v>1179</v>
      </c>
      <c r="DE404" s="20" t="s">
        <v>1179</v>
      </c>
      <c r="DI404" s="20">
        <v>0</v>
      </c>
      <c r="DP404" s="21" t="s">
        <v>1180</v>
      </c>
      <c r="DQ404" s="21">
        <f>PartsMaster!$A389</f>
        <v>0</v>
      </c>
      <c r="DR404" s="21" t="s">
        <v>1181</v>
      </c>
      <c r="DS404" s="21" t="str">
        <f>PartsMaster!$K390&amp;" "&amp;PartsMaster!L390&amp;" "&amp;PartsMaster!$M390</f>
        <v>Front Right Low</v>
      </c>
    </row>
    <row r="405" spans="1:123" hidden="1" x14ac:dyDescent="0.25">
      <c r="A405" s="20" t="s">
        <v>1166</v>
      </c>
      <c r="B405" s="20" t="s">
        <v>1167</v>
      </c>
      <c r="C405" s="20" t="s">
        <v>1168</v>
      </c>
      <c r="D405" s="21" t="str">
        <f>PartsMaster!B390&amp;" "&amp;PartsMaster!$C390</f>
        <v>Jaguar XK8 XKR X100 Seat  - Mechanism cover - Ivory</v>
      </c>
      <c r="E405" s="20">
        <v>3000</v>
      </c>
      <c r="F405" s="20" t="s">
        <v>1182</v>
      </c>
      <c r="H405" s="21">
        <f>PartsMaster!$Q390</f>
        <v>0</v>
      </c>
      <c r="I405" s="20">
        <v>9886</v>
      </c>
      <c r="K405" s="20">
        <v>0</v>
      </c>
      <c r="L405" s="20">
        <v>0</v>
      </c>
      <c r="M405" s="21">
        <f>PartsMaster!$D390</f>
        <v>0</v>
      </c>
      <c r="O405" s="20" t="s">
        <v>1169</v>
      </c>
      <c r="P405" s="23">
        <f>PartsMaster!$S390/1.45</f>
        <v>0</v>
      </c>
      <c r="S405" s="20">
        <v>30</v>
      </c>
      <c r="T405" s="20">
        <v>0</v>
      </c>
      <c r="U405" s="20" t="s">
        <v>1170</v>
      </c>
      <c r="Z405" s="26" t="str">
        <f>"&lt;P&gt;"&amp;PartsMaster!$I390&amp;" "&amp;PartsMaster!$H390&amp;"&lt;/P&gt;"&amp;"&lt;P&gt;Jaguar part name "&amp;PartsMaster!$E390&amp;"&lt;/P&gt;&lt;P&gt;Product numbers "&amp;PartsMaster!R390&amp;" "&amp;DQ405&amp;"&lt;/P&gt;&lt;P&gt;Fits starting from VIN/ModelYear "&amp;PartsMaster!$F390&amp;" until VIN/ModelYear "&amp;PartsMaster!$G390&amp;"&lt;/P&gt;&lt;P&gt;Condition: "&amp;PartsMaster!AB390&amp;"&lt;/P&gt;&lt;P&gt; (part source "&amp;PartsMaster!AD390&amp;")&lt;/P&gt;&lt;P&gt;Notes: "&amp;PartsMaster!AA390&amp;"&lt;/P&gt;"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405" s="20" t="s">
        <v>1171</v>
      </c>
      <c r="AC405" s="20">
        <v>0</v>
      </c>
      <c r="AD405" s="20">
        <v>0</v>
      </c>
      <c r="AE405" s="20" t="s">
        <v>1172</v>
      </c>
      <c r="AF405" s="20">
        <v>7</v>
      </c>
      <c r="AG405" s="20">
        <v>0</v>
      </c>
      <c r="AH405" s="20">
        <v>0</v>
      </c>
      <c r="AI405" s="20">
        <v>0</v>
      </c>
      <c r="AJ405" s="20">
        <v>0</v>
      </c>
      <c r="AK405" s="20">
        <v>0</v>
      </c>
      <c r="AO405" s="20" t="s">
        <v>1173</v>
      </c>
      <c r="AR405" s="20">
        <v>0</v>
      </c>
      <c r="AS405" s="20">
        <v>10112</v>
      </c>
      <c r="AV405" s="20" t="s">
        <v>1174</v>
      </c>
      <c r="AX405" s="20">
        <v>62128510024</v>
      </c>
      <c r="AY405" s="20">
        <v>62035811024</v>
      </c>
      <c r="AZ405" s="20">
        <v>55187694024</v>
      </c>
      <c r="BA405" s="20" t="s">
        <v>1175</v>
      </c>
      <c r="BB405" s="20" t="s">
        <v>1176</v>
      </c>
      <c r="BC405" s="20" t="s">
        <v>1177</v>
      </c>
      <c r="BD405" s="20">
        <v>1</v>
      </c>
      <c r="BE405" s="20">
        <v>0</v>
      </c>
      <c r="BF405" s="20">
        <v>0</v>
      </c>
      <c r="BG405" s="20">
        <v>0</v>
      </c>
      <c r="BN405" s="20" t="s">
        <v>1178</v>
      </c>
      <c r="BV405" s="20">
        <v>0</v>
      </c>
      <c r="CL405" s="20">
        <v>0</v>
      </c>
      <c r="DD405" s="20" t="s">
        <v>1179</v>
      </c>
      <c r="DE405" s="20" t="s">
        <v>1179</v>
      </c>
      <c r="DI405" s="20">
        <v>0</v>
      </c>
      <c r="DP405" s="21" t="s">
        <v>1180</v>
      </c>
      <c r="DQ405" s="21">
        <f>PartsMaster!$A390</f>
        <v>0</v>
      </c>
      <c r="DR405" s="21" t="s">
        <v>1181</v>
      </c>
      <c r="DS405" s="21" t="str">
        <f>PartsMaster!$K391&amp;" "&amp;PartsMaster!L391&amp;" "&amp;PartsMaster!$M391</f>
        <v>Front Right Low</v>
      </c>
    </row>
    <row r="406" spans="1:123" hidden="1" x14ac:dyDescent="0.25">
      <c r="A406" s="20" t="s">
        <v>1166</v>
      </c>
      <c r="B406" s="20" t="s">
        <v>1167</v>
      </c>
      <c r="C406" s="20" t="s">
        <v>1168</v>
      </c>
      <c r="D406" s="21" t="str">
        <f>PartsMaster!B391&amp;" "&amp;PartsMaster!$C391</f>
        <v>Jaguar XK8 XKR X100 Seat  - Mechanism cover - Ivory</v>
      </c>
      <c r="E406" s="20">
        <v>3000</v>
      </c>
      <c r="F406" s="20" t="s">
        <v>1182</v>
      </c>
      <c r="H406" s="21">
        <f>PartsMaster!$Q391</f>
        <v>0</v>
      </c>
      <c r="I406" s="20">
        <v>9886</v>
      </c>
      <c r="K406" s="20">
        <v>0</v>
      </c>
      <c r="L406" s="20">
        <v>0</v>
      </c>
      <c r="M406" s="21">
        <f>PartsMaster!$D391</f>
        <v>0</v>
      </c>
      <c r="O406" s="20" t="s">
        <v>1169</v>
      </c>
      <c r="P406" s="23">
        <f>PartsMaster!$S391/1.45</f>
        <v>0</v>
      </c>
      <c r="S406" s="20">
        <v>30</v>
      </c>
      <c r="T406" s="20">
        <v>0</v>
      </c>
      <c r="U406" s="20" t="s">
        <v>1170</v>
      </c>
      <c r="Z406" s="26" t="str">
        <f>"&lt;P&gt;"&amp;PartsMaster!$I391&amp;" "&amp;PartsMaster!$H391&amp;"&lt;/P&gt;"&amp;"&lt;P&gt;Jaguar part name "&amp;PartsMaster!$E391&amp;"&lt;/P&gt;&lt;P&gt;Product numbers "&amp;PartsMaster!R391&amp;" "&amp;DQ406&amp;"&lt;/P&gt;&lt;P&gt;Fits starting from VIN/ModelYear "&amp;PartsMaster!$F391&amp;" until VIN/ModelYear "&amp;PartsMaster!$G391&amp;"&lt;/P&gt;&lt;P&gt;Condition: "&amp;PartsMaster!AB391&amp;"&lt;/P&gt;&lt;P&gt; (part source "&amp;PartsMaster!AD391&amp;")&lt;/P&gt;&lt;P&gt;Notes: "&amp;PartsMaster!AA391&amp;"&lt;/P&gt;"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406" s="20" t="s">
        <v>1171</v>
      </c>
      <c r="AC406" s="20">
        <v>0</v>
      </c>
      <c r="AD406" s="20">
        <v>0</v>
      </c>
      <c r="AE406" s="20" t="s">
        <v>1172</v>
      </c>
      <c r="AF406" s="20">
        <v>7</v>
      </c>
      <c r="AG406" s="20">
        <v>0</v>
      </c>
      <c r="AH406" s="20">
        <v>0</v>
      </c>
      <c r="AI406" s="20">
        <v>0</v>
      </c>
      <c r="AJ406" s="20">
        <v>0</v>
      </c>
      <c r="AK406" s="20">
        <v>0</v>
      </c>
      <c r="AO406" s="20" t="s">
        <v>1173</v>
      </c>
      <c r="AR406" s="20">
        <v>0</v>
      </c>
      <c r="AS406" s="20">
        <v>10112</v>
      </c>
      <c r="AV406" s="20" t="s">
        <v>1174</v>
      </c>
      <c r="AX406" s="20">
        <v>62128510024</v>
      </c>
      <c r="AY406" s="20">
        <v>62035811024</v>
      </c>
      <c r="AZ406" s="20">
        <v>55187694024</v>
      </c>
      <c r="BA406" s="20" t="s">
        <v>1175</v>
      </c>
      <c r="BB406" s="20" t="s">
        <v>1176</v>
      </c>
      <c r="BC406" s="20" t="s">
        <v>1177</v>
      </c>
      <c r="BD406" s="20">
        <v>1</v>
      </c>
      <c r="BE406" s="20">
        <v>0</v>
      </c>
      <c r="BF406" s="20">
        <v>0</v>
      </c>
      <c r="BG406" s="20">
        <v>0</v>
      </c>
      <c r="BN406" s="20" t="s">
        <v>1178</v>
      </c>
      <c r="BV406" s="20">
        <v>0</v>
      </c>
      <c r="CL406" s="20">
        <v>0</v>
      </c>
      <c r="DD406" s="20" t="s">
        <v>1179</v>
      </c>
      <c r="DE406" s="20" t="s">
        <v>1179</v>
      </c>
      <c r="DI406" s="20">
        <v>0</v>
      </c>
      <c r="DP406" s="21" t="s">
        <v>1180</v>
      </c>
      <c r="DQ406" s="21">
        <f>PartsMaster!$A391</f>
        <v>0</v>
      </c>
      <c r="DR406" s="21" t="s">
        <v>1181</v>
      </c>
      <c r="DS406" s="21" t="str">
        <f>PartsMaster!$K392&amp;" "&amp;PartsMaster!L392&amp;" "&amp;PartsMaster!$M392</f>
        <v>Front Right Low</v>
      </c>
    </row>
    <row r="407" spans="1:123" hidden="1" x14ac:dyDescent="0.25">
      <c r="A407" s="20" t="s">
        <v>1166</v>
      </c>
      <c r="B407" s="20" t="s">
        <v>1167</v>
      </c>
      <c r="C407" s="20" t="s">
        <v>1168</v>
      </c>
      <c r="D407" s="21" t="str">
        <f>PartsMaster!B392&amp;" "&amp;PartsMaster!$C392</f>
        <v>Jaguar XK8 XKR X100 Seat  - Mechanism cover - Ivory</v>
      </c>
      <c r="E407" s="20">
        <v>3000</v>
      </c>
      <c r="F407" s="20" t="s">
        <v>1182</v>
      </c>
      <c r="H407" s="21">
        <f>PartsMaster!$Q392</f>
        <v>0</v>
      </c>
      <c r="I407" s="20">
        <v>9886</v>
      </c>
      <c r="K407" s="20">
        <v>0</v>
      </c>
      <c r="L407" s="20">
        <v>0</v>
      </c>
      <c r="M407" s="21">
        <f>PartsMaster!$D392</f>
        <v>0</v>
      </c>
      <c r="O407" s="20" t="s">
        <v>1169</v>
      </c>
      <c r="P407" s="23">
        <f>PartsMaster!$S392/1.45</f>
        <v>0</v>
      </c>
      <c r="S407" s="20">
        <v>30</v>
      </c>
      <c r="T407" s="20">
        <v>0</v>
      </c>
      <c r="U407" s="20" t="s">
        <v>1170</v>
      </c>
      <c r="Z407" s="26" t="str">
        <f>"&lt;P&gt;"&amp;PartsMaster!$I392&amp;" "&amp;PartsMaster!$H392&amp;"&lt;/P&gt;"&amp;"&lt;P&gt;Jaguar part name "&amp;PartsMaster!$E392&amp;"&lt;/P&gt;&lt;P&gt;Product numbers "&amp;PartsMaster!R392&amp;" "&amp;DQ407&amp;"&lt;/P&gt;&lt;P&gt;Fits starting from VIN/ModelYear "&amp;PartsMaster!$F392&amp;" until VIN/ModelYear "&amp;PartsMaster!$G392&amp;"&lt;/P&gt;&lt;P&gt;Condition: "&amp;PartsMaster!AB392&amp;"&lt;/P&gt;&lt;P&gt; (part source "&amp;PartsMaster!AD392&amp;")&lt;/P&gt;&lt;P&gt;Notes: "&amp;PartsMaster!AA392&amp;"&lt;/P&gt;"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407" s="20" t="s">
        <v>1171</v>
      </c>
      <c r="AC407" s="20">
        <v>0</v>
      </c>
      <c r="AD407" s="20">
        <v>0</v>
      </c>
      <c r="AE407" s="20" t="s">
        <v>1172</v>
      </c>
      <c r="AF407" s="20">
        <v>7</v>
      </c>
      <c r="AG407" s="20">
        <v>0</v>
      </c>
      <c r="AH407" s="20">
        <v>0</v>
      </c>
      <c r="AI407" s="20">
        <v>0</v>
      </c>
      <c r="AJ407" s="20">
        <v>0</v>
      </c>
      <c r="AK407" s="20">
        <v>0</v>
      </c>
      <c r="AO407" s="20" t="s">
        <v>1173</v>
      </c>
      <c r="AR407" s="20">
        <v>0</v>
      </c>
      <c r="AS407" s="20">
        <v>10112</v>
      </c>
      <c r="AV407" s="20" t="s">
        <v>1174</v>
      </c>
      <c r="AX407" s="20">
        <v>62128510024</v>
      </c>
      <c r="AY407" s="20">
        <v>62035811024</v>
      </c>
      <c r="AZ407" s="20">
        <v>55187694024</v>
      </c>
      <c r="BA407" s="20" t="s">
        <v>1175</v>
      </c>
      <c r="BB407" s="20" t="s">
        <v>1176</v>
      </c>
      <c r="BC407" s="20" t="s">
        <v>1177</v>
      </c>
      <c r="BD407" s="20">
        <v>1</v>
      </c>
      <c r="BE407" s="20">
        <v>0</v>
      </c>
      <c r="BF407" s="20">
        <v>0</v>
      </c>
      <c r="BG407" s="20">
        <v>0</v>
      </c>
      <c r="BN407" s="20" t="s">
        <v>1178</v>
      </c>
      <c r="BV407" s="20">
        <v>0</v>
      </c>
      <c r="CL407" s="20">
        <v>0</v>
      </c>
      <c r="DD407" s="20" t="s">
        <v>1179</v>
      </c>
      <c r="DE407" s="20" t="s">
        <v>1179</v>
      </c>
      <c r="DI407" s="20">
        <v>0</v>
      </c>
      <c r="DP407" s="21" t="s">
        <v>1180</v>
      </c>
      <c r="DQ407" s="21">
        <f>PartsMaster!$A392</f>
        <v>0</v>
      </c>
      <c r="DR407" s="21" t="s">
        <v>1181</v>
      </c>
      <c r="DS407" s="21" t="str">
        <f>PartsMaster!$K393&amp;" "&amp;PartsMaster!L393&amp;" "&amp;PartsMaster!$M393</f>
        <v>Front Left Low</v>
      </c>
    </row>
    <row r="408" spans="1:123" hidden="1" x14ac:dyDescent="0.25">
      <c r="A408" s="20" t="s">
        <v>1166</v>
      </c>
      <c r="B408" s="20" t="s">
        <v>1167</v>
      </c>
      <c r="C408" s="20" t="s">
        <v>1168</v>
      </c>
      <c r="D408" s="21" t="str">
        <f>PartsMaster!B393&amp;" "&amp;PartsMaster!$C393</f>
        <v>Jaguar XK8 XKR X100 Seat  - Mechanism cover - Teal</v>
      </c>
      <c r="E408" s="20">
        <v>3000</v>
      </c>
      <c r="F408" s="20" t="s">
        <v>1182</v>
      </c>
      <c r="H408" s="21">
        <f>PartsMaster!$Q393</f>
        <v>0</v>
      </c>
      <c r="I408" s="20">
        <v>9886</v>
      </c>
      <c r="K408" s="20">
        <v>0</v>
      </c>
      <c r="L408" s="20">
        <v>0</v>
      </c>
      <c r="M408" s="21">
        <f>PartsMaster!$D393</f>
        <v>0</v>
      </c>
      <c r="O408" s="20" t="s">
        <v>1169</v>
      </c>
      <c r="P408" s="23">
        <f>PartsMaster!$S393/1.45</f>
        <v>0</v>
      </c>
      <c r="S408" s="20">
        <v>30</v>
      </c>
      <c r="T408" s="20">
        <v>0</v>
      </c>
      <c r="U408" s="20" t="s">
        <v>1170</v>
      </c>
      <c r="Z408" s="26" t="str">
        <f>"&lt;P&gt;"&amp;PartsMaster!$I393&amp;" "&amp;PartsMaster!$H393&amp;"&lt;/P&gt;"&amp;"&lt;P&gt;Jaguar part name "&amp;PartsMaster!$E393&amp;"&lt;/P&gt;&lt;P&gt;Product numbers "&amp;PartsMaster!R393&amp;" "&amp;DQ408&amp;"&lt;/P&gt;&lt;P&gt;Fits starting from VIN/ModelYear "&amp;PartsMaster!$F393&amp;" until VIN/ModelYear "&amp;PartsMaster!$G393&amp;"&lt;/P&gt;&lt;P&gt;Condition: "&amp;PartsMaster!AB393&amp;"&lt;/P&gt;&lt;P&gt; (part source "&amp;PartsMaster!AD393&amp;")&lt;/P&gt;&lt;P&gt;Notes: "&amp;PartsMaster!AA393&amp;"&lt;/P&gt;"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408" s="20" t="s">
        <v>1171</v>
      </c>
      <c r="AC408" s="20">
        <v>0</v>
      </c>
      <c r="AD408" s="20">
        <v>0</v>
      </c>
      <c r="AE408" s="20" t="s">
        <v>1172</v>
      </c>
      <c r="AF408" s="20">
        <v>7</v>
      </c>
      <c r="AG408" s="20">
        <v>0</v>
      </c>
      <c r="AH408" s="20">
        <v>0</v>
      </c>
      <c r="AI408" s="20">
        <v>0</v>
      </c>
      <c r="AJ408" s="20">
        <v>0</v>
      </c>
      <c r="AK408" s="20">
        <v>0</v>
      </c>
      <c r="AO408" s="20" t="s">
        <v>1173</v>
      </c>
      <c r="AR408" s="20">
        <v>0</v>
      </c>
      <c r="AS408" s="20">
        <v>10112</v>
      </c>
      <c r="AV408" s="20" t="s">
        <v>1174</v>
      </c>
      <c r="AX408" s="20">
        <v>62128510024</v>
      </c>
      <c r="AY408" s="20">
        <v>62035811024</v>
      </c>
      <c r="AZ408" s="20">
        <v>55187694024</v>
      </c>
      <c r="BA408" s="20" t="s">
        <v>1175</v>
      </c>
      <c r="BB408" s="20" t="s">
        <v>1176</v>
      </c>
      <c r="BC408" s="20" t="s">
        <v>1177</v>
      </c>
      <c r="BD408" s="20">
        <v>1</v>
      </c>
      <c r="BE408" s="20">
        <v>0</v>
      </c>
      <c r="BF408" s="20">
        <v>0</v>
      </c>
      <c r="BG408" s="20">
        <v>0</v>
      </c>
      <c r="BN408" s="20" t="s">
        <v>1178</v>
      </c>
      <c r="BV408" s="20">
        <v>0</v>
      </c>
      <c r="CL408" s="20">
        <v>0</v>
      </c>
      <c r="DD408" s="20" t="s">
        <v>1179</v>
      </c>
      <c r="DE408" s="20" t="s">
        <v>1179</v>
      </c>
      <c r="DI408" s="20">
        <v>0</v>
      </c>
      <c r="DP408" s="21" t="s">
        <v>1180</v>
      </c>
      <c r="DQ408" s="21">
        <f>PartsMaster!$A393</f>
        <v>0</v>
      </c>
      <c r="DR408" s="21" t="s">
        <v>1181</v>
      </c>
      <c r="DS408" s="21" t="str">
        <f>PartsMaster!$K394&amp;" "&amp;PartsMaster!L394&amp;" "&amp;PartsMaster!$M394</f>
        <v>Front Left Low</v>
      </c>
    </row>
    <row r="409" spans="1:123" hidden="1" x14ac:dyDescent="0.25">
      <c r="A409" s="20" t="s">
        <v>1166</v>
      </c>
      <c r="B409" s="20" t="s">
        <v>1167</v>
      </c>
      <c r="C409" s="20" t="s">
        <v>1168</v>
      </c>
      <c r="D409" s="21" t="str">
        <f>PartsMaster!B394&amp;" "&amp;PartsMaster!$C394</f>
        <v>Jaguar XK8 XKR X100 Seat  - Mechanism cover - Teal</v>
      </c>
      <c r="E409" s="20">
        <v>3000</v>
      </c>
      <c r="F409" s="20" t="s">
        <v>1182</v>
      </c>
      <c r="H409" s="21">
        <f>PartsMaster!$Q394</f>
        <v>0</v>
      </c>
      <c r="I409" s="20">
        <v>9886</v>
      </c>
      <c r="K409" s="20">
        <v>0</v>
      </c>
      <c r="L409" s="20">
        <v>0</v>
      </c>
      <c r="M409" s="21">
        <f>PartsMaster!$D394</f>
        <v>0</v>
      </c>
      <c r="O409" s="20" t="s">
        <v>1169</v>
      </c>
      <c r="P409" s="23">
        <f>PartsMaster!$S394/1.45</f>
        <v>0</v>
      </c>
      <c r="S409" s="20">
        <v>30</v>
      </c>
      <c r="T409" s="20">
        <v>0</v>
      </c>
      <c r="U409" s="20" t="s">
        <v>1170</v>
      </c>
      <c r="Z409" s="26" t="str">
        <f>"&lt;P&gt;"&amp;PartsMaster!$I394&amp;" "&amp;PartsMaster!$H394&amp;"&lt;/P&gt;"&amp;"&lt;P&gt;Jaguar part name "&amp;PartsMaster!$E394&amp;"&lt;/P&gt;&lt;P&gt;Product numbers "&amp;PartsMaster!R394&amp;" "&amp;DQ409&amp;"&lt;/P&gt;&lt;P&gt;Fits starting from VIN/ModelYear "&amp;PartsMaster!$F394&amp;" until VIN/ModelYear "&amp;PartsMaster!$G394&amp;"&lt;/P&gt;&lt;P&gt;Condition: "&amp;PartsMaster!AB394&amp;"&lt;/P&gt;&lt;P&gt; (part source "&amp;PartsMaster!AD394&amp;")&lt;/P&gt;&lt;P&gt;Notes: "&amp;PartsMaster!AA394&amp;"&lt;/P&gt;"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409" s="20" t="s">
        <v>1171</v>
      </c>
      <c r="AC409" s="20">
        <v>0</v>
      </c>
      <c r="AD409" s="20">
        <v>0</v>
      </c>
      <c r="AE409" s="20" t="s">
        <v>1172</v>
      </c>
      <c r="AF409" s="20">
        <v>7</v>
      </c>
      <c r="AG409" s="20">
        <v>0</v>
      </c>
      <c r="AH409" s="20">
        <v>0</v>
      </c>
      <c r="AI409" s="20">
        <v>0</v>
      </c>
      <c r="AJ409" s="20">
        <v>0</v>
      </c>
      <c r="AK409" s="20">
        <v>0</v>
      </c>
      <c r="AO409" s="20" t="s">
        <v>1173</v>
      </c>
      <c r="AR409" s="20">
        <v>0</v>
      </c>
      <c r="AS409" s="20">
        <v>10112</v>
      </c>
      <c r="AV409" s="20" t="s">
        <v>1174</v>
      </c>
      <c r="AX409" s="20">
        <v>62128510024</v>
      </c>
      <c r="AY409" s="20">
        <v>62035811024</v>
      </c>
      <c r="AZ409" s="20">
        <v>55187694024</v>
      </c>
      <c r="BA409" s="20" t="s">
        <v>1175</v>
      </c>
      <c r="BB409" s="20" t="s">
        <v>1176</v>
      </c>
      <c r="BC409" s="20" t="s">
        <v>1177</v>
      </c>
      <c r="BD409" s="20">
        <v>1</v>
      </c>
      <c r="BE409" s="20">
        <v>0</v>
      </c>
      <c r="BF409" s="20">
        <v>0</v>
      </c>
      <c r="BG409" s="20">
        <v>0</v>
      </c>
      <c r="BN409" s="20" t="s">
        <v>1178</v>
      </c>
      <c r="BV409" s="20">
        <v>0</v>
      </c>
      <c r="CL409" s="20">
        <v>0</v>
      </c>
      <c r="DD409" s="20" t="s">
        <v>1179</v>
      </c>
      <c r="DE409" s="20" t="s">
        <v>1179</v>
      </c>
      <c r="DI409" s="20">
        <v>0</v>
      </c>
      <c r="DP409" s="21" t="s">
        <v>1180</v>
      </c>
      <c r="DQ409" s="21">
        <f>PartsMaster!$A394</f>
        <v>0</v>
      </c>
      <c r="DR409" s="21" t="s">
        <v>1181</v>
      </c>
      <c r="DS409" s="21" t="str">
        <f>PartsMaster!$K395&amp;" "&amp;PartsMaster!L395&amp;" "&amp;PartsMaster!$M395</f>
        <v>Front Left Low</v>
      </c>
    </row>
    <row r="410" spans="1:123" hidden="1" x14ac:dyDescent="0.25">
      <c r="A410" s="20" t="s">
        <v>1166</v>
      </c>
      <c r="B410" s="20" t="s">
        <v>1167</v>
      </c>
      <c r="C410" s="20" t="s">
        <v>1168</v>
      </c>
      <c r="D410" s="21" t="str">
        <f>PartsMaster!B395&amp;" "&amp;PartsMaster!$C395</f>
        <v>Jaguar XK8 XKR X100 Seat  - Mechanism cover - Teal</v>
      </c>
      <c r="E410" s="20">
        <v>3000</v>
      </c>
      <c r="F410" s="20" t="s">
        <v>1182</v>
      </c>
      <c r="H410" s="21">
        <f>PartsMaster!$Q395</f>
        <v>0</v>
      </c>
      <c r="I410" s="20">
        <v>9886</v>
      </c>
      <c r="K410" s="20">
        <v>0</v>
      </c>
      <c r="L410" s="20">
        <v>0</v>
      </c>
      <c r="M410" s="21">
        <f>PartsMaster!$D395</f>
        <v>0</v>
      </c>
      <c r="O410" s="20" t="s">
        <v>1169</v>
      </c>
      <c r="P410" s="23">
        <f>PartsMaster!$S395/1.45</f>
        <v>0</v>
      </c>
      <c r="S410" s="20">
        <v>30</v>
      </c>
      <c r="T410" s="20">
        <v>0</v>
      </c>
      <c r="U410" s="20" t="s">
        <v>1170</v>
      </c>
      <c r="Z410" s="26" t="str">
        <f>"&lt;P&gt;"&amp;PartsMaster!$I395&amp;" "&amp;PartsMaster!$H395&amp;"&lt;/P&gt;"&amp;"&lt;P&gt;Jaguar part name "&amp;PartsMaster!$E395&amp;"&lt;/P&gt;&lt;P&gt;Product numbers "&amp;PartsMaster!R395&amp;" "&amp;DQ410&amp;"&lt;/P&gt;&lt;P&gt;Fits starting from VIN/ModelYear "&amp;PartsMaster!$F395&amp;" until VIN/ModelYear "&amp;PartsMaster!$G395&amp;"&lt;/P&gt;&lt;P&gt;Condition: "&amp;PartsMaster!AB395&amp;"&lt;/P&gt;&lt;P&gt; (part source "&amp;PartsMaster!AD395&amp;")&lt;/P&gt;&lt;P&gt;Notes: "&amp;PartsMaster!AA395&amp;"&lt;/P&gt;"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410" s="20" t="s">
        <v>1171</v>
      </c>
      <c r="AC410" s="20">
        <v>0</v>
      </c>
      <c r="AD410" s="20">
        <v>0</v>
      </c>
      <c r="AE410" s="20" t="s">
        <v>1172</v>
      </c>
      <c r="AF410" s="20">
        <v>7</v>
      </c>
      <c r="AG410" s="20">
        <v>0</v>
      </c>
      <c r="AH410" s="20">
        <v>0</v>
      </c>
      <c r="AI410" s="20">
        <v>0</v>
      </c>
      <c r="AJ410" s="20">
        <v>0</v>
      </c>
      <c r="AK410" s="20">
        <v>0</v>
      </c>
      <c r="AO410" s="20" t="s">
        <v>1173</v>
      </c>
      <c r="AR410" s="20">
        <v>0</v>
      </c>
      <c r="AS410" s="20">
        <v>10112</v>
      </c>
      <c r="AV410" s="20" t="s">
        <v>1174</v>
      </c>
      <c r="AX410" s="20">
        <v>62128510024</v>
      </c>
      <c r="AY410" s="20">
        <v>62035811024</v>
      </c>
      <c r="AZ410" s="20">
        <v>55187694024</v>
      </c>
      <c r="BA410" s="20" t="s">
        <v>1175</v>
      </c>
      <c r="BB410" s="20" t="s">
        <v>1176</v>
      </c>
      <c r="BC410" s="20" t="s">
        <v>1177</v>
      </c>
      <c r="BD410" s="20">
        <v>1</v>
      </c>
      <c r="BE410" s="20">
        <v>0</v>
      </c>
      <c r="BF410" s="20">
        <v>0</v>
      </c>
      <c r="BG410" s="20">
        <v>0</v>
      </c>
      <c r="BN410" s="20" t="s">
        <v>1178</v>
      </c>
      <c r="BV410" s="20">
        <v>0</v>
      </c>
      <c r="CL410" s="20">
        <v>0</v>
      </c>
      <c r="DD410" s="20" t="s">
        <v>1179</v>
      </c>
      <c r="DE410" s="20" t="s">
        <v>1179</v>
      </c>
      <c r="DI410" s="20">
        <v>0</v>
      </c>
      <c r="DP410" s="21" t="s">
        <v>1180</v>
      </c>
      <c r="DQ410" s="21">
        <f>PartsMaster!$A395</f>
        <v>0</v>
      </c>
      <c r="DR410" s="21" t="s">
        <v>1181</v>
      </c>
      <c r="DS410" s="21" t="str">
        <f>PartsMaster!$K396&amp;" "&amp;PartsMaster!L396&amp;" "&amp;PartsMaster!$M396</f>
        <v>Front Left Low</v>
      </c>
    </row>
    <row r="411" spans="1:123" ht="30" hidden="1" x14ac:dyDescent="0.25">
      <c r="A411" s="20" t="s">
        <v>1166</v>
      </c>
      <c r="B411" s="20" t="s">
        <v>1167</v>
      </c>
      <c r="C411" s="20" t="s">
        <v>1168</v>
      </c>
      <c r="D411" s="21" t="str">
        <f>PartsMaster!B44&amp;" "&amp;PartsMaster!$C44</f>
        <v>Jaguar XK8 XKR X100 XJ8 XJR X308 Timing Chain Secondary</v>
      </c>
      <c r="E411" s="20">
        <v>3000</v>
      </c>
      <c r="F411" s="20" t="s">
        <v>1182</v>
      </c>
      <c r="H411" s="21" t="str">
        <f>PartsMaster!$Q44</f>
        <v>Secondary Timing Chain</v>
      </c>
      <c r="I411" s="20">
        <v>9886</v>
      </c>
      <c r="K411" s="20">
        <v>0</v>
      </c>
      <c r="L411" s="20">
        <v>0</v>
      </c>
      <c r="M411" s="21">
        <f>PartsMaster!$D44</f>
        <v>0</v>
      </c>
      <c r="O411" s="20" t="s">
        <v>1169</v>
      </c>
      <c r="P411" s="23">
        <f>PartsMaster!$S44/1.45</f>
        <v>0</v>
      </c>
      <c r="S411" s="20">
        <v>30</v>
      </c>
      <c r="T411" s="20">
        <v>0</v>
      </c>
      <c r="U411" s="20" t="s">
        <v>1170</v>
      </c>
      <c r="Z411" s="26" t="str">
        <f>"&lt;P&gt;"&amp;PartsMaster!$I44&amp;" "&amp;PartsMaster!$H44&amp;"&lt;/P&gt;"&amp;"&lt;P&gt;Jaguar part name "&amp;PartsMaster!$E44&amp;"&lt;/P&gt;&lt;P&gt;Product numbers "&amp;PartsMaster!R44&amp;" "&amp;DQ411&amp;"&lt;/P&gt;&lt;P&gt;Fits starting from VIN/ModelYear "&amp;PartsMaster!$F44&amp;" until VIN/ModelYear "&amp;PartsMaster!$G44&amp;"&lt;/P&gt;&lt;P&gt;Condition: "&amp;PartsMaster!AB44&amp;"&lt;/P&gt;&lt;P&gt; (part source "&amp;PartsMaster!AD44&amp;")&lt;/P&gt;&lt;P&gt;Notes: "&amp;PartsMaster!AA44&amp;"&lt;/P&gt;"</f>
        <v>&lt;P&gt;Engine Timing Chain&lt;/P&gt;&lt;P&gt;Jaguar part name &lt;/P&gt;&lt;P&gt;Product numbers EAZ1286 EAZ1286&lt;/P&gt;&lt;P&gt;Fits starting from VIN/ModelYear X100, 1996 - X308, 1998 until VIN/ModelYear X100-X308 Engine #0108122359&lt;/P&gt;&lt;P&gt;Condition: British Parts&lt;/P&gt;&lt;P&gt; (part source )&lt;/P&gt;&lt;P&gt;Notes: &lt;/P&gt;</v>
      </c>
      <c r="AA411" s="20" t="s">
        <v>1171</v>
      </c>
      <c r="AC411" s="20">
        <v>0</v>
      </c>
      <c r="AD411" s="20">
        <v>0</v>
      </c>
      <c r="AE411" s="20" t="s">
        <v>1172</v>
      </c>
      <c r="AF411" s="20">
        <v>7</v>
      </c>
      <c r="AG411" s="20">
        <v>0</v>
      </c>
      <c r="AH411" s="20">
        <v>0</v>
      </c>
      <c r="AI411" s="20">
        <v>0</v>
      </c>
      <c r="AJ411" s="20">
        <v>0</v>
      </c>
      <c r="AK411" s="20">
        <v>0</v>
      </c>
      <c r="AO411" s="20" t="s">
        <v>1173</v>
      </c>
      <c r="AR411" s="20">
        <v>0</v>
      </c>
      <c r="AS411" s="20">
        <v>10112</v>
      </c>
      <c r="AV411" s="20" t="s">
        <v>1174</v>
      </c>
      <c r="AX411" s="20">
        <v>62128510024</v>
      </c>
      <c r="AY411" s="20">
        <v>62035811024</v>
      </c>
      <c r="AZ411" s="20">
        <v>55187694024</v>
      </c>
      <c r="BA411" s="20" t="s">
        <v>1175</v>
      </c>
      <c r="BB411" s="20" t="s">
        <v>1176</v>
      </c>
      <c r="BC411" s="20" t="s">
        <v>1177</v>
      </c>
      <c r="BD411" s="20">
        <v>1</v>
      </c>
      <c r="BE411" s="20">
        <v>0</v>
      </c>
      <c r="BF411" s="20">
        <v>0</v>
      </c>
      <c r="BG411" s="20">
        <v>0</v>
      </c>
      <c r="BN411" s="20" t="s">
        <v>1178</v>
      </c>
      <c r="BV411" s="20">
        <v>0</v>
      </c>
      <c r="CL411" s="20">
        <v>0</v>
      </c>
      <c r="DD411" s="20" t="s">
        <v>1179</v>
      </c>
      <c r="DE411" s="20" t="s">
        <v>1179</v>
      </c>
      <c r="DI411" s="20">
        <v>0</v>
      </c>
      <c r="DP411" s="21" t="s">
        <v>1180</v>
      </c>
      <c r="DQ411" s="21" t="str">
        <f>PartsMaster!$A44</f>
        <v>EAZ1286</v>
      </c>
      <c r="DR411" s="21" t="s">
        <v>1181</v>
      </c>
      <c r="DS411" s="21" t="str">
        <f>PartsMaster!$K45&amp;" "&amp;PartsMaster!L45&amp;" "&amp;PartsMaster!$M45</f>
        <v xml:space="preserve">  </v>
      </c>
    </row>
    <row r="412" spans="1:123" hidden="1" x14ac:dyDescent="0.25">
      <c r="A412" s="20" t="s">
        <v>1166</v>
      </c>
      <c r="B412" s="20" t="s">
        <v>1167</v>
      </c>
      <c r="C412" s="20" t="s">
        <v>1168</v>
      </c>
      <c r="D412" s="21" t="str">
        <f>PartsMaster!B399&amp;" "&amp;PartsMaster!$C399</f>
        <v>Jaguar XK8 XKR X100 Seat  - Mechanism cover - Teal</v>
      </c>
      <c r="E412" s="20">
        <v>3000</v>
      </c>
      <c r="F412" s="20" t="s">
        <v>1182</v>
      </c>
      <c r="H412" s="21">
        <f>PartsMaster!$Q399</f>
        <v>0</v>
      </c>
      <c r="I412" s="20">
        <v>9886</v>
      </c>
      <c r="K412" s="20">
        <v>0</v>
      </c>
      <c r="L412" s="20">
        <v>0</v>
      </c>
      <c r="M412" s="21">
        <f>PartsMaster!$D399</f>
        <v>0</v>
      </c>
      <c r="O412" s="20" t="s">
        <v>1169</v>
      </c>
      <c r="P412" s="23">
        <f>PartsMaster!$S399/1.45</f>
        <v>0</v>
      </c>
      <c r="S412" s="20">
        <v>30</v>
      </c>
      <c r="T412" s="20">
        <v>0</v>
      </c>
      <c r="U412" s="20" t="s">
        <v>1170</v>
      </c>
      <c r="Z412" s="26" t="str">
        <f>"&lt;P&gt;"&amp;PartsMaster!$I399&amp;" "&amp;PartsMaster!$H399&amp;"&lt;/P&gt;"&amp;"&lt;P&gt;Jaguar part name "&amp;PartsMaster!$E399&amp;"&lt;/P&gt;&lt;P&gt;Product numbers "&amp;PartsMaster!R399&amp;" "&amp;DQ412&amp;"&lt;/P&gt;&lt;P&gt;Fits starting from VIN/ModelYear "&amp;PartsMaster!$F399&amp;" until VIN/ModelYear "&amp;PartsMaster!$G399&amp;"&lt;/P&gt;&lt;P&gt;Condition: "&amp;PartsMaster!AB399&amp;"&lt;/P&gt;&lt;P&gt; (part source "&amp;PartsMaster!AD399&amp;")&lt;/P&gt;&lt;P&gt;Notes: "&amp;PartsMaster!AA399&amp;"&lt;/P&gt;"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412" s="20" t="s">
        <v>1171</v>
      </c>
      <c r="AC412" s="20">
        <v>0</v>
      </c>
      <c r="AD412" s="20">
        <v>0</v>
      </c>
      <c r="AE412" s="20" t="s">
        <v>1172</v>
      </c>
      <c r="AF412" s="20">
        <v>7</v>
      </c>
      <c r="AG412" s="20">
        <v>0</v>
      </c>
      <c r="AH412" s="20">
        <v>0</v>
      </c>
      <c r="AI412" s="20">
        <v>0</v>
      </c>
      <c r="AJ412" s="20">
        <v>0</v>
      </c>
      <c r="AK412" s="20">
        <v>0</v>
      </c>
      <c r="AO412" s="20" t="s">
        <v>1173</v>
      </c>
      <c r="AR412" s="20">
        <v>0</v>
      </c>
      <c r="AS412" s="20">
        <v>10112</v>
      </c>
      <c r="AV412" s="20" t="s">
        <v>1174</v>
      </c>
      <c r="AX412" s="20">
        <v>62128510024</v>
      </c>
      <c r="AY412" s="20">
        <v>62035811024</v>
      </c>
      <c r="AZ412" s="20">
        <v>55187694024</v>
      </c>
      <c r="BA412" s="20" t="s">
        <v>1175</v>
      </c>
      <c r="BB412" s="20" t="s">
        <v>1176</v>
      </c>
      <c r="BC412" s="20" t="s">
        <v>1177</v>
      </c>
      <c r="BD412" s="20">
        <v>1</v>
      </c>
      <c r="BE412" s="20">
        <v>0</v>
      </c>
      <c r="BF412" s="20">
        <v>0</v>
      </c>
      <c r="BG412" s="20">
        <v>0</v>
      </c>
      <c r="BN412" s="20" t="s">
        <v>1178</v>
      </c>
      <c r="BV412" s="20">
        <v>0</v>
      </c>
      <c r="CL412" s="20">
        <v>0</v>
      </c>
      <c r="DD412" s="20" t="s">
        <v>1179</v>
      </c>
      <c r="DE412" s="20" t="s">
        <v>1179</v>
      </c>
      <c r="DI412" s="20">
        <v>0</v>
      </c>
      <c r="DP412" s="21" t="s">
        <v>1180</v>
      </c>
      <c r="DQ412" s="21">
        <f>PartsMaster!$A399</f>
        <v>0</v>
      </c>
      <c r="DR412" s="21" t="s">
        <v>1181</v>
      </c>
      <c r="DS412" s="21" t="str">
        <f>PartsMaster!$K400&amp;" "&amp;PartsMaster!L400&amp;" "&amp;PartsMaster!$M400</f>
        <v>Front Right Low</v>
      </c>
    </row>
    <row r="413" spans="1:123" hidden="1" x14ac:dyDescent="0.25">
      <c r="A413" s="20" t="s">
        <v>1166</v>
      </c>
      <c r="B413" s="20" t="s">
        <v>1167</v>
      </c>
      <c r="C413" s="20" t="s">
        <v>1168</v>
      </c>
      <c r="D413" s="21" t="str">
        <f>PartsMaster!B401&amp;" "&amp;PartsMaster!$C401</f>
        <v>Jaguar XK8 XKR X100 Seat - Mechanism cover - Screw cover</v>
      </c>
      <c r="E413" s="20">
        <v>3000</v>
      </c>
      <c r="F413" s="20" t="s">
        <v>1182</v>
      </c>
      <c r="H413" s="21">
        <f>PartsMaster!$Q401</f>
        <v>0</v>
      </c>
      <c r="I413" s="20">
        <v>9886</v>
      </c>
      <c r="K413" s="20">
        <v>0</v>
      </c>
      <c r="L413" s="20">
        <v>0</v>
      </c>
      <c r="M413" s="21">
        <f>PartsMaster!$D401</f>
        <v>0</v>
      </c>
      <c r="O413" s="20" t="s">
        <v>1169</v>
      </c>
      <c r="P413" s="23">
        <f>PartsMaster!$S401/1.45</f>
        <v>0</v>
      </c>
      <c r="S413" s="20">
        <v>30</v>
      </c>
      <c r="T413" s="20">
        <v>0</v>
      </c>
      <c r="U413" s="20" t="s">
        <v>1170</v>
      </c>
      <c r="Z413" s="26" t="str">
        <f>"&lt;P&gt;"&amp;PartsMaster!$I401&amp;" "&amp;PartsMaster!$H401&amp;"&lt;/P&gt;"&amp;"&lt;P&gt;Jaguar part name "&amp;PartsMaster!$E401&amp;"&lt;/P&gt;&lt;P&gt;Product numbers "&amp;PartsMaster!R401&amp;" "&amp;DQ413&amp;"&lt;/P&gt;&lt;P&gt;Fits starting from VIN/ModelYear "&amp;PartsMaster!$F401&amp;" until VIN/ModelYear "&amp;PartsMaster!$G401&amp;"&lt;/P&gt;&lt;P&gt;Condition: "&amp;PartsMaster!AB401&amp;"&lt;/P&gt;&lt;P&gt; (part source "&amp;PartsMaster!AD401&amp;")&lt;/P&gt;&lt;P&gt;Notes: "&amp;PartsMaster!AA401&amp;"&lt;/P&gt;"</f>
        <v>&lt;P&gt;Cap / Cover Cap / Cover / Trim&lt;/P&gt;&lt;P&gt;Jaguar part name &lt;/P&gt;&lt;P&gt;Product numbers  0&lt;/P&gt;&lt;P&gt;Fits starting from VIN/ModelYear  until VIN/ModelYear &lt;/P&gt;&lt;P&gt;Condition: &lt;/P&gt;&lt;P&gt; (part source )&lt;/P&gt;&lt;P&gt;Notes: &lt;/P&gt;</v>
      </c>
      <c r="AA413" s="20" t="s">
        <v>1171</v>
      </c>
      <c r="AC413" s="20">
        <v>0</v>
      </c>
      <c r="AD413" s="20">
        <v>0</v>
      </c>
      <c r="AE413" s="20" t="s">
        <v>1172</v>
      </c>
      <c r="AF413" s="20">
        <v>7</v>
      </c>
      <c r="AG413" s="20">
        <v>0</v>
      </c>
      <c r="AH413" s="20">
        <v>0</v>
      </c>
      <c r="AI413" s="20">
        <v>0</v>
      </c>
      <c r="AJ413" s="20">
        <v>0</v>
      </c>
      <c r="AK413" s="20">
        <v>0</v>
      </c>
      <c r="AO413" s="20" t="s">
        <v>1173</v>
      </c>
      <c r="AR413" s="20">
        <v>0</v>
      </c>
      <c r="AS413" s="20">
        <v>10112</v>
      </c>
      <c r="AV413" s="20" t="s">
        <v>1174</v>
      </c>
      <c r="AX413" s="20">
        <v>62128510024</v>
      </c>
      <c r="AY413" s="20">
        <v>62035811024</v>
      </c>
      <c r="AZ413" s="20">
        <v>55187694024</v>
      </c>
      <c r="BA413" s="20" t="s">
        <v>1175</v>
      </c>
      <c r="BB413" s="20" t="s">
        <v>1176</v>
      </c>
      <c r="BC413" s="20" t="s">
        <v>1177</v>
      </c>
      <c r="BD413" s="20">
        <v>1</v>
      </c>
      <c r="BE413" s="20">
        <v>0</v>
      </c>
      <c r="BF413" s="20">
        <v>0</v>
      </c>
      <c r="BG413" s="20">
        <v>0</v>
      </c>
      <c r="BN413" s="20" t="s">
        <v>1178</v>
      </c>
      <c r="BV413" s="20">
        <v>0</v>
      </c>
      <c r="CL413" s="20">
        <v>0</v>
      </c>
      <c r="DD413" s="20" t="s">
        <v>1179</v>
      </c>
      <c r="DE413" s="20" t="s">
        <v>1179</v>
      </c>
      <c r="DI413" s="20">
        <v>0</v>
      </c>
      <c r="DP413" s="21" t="s">
        <v>1180</v>
      </c>
      <c r="DQ413" s="21">
        <f>PartsMaster!$A401</f>
        <v>0</v>
      </c>
      <c r="DR413" s="21" t="s">
        <v>1181</v>
      </c>
      <c r="DS413" s="21" t="str">
        <f>PartsMaster!$K402&amp;" "&amp;PartsMaster!L402&amp;" "&amp;PartsMaster!$M402</f>
        <v>Front Left Low</v>
      </c>
    </row>
    <row r="414" spans="1:123" x14ac:dyDescent="0.25">
      <c r="A414" s="20" t="s">
        <v>1166</v>
      </c>
      <c r="B414" s="20" t="s">
        <v>1167</v>
      </c>
      <c r="C414" s="20" t="s">
        <v>1168</v>
      </c>
      <c r="D414" s="21" t="str">
        <f>PartsMaster!B414&amp;" "&amp;PartsMaster!$C414</f>
        <v>Jaguar XK8 XKR X100 Suspension Kit</v>
      </c>
      <c r="E414" s="20">
        <v>3000</v>
      </c>
      <c r="F414" s="20" t="s">
        <v>1182</v>
      </c>
      <c r="H414" s="21" t="str">
        <f>PartsMaster!$Q414</f>
        <v>XK8 SUSPENSION KIT</v>
      </c>
      <c r="I414" s="20">
        <v>9886</v>
      </c>
      <c r="K414" s="20">
        <v>0</v>
      </c>
      <c r="L414" s="20">
        <v>0</v>
      </c>
      <c r="M414" s="21">
        <f>PartsMaster!$D414</f>
        <v>0</v>
      </c>
      <c r="O414" s="20" t="s">
        <v>1169</v>
      </c>
      <c r="P414" s="23">
        <f>PartsMaster!$S414/1.45</f>
        <v>0</v>
      </c>
      <c r="S414" s="20">
        <v>30</v>
      </c>
      <c r="T414" s="20">
        <v>0</v>
      </c>
      <c r="U414" s="20" t="s">
        <v>1170</v>
      </c>
      <c r="Z414" s="26" t="str">
        <f>"&lt;P&gt;"&amp;PartsMaster!$I414&amp;" "&amp;PartsMaster!$H414&amp;"&lt;/P&gt;"&amp;"&lt;P&gt;Jaguar part name "&amp;PartsMaster!$E414&amp;"&lt;/P&gt;&lt;P&gt;Product numbers "&amp;PartsMaster!R414&amp;" "&amp;DQ414&amp;"&lt;/P&gt;&lt;P&gt;Fits starting from VIN/ModelYear "&amp;PartsMaster!$F414&amp;" until VIN/ModelYear "&amp;PartsMaster!$G414&amp;"&lt;/P&gt;&lt;P&gt;Condition: "&amp;PartsMaster!AB414&amp;"&lt;/P&gt;&lt;P&gt; (part source "&amp;PartsMaster!AD414&amp;")&lt;/P&gt;&lt;P&gt;Notes: "&amp;PartsMaster!AA414&amp;"&lt;/P&gt;"</f>
        <v>&lt;P&gt;Suspension Kit&lt;/P&gt;&lt;P&gt;Jaguar part name &lt;/P&gt;&lt;P&gt;Product numbers XK8KIT1 0&lt;/P&gt;&lt;P&gt;Fits starting from VIN/ModelYear  until VIN/ModelYear &lt;/P&gt;&lt;P&gt;Condition: British Parts&lt;/P&gt;&lt;P&gt; (part source )&lt;/P&gt;&lt;P&gt;Notes: &lt;/P&gt;</v>
      </c>
      <c r="AA414" s="20" t="s">
        <v>1171</v>
      </c>
      <c r="AC414" s="20">
        <v>0</v>
      </c>
      <c r="AD414" s="20">
        <v>0</v>
      </c>
      <c r="AE414" s="20" t="s">
        <v>1172</v>
      </c>
      <c r="AF414" s="20">
        <v>7</v>
      </c>
      <c r="AG414" s="20">
        <v>0</v>
      </c>
      <c r="AH414" s="20">
        <v>0</v>
      </c>
      <c r="AI414" s="20">
        <v>0</v>
      </c>
      <c r="AJ414" s="20">
        <v>0</v>
      </c>
      <c r="AK414" s="20">
        <v>0</v>
      </c>
      <c r="AO414" s="20" t="s">
        <v>1173</v>
      </c>
      <c r="AR414" s="20">
        <v>0</v>
      </c>
      <c r="AS414" s="20">
        <v>10112</v>
      </c>
      <c r="AV414" s="20" t="s">
        <v>1174</v>
      </c>
      <c r="AX414" s="20">
        <v>62128510024</v>
      </c>
      <c r="AY414" s="20">
        <v>62035811024</v>
      </c>
      <c r="AZ414" s="20">
        <v>55187694024</v>
      </c>
      <c r="BA414" s="20" t="s">
        <v>1175</v>
      </c>
      <c r="BB414" s="20" t="s">
        <v>1176</v>
      </c>
      <c r="BC414" s="20" t="s">
        <v>1177</v>
      </c>
      <c r="BD414" s="20">
        <v>1</v>
      </c>
      <c r="BE414" s="20">
        <v>0</v>
      </c>
      <c r="BF414" s="20">
        <v>0</v>
      </c>
      <c r="BG414" s="20">
        <v>0</v>
      </c>
      <c r="BN414" s="20" t="s">
        <v>1178</v>
      </c>
      <c r="BV414" s="20">
        <v>0</v>
      </c>
      <c r="CL414" s="20">
        <v>0</v>
      </c>
      <c r="DD414" s="20" t="s">
        <v>1179</v>
      </c>
      <c r="DE414" s="20" t="s">
        <v>1179</v>
      </c>
      <c r="DI414" s="20">
        <v>0</v>
      </c>
      <c r="DP414" s="21" t="s">
        <v>1180</v>
      </c>
      <c r="DQ414" s="21">
        <f>PartsMaster!$A414</f>
        <v>0</v>
      </c>
      <c r="DR414" s="21" t="s">
        <v>1181</v>
      </c>
      <c r="DS414" s="21" t="str">
        <f>PartsMaster!$O439&amp;" "&amp;PartsMaster!E439&amp;" "&amp;PartsMaster!$Q439</f>
        <v xml:space="preserve"> Jaguar Trunk lid badge </v>
      </c>
    </row>
  </sheetData>
  <autoFilter ref="A1:DU414" xr:uid="{00000000-0009-0000-0000-000001000000}">
    <filterColumn colId="12">
      <filters>
        <filter val="1"/>
        <filter val="10"/>
        <filter val="2"/>
        <filter val="3"/>
        <filter val="4"/>
        <filter val="5"/>
        <filter val="6"/>
      </filters>
    </filterColumn>
    <sortState xmlns:xlrd2="http://schemas.microsoft.com/office/spreadsheetml/2017/richdata2" ref="A2:DU414">
      <sortCondition ref="D1:D407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D6A1-DF2A-459F-B202-570815F4CBF4}">
  <dimension ref="A1:AS2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W1" sqref="CW1"/>
    </sheetView>
  </sheetViews>
  <sheetFormatPr defaultRowHeight="15" x14ac:dyDescent="0.25"/>
  <cols>
    <col min="1" max="1" width="70.5703125" bestFit="1" customWidth="1"/>
    <col min="2" max="2" width="13.85546875" bestFit="1" customWidth="1"/>
    <col min="3" max="3" width="10.7109375" bestFit="1" customWidth="1"/>
    <col min="4" max="4" width="15" bestFit="1" customWidth="1"/>
    <col min="5" max="5" width="27.28515625" bestFit="1" customWidth="1"/>
    <col min="6" max="6" width="8.5703125" bestFit="1" customWidth="1"/>
    <col min="7" max="7" width="13" bestFit="1" customWidth="1"/>
    <col min="8" max="8" width="19.5703125" bestFit="1" customWidth="1"/>
    <col min="9" max="9" width="13" bestFit="1" customWidth="1"/>
    <col min="10" max="10" width="10" bestFit="1" customWidth="1"/>
    <col min="11" max="11" width="29.5703125" bestFit="1" customWidth="1"/>
    <col min="12" max="12" width="18.28515625" bestFit="1" customWidth="1"/>
    <col min="13" max="13" width="17.85546875" bestFit="1" customWidth="1"/>
    <col min="14" max="14" width="21.5703125" bestFit="1" customWidth="1"/>
    <col min="15" max="15" width="15.7109375" bestFit="1" customWidth="1"/>
    <col min="16" max="16" width="26.42578125" bestFit="1" customWidth="1"/>
    <col min="17" max="17" width="30.140625" bestFit="1" customWidth="1"/>
    <col min="18" max="18" width="27.42578125" bestFit="1" customWidth="1"/>
    <col min="19" max="19" width="21" bestFit="1" customWidth="1"/>
    <col min="20" max="20" width="24.42578125" bestFit="1" customWidth="1"/>
    <col min="21" max="21" width="15.42578125" bestFit="1" customWidth="1"/>
    <col min="22" max="22" width="12.140625" bestFit="1" customWidth="1"/>
    <col min="23" max="23" width="33.5703125" bestFit="1" customWidth="1"/>
    <col min="24" max="24" width="9.28515625" bestFit="1" customWidth="1"/>
    <col min="25" max="25" width="10.7109375" bestFit="1" customWidth="1"/>
    <col min="26" max="26" width="36.7109375" bestFit="1" customWidth="1"/>
    <col min="27" max="27" width="18.5703125" bestFit="1" customWidth="1"/>
    <col min="29" max="29" width="8.5703125" bestFit="1" customWidth="1"/>
    <col min="30" max="30" width="12.5703125" bestFit="1" customWidth="1"/>
    <col min="31" max="31" width="255.7109375" bestFit="1" customWidth="1"/>
    <col min="32" max="32" width="11.42578125" bestFit="1" customWidth="1"/>
    <col min="33" max="33" width="10.140625" bestFit="1" customWidth="1"/>
    <col min="34" max="34" width="11.5703125" bestFit="1" customWidth="1"/>
    <col min="35" max="35" width="15" bestFit="1" customWidth="1"/>
    <col min="36" max="36" width="10.140625" bestFit="1" customWidth="1"/>
    <col min="37" max="37" width="14.42578125" bestFit="1" customWidth="1"/>
    <col min="38" max="38" width="19.140625" bestFit="1" customWidth="1"/>
    <col min="39" max="39" width="30" bestFit="1" customWidth="1"/>
    <col min="40" max="40" width="26.42578125" bestFit="1" customWidth="1"/>
    <col min="41" max="41" width="20.140625" bestFit="1" customWidth="1"/>
    <col min="42" max="42" width="17.28515625" bestFit="1" customWidth="1"/>
    <col min="43" max="43" width="40.28515625" bestFit="1" customWidth="1"/>
    <col min="44" max="44" width="19.28515625" bestFit="1" customWidth="1"/>
    <col min="45" max="45" width="21.5703125" bestFit="1" customWidth="1"/>
  </cols>
  <sheetData>
    <row r="1" spans="1:45" x14ac:dyDescent="0.25">
      <c r="A1" t="s">
        <v>1456</v>
      </c>
      <c r="B1" t="s">
        <v>1151</v>
      </c>
      <c r="C1" t="s">
        <v>1416</v>
      </c>
      <c r="D1" t="s">
        <v>1051</v>
      </c>
      <c r="E1" t="s">
        <v>1417</v>
      </c>
      <c r="F1" t="s">
        <v>1418</v>
      </c>
      <c r="G1" t="s">
        <v>1164</v>
      </c>
      <c r="H1" t="s">
        <v>1165</v>
      </c>
      <c r="I1" t="s">
        <v>1419</v>
      </c>
      <c r="J1" t="s">
        <v>1420</v>
      </c>
      <c r="K1" t="s">
        <v>1421</v>
      </c>
      <c r="L1" t="s">
        <v>1162</v>
      </c>
      <c r="M1" t="s">
        <v>1422</v>
      </c>
      <c r="N1" t="s">
        <v>1423</v>
      </c>
      <c r="O1" t="s">
        <v>1424</v>
      </c>
      <c r="P1" t="s">
        <v>1425</v>
      </c>
      <c r="Q1" t="s">
        <v>1426</v>
      </c>
      <c r="R1" t="s">
        <v>1427</v>
      </c>
      <c r="S1" t="s">
        <v>1428</v>
      </c>
      <c r="T1" t="s">
        <v>1163</v>
      </c>
      <c r="U1" t="s">
        <v>1429</v>
      </c>
      <c r="V1" t="s">
        <v>1430</v>
      </c>
      <c r="W1" t="s">
        <v>1431</v>
      </c>
      <c r="X1" t="s">
        <v>1432</v>
      </c>
      <c r="Y1" t="s">
        <v>1433</v>
      </c>
      <c r="Z1" t="s">
        <v>1434</v>
      </c>
      <c r="AA1" t="s">
        <v>1435</v>
      </c>
      <c r="AC1" t="s">
        <v>1068</v>
      </c>
      <c r="AD1" t="s">
        <v>1071</v>
      </c>
      <c r="AE1" t="s">
        <v>1436</v>
      </c>
      <c r="AF1" t="s">
        <v>1437</v>
      </c>
      <c r="AG1" t="s">
        <v>1438</v>
      </c>
      <c r="AH1" t="s">
        <v>1439</v>
      </c>
      <c r="AI1" t="s">
        <v>1057</v>
      </c>
      <c r="AJ1" t="s">
        <v>1440</v>
      </c>
      <c r="AK1" t="s">
        <v>1441</v>
      </c>
      <c r="AL1" t="s">
        <v>1442</v>
      </c>
      <c r="AM1" t="s">
        <v>1443</v>
      </c>
      <c r="AN1" t="s">
        <v>1148</v>
      </c>
      <c r="AO1" t="s">
        <v>1444</v>
      </c>
      <c r="AP1" t="s">
        <v>1445</v>
      </c>
      <c r="AQ1" t="s">
        <v>1446</v>
      </c>
      <c r="AR1" t="s">
        <v>1447</v>
      </c>
      <c r="AS1" t="s">
        <v>1448</v>
      </c>
    </row>
    <row r="2" spans="1:45" x14ac:dyDescent="0.25">
      <c r="A2" t="s">
        <v>1166</v>
      </c>
      <c r="C2">
        <v>174058</v>
      </c>
      <c r="E2" t="str">
        <f>PartsMaster!C27</f>
        <v>Engine Drive Belt Idler Pulley (kia?)</v>
      </c>
      <c r="I2">
        <v>3000</v>
      </c>
      <c r="J2" t="s">
        <v>1180</v>
      </c>
      <c r="K2" t="str">
        <f>PartsMaster!R27</f>
        <v>C2C22758</v>
      </c>
      <c r="L2" t="s">
        <v>1181</v>
      </c>
      <c r="T2" t="str">
        <f>PartsMaster!I27&amp;" "&amp;PartsMaster!J27&amp;" "&amp;PartsMaster!K27&amp;" "&amp;PartsMaster!L27</f>
        <v xml:space="preserve">Engine   </v>
      </c>
      <c r="U2">
        <f>Parts[[#This Row],[Stock]]</f>
        <v>0</v>
      </c>
      <c r="W2" t="s">
        <v>1449</v>
      </c>
      <c r="AE2" t="str">
        <f>"&lt;P&gt;"&amp;PartsMaster!$I27&amp;" "&amp;PartsMaster!$H27&amp;"&lt;/P&gt;"&amp;"&lt;P&gt;Jaguar part name "&amp;PartsMaster!$E27&amp;"&lt;/P&gt;&lt;P&gt;Product numbers "&amp;PartsMaster!R27&amp;" "&amp;DD27&amp;"&lt;/P&gt;&lt;P&gt;Fits starting from VIN/ModelYear "&amp;PartsMaster!$F27&amp;" until VIN/ModelYear "&amp;PartsMaster!$G27&amp;"&lt;/P&gt;&lt;P&gt;Condition: "&amp;PartsMaster!AB27&amp;"&lt;/P&gt;&lt;P&gt;Notes: "&amp;PartsMaster!AA27&amp;"&lt;/P&gt;"</f>
        <v>&lt;P&gt;Engine &lt;/P&gt;&lt;P&gt;Jaguar part name &lt;/P&gt;&lt;P&gt;Product numbers C2C22758 &lt;/P&gt;&lt;P&gt;Fits starting from VIN/ModelYear XK8 4.0 V8 1996
X308 XJ8 &amp; XJR V8 1997
S Type V8 2002 M45255  until VIN/ModelYear XK8 2006 
X308 XJ8 &amp; XJR V8 2002
S Type V8 2009 &lt;/P&gt;&lt;P&gt;Condition: &lt;/P&gt;&lt;P&gt;Notes: &lt;/P&gt;</v>
      </c>
      <c r="AF2" t="s">
        <v>1450</v>
      </c>
      <c r="AG2" t="s">
        <v>1451</v>
      </c>
      <c r="AH2">
        <v>350</v>
      </c>
      <c r="AJ2">
        <v>1</v>
      </c>
      <c r="AK2" t="s">
        <v>1457</v>
      </c>
      <c r="AL2">
        <v>10</v>
      </c>
      <c r="AQ2" t="s">
        <v>1459</v>
      </c>
      <c r="AR2" t="s">
        <v>1177</v>
      </c>
      <c r="AS2" t="s">
        <v>1458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36C0D70489A0449277FD6D782ECE13" ma:contentTypeVersion="0" ma:contentTypeDescription="Create a new document." ma:contentTypeScope="" ma:versionID="355d2af241e1aa23717f62d191d1742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94ead531947bea60595865fb7dcae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A84832-BEFB-4616-8C6A-221262545D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144622-9CC2-4056-B254-90E1A2033A72}">
  <ds:schemaRefs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EF84C3E-EB6F-4941-9A3F-09CA43121E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PartsMaster</vt:lpstr>
      <vt:lpstr>eBay-TurboLister-2016071</vt:lpstr>
      <vt:lpstr>parts-eBay-UK-FileExchange</vt:lpstr>
      <vt:lpstr>PartsMaster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2026-07-16T11:41:36Z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0x0101000536C0D70489A0449277FD6D782ECE13</vt:lpwstr>
  </property>
</Properties>
</file>