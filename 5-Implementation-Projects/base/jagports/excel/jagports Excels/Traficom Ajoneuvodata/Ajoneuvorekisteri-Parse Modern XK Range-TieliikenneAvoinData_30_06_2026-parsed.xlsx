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fi-my.sharepoint.com/personal/tomi_lind_fi/Documents/_jagports/3.Info X100 XK8 - XKR - XKR 100/_Registration Numbers on Countries/Finland/"/>
    </mc:Choice>
  </mc:AlternateContent>
  <xr:revisionPtr revIDLastSave="17" documentId="8_{FB1BF1ED-8E72-4392-82E2-B5E0F85E8964}" xr6:coauthVersionLast="47" xr6:coauthVersionMax="47" xr10:uidLastSave="{42B8E078-0C92-4E1F-A837-E947D1C60073}"/>
  <bookViews>
    <workbookView xWindow="-120" yWindow="-120" windowWidth="29040" windowHeight="15840" xr2:uid="{73B18DAC-9818-4614-B0EA-1D7365FEC477}"/>
  </bookViews>
  <sheets>
    <sheet name="Trafi parsed" sheetId="9" r:id="rId1"/>
    <sheet name="Pivot" sheetId="7" r:id="rId2"/>
    <sheet name="Helper Cols" sheetId="8" r:id="rId3"/>
    <sheet name="Ajoneuvorekisteri-Parse Modern " sheetId="2" r:id="rId4"/>
  </sheets>
  <definedNames>
    <definedName name="ExternalData_1" localSheetId="3" hidden="1">'Ajoneuvorekisteri-Parse Modern '!$A$1:$AO$257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30" i="9" l="1"/>
  <c r="K286" i="9"/>
  <c r="J286" i="9"/>
  <c r="K285" i="9"/>
  <c r="J285" i="9"/>
  <c r="K284" i="9"/>
  <c r="J284" i="9"/>
  <c r="K283" i="9"/>
  <c r="J283" i="9"/>
  <c r="K282" i="9"/>
  <c r="J282" i="9"/>
  <c r="K281" i="9"/>
  <c r="J281" i="9"/>
  <c r="K280" i="9"/>
  <c r="J280" i="9"/>
  <c r="K279" i="9"/>
  <c r="J279" i="9"/>
  <c r="K278" i="9"/>
  <c r="J278" i="9"/>
  <c r="K277" i="9"/>
  <c r="J277" i="9"/>
  <c r="K276" i="9"/>
  <c r="J276" i="9"/>
  <c r="K275" i="9"/>
  <c r="J275" i="9"/>
  <c r="K274" i="9"/>
  <c r="J274" i="9"/>
  <c r="K273" i="9"/>
  <c r="J273" i="9"/>
  <c r="K272" i="9"/>
  <c r="J272" i="9"/>
  <c r="K271" i="9"/>
  <c r="J271" i="9"/>
  <c r="K270" i="9"/>
  <c r="J270" i="9"/>
  <c r="K269" i="9"/>
  <c r="J269" i="9"/>
  <c r="K268" i="9"/>
  <c r="J268" i="9"/>
  <c r="K267" i="9"/>
  <c r="J267" i="9"/>
  <c r="K266" i="9"/>
  <c r="J266" i="9"/>
  <c r="K265" i="9"/>
  <c r="J265" i="9"/>
  <c r="K264" i="9"/>
  <c r="J264" i="9"/>
  <c r="I257" i="9"/>
  <c r="H257" i="9"/>
  <c r="G257" i="9"/>
  <c r="E257" i="9"/>
  <c r="F257" i="9" s="1"/>
  <c r="B257" i="9"/>
  <c r="A257" i="9"/>
  <c r="I256" i="9"/>
  <c r="H256" i="9"/>
  <c r="G256" i="9"/>
  <c r="E256" i="9"/>
  <c r="F256" i="9" s="1"/>
  <c r="B256" i="9"/>
  <c r="A256" i="9"/>
  <c r="I255" i="9"/>
  <c r="H255" i="9"/>
  <c r="G255" i="9"/>
  <c r="E255" i="9"/>
  <c r="F255" i="9" s="1"/>
  <c r="B255" i="9"/>
  <c r="A255" i="9"/>
  <c r="I254" i="9"/>
  <c r="H254" i="9"/>
  <c r="G254" i="9"/>
  <c r="E254" i="9"/>
  <c r="F254" i="9" s="1"/>
  <c r="B254" i="9"/>
  <c r="A254" i="9"/>
  <c r="I253" i="9"/>
  <c r="H253" i="9"/>
  <c r="G253" i="9"/>
  <c r="E253" i="9"/>
  <c r="F253" i="9" s="1"/>
  <c r="B253" i="9"/>
  <c r="A253" i="9"/>
  <c r="I252" i="9"/>
  <c r="H252" i="9"/>
  <c r="G252" i="9"/>
  <c r="E252" i="9"/>
  <c r="F252" i="9" s="1"/>
  <c r="B252" i="9"/>
  <c r="A252" i="9"/>
  <c r="I251" i="9"/>
  <c r="H251" i="9"/>
  <c r="G251" i="9"/>
  <c r="E251" i="9"/>
  <c r="F251" i="9" s="1"/>
  <c r="B251" i="9"/>
  <c r="A251" i="9"/>
  <c r="I250" i="9"/>
  <c r="H250" i="9"/>
  <c r="G250" i="9"/>
  <c r="E250" i="9"/>
  <c r="F250" i="9" s="1"/>
  <c r="B250" i="9"/>
  <c r="A250" i="9"/>
  <c r="I249" i="9"/>
  <c r="H249" i="9"/>
  <c r="G249" i="9"/>
  <c r="E249" i="9"/>
  <c r="F249" i="9" s="1"/>
  <c r="B249" i="9"/>
  <c r="A249" i="9"/>
  <c r="I248" i="9"/>
  <c r="H248" i="9"/>
  <c r="G248" i="9"/>
  <c r="E248" i="9"/>
  <c r="F248" i="9" s="1"/>
  <c r="B248" i="9"/>
  <c r="A248" i="9"/>
  <c r="I247" i="9"/>
  <c r="H247" i="9"/>
  <c r="G247" i="9"/>
  <c r="E247" i="9"/>
  <c r="F247" i="9" s="1"/>
  <c r="B247" i="9"/>
  <c r="A247" i="9"/>
  <c r="I246" i="9"/>
  <c r="H246" i="9"/>
  <c r="G246" i="9"/>
  <c r="E246" i="9"/>
  <c r="F246" i="9" s="1"/>
  <c r="B246" i="9"/>
  <c r="A246" i="9"/>
  <c r="I245" i="9"/>
  <c r="H245" i="9"/>
  <c r="G245" i="9"/>
  <c r="E245" i="9"/>
  <c r="F245" i="9" s="1"/>
  <c r="B245" i="9"/>
  <c r="A245" i="9"/>
  <c r="I244" i="9"/>
  <c r="H244" i="9"/>
  <c r="G244" i="9"/>
  <c r="E244" i="9"/>
  <c r="F244" i="9" s="1"/>
  <c r="B244" i="9"/>
  <c r="A244" i="9"/>
  <c r="I243" i="9"/>
  <c r="H243" i="9"/>
  <c r="G243" i="9"/>
  <c r="E243" i="9"/>
  <c r="F243" i="9" s="1"/>
  <c r="B243" i="9"/>
  <c r="A243" i="9"/>
  <c r="I242" i="9"/>
  <c r="H242" i="9"/>
  <c r="G242" i="9"/>
  <c r="F242" i="9"/>
  <c r="E242" i="9"/>
  <c r="B242" i="9"/>
  <c r="A242" i="9"/>
  <c r="I241" i="9"/>
  <c r="H241" i="9"/>
  <c r="G241" i="9"/>
  <c r="E241" i="9"/>
  <c r="F241" i="9" s="1"/>
  <c r="B241" i="9"/>
  <c r="A241" i="9"/>
  <c r="I240" i="9"/>
  <c r="H240" i="9"/>
  <c r="G240" i="9"/>
  <c r="E240" i="9"/>
  <c r="F240" i="9" s="1"/>
  <c r="B240" i="9"/>
  <c r="A240" i="9"/>
  <c r="I239" i="9"/>
  <c r="H239" i="9"/>
  <c r="G239" i="9"/>
  <c r="E239" i="9"/>
  <c r="F239" i="9" s="1"/>
  <c r="B239" i="9"/>
  <c r="A239" i="9"/>
  <c r="I238" i="9"/>
  <c r="H238" i="9"/>
  <c r="G238" i="9"/>
  <c r="E238" i="9"/>
  <c r="F238" i="9" s="1"/>
  <c r="B238" i="9"/>
  <c r="A238" i="9"/>
  <c r="I237" i="9"/>
  <c r="H237" i="9"/>
  <c r="G237" i="9"/>
  <c r="E237" i="9"/>
  <c r="F237" i="9" s="1"/>
  <c r="B237" i="9"/>
  <c r="A237" i="9"/>
  <c r="I236" i="9"/>
  <c r="H236" i="9"/>
  <c r="G236" i="9"/>
  <c r="E236" i="9"/>
  <c r="F236" i="9" s="1"/>
  <c r="B236" i="9"/>
  <c r="A236" i="9"/>
  <c r="I235" i="9"/>
  <c r="H235" i="9"/>
  <c r="G235" i="9"/>
  <c r="E235" i="9"/>
  <c r="F235" i="9" s="1"/>
  <c r="B235" i="9"/>
  <c r="A235" i="9"/>
  <c r="I234" i="9"/>
  <c r="H234" i="9"/>
  <c r="G234" i="9"/>
  <c r="E234" i="9"/>
  <c r="F234" i="9" s="1"/>
  <c r="B234" i="9"/>
  <c r="A234" i="9"/>
  <c r="I233" i="9"/>
  <c r="H233" i="9"/>
  <c r="G233" i="9"/>
  <c r="E233" i="9"/>
  <c r="F233" i="9" s="1"/>
  <c r="B233" i="9"/>
  <c r="A233" i="9"/>
  <c r="I232" i="9"/>
  <c r="H232" i="9"/>
  <c r="G232" i="9"/>
  <c r="E232" i="9"/>
  <c r="F232" i="9" s="1"/>
  <c r="B232" i="9"/>
  <c r="A232" i="9"/>
  <c r="I231" i="9"/>
  <c r="H231" i="9"/>
  <c r="G231" i="9"/>
  <c r="E231" i="9"/>
  <c r="F231" i="9" s="1"/>
  <c r="B231" i="9"/>
  <c r="A231" i="9"/>
  <c r="I230" i="9"/>
  <c r="H230" i="9"/>
  <c r="G230" i="9"/>
  <c r="F230" i="9"/>
  <c r="E230" i="9"/>
  <c r="B230" i="9"/>
  <c r="A230" i="9"/>
  <c r="I229" i="9"/>
  <c r="H229" i="9"/>
  <c r="G229" i="9"/>
  <c r="E229" i="9"/>
  <c r="F229" i="9" s="1"/>
  <c r="B229" i="9"/>
  <c r="A229" i="9"/>
  <c r="I228" i="9"/>
  <c r="H228" i="9"/>
  <c r="G228" i="9"/>
  <c r="E228" i="9"/>
  <c r="F228" i="9" s="1"/>
  <c r="B228" i="9"/>
  <c r="A228" i="9"/>
  <c r="I227" i="9"/>
  <c r="H227" i="9"/>
  <c r="G227" i="9"/>
  <c r="E227" i="9"/>
  <c r="F227" i="9" s="1"/>
  <c r="B227" i="9"/>
  <c r="A227" i="9"/>
  <c r="I226" i="9"/>
  <c r="H226" i="9"/>
  <c r="G226" i="9"/>
  <c r="E226" i="9"/>
  <c r="F226" i="9" s="1"/>
  <c r="B226" i="9"/>
  <c r="A226" i="9"/>
  <c r="I225" i="9"/>
  <c r="H225" i="9"/>
  <c r="G225" i="9"/>
  <c r="E225" i="9"/>
  <c r="F225" i="9" s="1"/>
  <c r="B225" i="9"/>
  <c r="A225" i="9"/>
  <c r="I224" i="9"/>
  <c r="H224" i="9"/>
  <c r="G224" i="9"/>
  <c r="E224" i="9"/>
  <c r="F224" i="9" s="1"/>
  <c r="B224" i="9"/>
  <c r="A224" i="9"/>
  <c r="I223" i="9"/>
  <c r="H223" i="9"/>
  <c r="G223" i="9"/>
  <c r="E223" i="9"/>
  <c r="F223" i="9" s="1"/>
  <c r="B223" i="9"/>
  <c r="A223" i="9"/>
  <c r="I222" i="9"/>
  <c r="H222" i="9"/>
  <c r="G222" i="9"/>
  <c r="E222" i="9"/>
  <c r="F222" i="9" s="1"/>
  <c r="B222" i="9"/>
  <c r="A222" i="9"/>
  <c r="I221" i="9"/>
  <c r="H221" i="9"/>
  <c r="G221" i="9"/>
  <c r="E221" i="9"/>
  <c r="F221" i="9" s="1"/>
  <c r="B221" i="9"/>
  <c r="A221" i="9"/>
  <c r="I220" i="9"/>
  <c r="H220" i="9"/>
  <c r="G220" i="9"/>
  <c r="E220" i="9"/>
  <c r="F220" i="9" s="1"/>
  <c r="B220" i="9"/>
  <c r="A220" i="9"/>
  <c r="I219" i="9"/>
  <c r="H219" i="9"/>
  <c r="G219" i="9"/>
  <c r="E219" i="9"/>
  <c r="F219" i="9" s="1"/>
  <c r="B219" i="9"/>
  <c r="A219" i="9"/>
  <c r="I218" i="9"/>
  <c r="H218" i="9"/>
  <c r="G218" i="9"/>
  <c r="E218" i="9"/>
  <c r="F218" i="9" s="1"/>
  <c r="B218" i="9"/>
  <c r="A218" i="9"/>
  <c r="I217" i="9"/>
  <c r="H217" i="9"/>
  <c r="G217" i="9"/>
  <c r="E217" i="9"/>
  <c r="F217" i="9" s="1"/>
  <c r="B217" i="9"/>
  <c r="A217" i="9"/>
  <c r="I216" i="9"/>
  <c r="H216" i="9"/>
  <c r="G216" i="9"/>
  <c r="E216" i="9"/>
  <c r="F216" i="9" s="1"/>
  <c r="B216" i="9"/>
  <c r="A216" i="9"/>
  <c r="I215" i="9"/>
  <c r="H215" i="9"/>
  <c r="G215" i="9"/>
  <c r="E215" i="9"/>
  <c r="F215" i="9" s="1"/>
  <c r="B215" i="9"/>
  <c r="A215" i="9"/>
  <c r="I214" i="9"/>
  <c r="H214" i="9"/>
  <c r="G214" i="9"/>
  <c r="E214" i="9"/>
  <c r="F214" i="9" s="1"/>
  <c r="B214" i="9"/>
  <c r="A214" i="9"/>
  <c r="I213" i="9"/>
  <c r="H213" i="9"/>
  <c r="G213" i="9"/>
  <c r="E213" i="9"/>
  <c r="F213" i="9" s="1"/>
  <c r="B213" i="9"/>
  <c r="A213" i="9"/>
  <c r="I212" i="9"/>
  <c r="H212" i="9"/>
  <c r="G212" i="9"/>
  <c r="E212" i="9"/>
  <c r="F212" i="9" s="1"/>
  <c r="B212" i="9"/>
  <c r="A212" i="9"/>
  <c r="I211" i="9"/>
  <c r="H211" i="9"/>
  <c r="G211" i="9"/>
  <c r="E211" i="9"/>
  <c r="F211" i="9" s="1"/>
  <c r="B211" i="9"/>
  <c r="A211" i="9"/>
  <c r="I210" i="9"/>
  <c r="H210" i="9"/>
  <c r="G210" i="9"/>
  <c r="E210" i="9"/>
  <c r="F210" i="9" s="1"/>
  <c r="B210" i="9"/>
  <c r="A210" i="9"/>
  <c r="I209" i="9"/>
  <c r="H209" i="9"/>
  <c r="G209" i="9"/>
  <c r="E209" i="9"/>
  <c r="F209" i="9" s="1"/>
  <c r="B209" i="9"/>
  <c r="A209" i="9"/>
  <c r="I208" i="9"/>
  <c r="H208" i="9"/>
  <c r="G208" i="9"/>
  <c r="E208" i="9"/>
  <c r="F208" i="9" s="1"/>
  <c r="B208" i="9"/>
  <c r="A208" i="9"/>
  <c r="I207" i="9"/>
  <c r="H207" i="9"/>
  <c r="G207" i="9"/>
  <c r="E207" i="9"/>
  <c r="F207" i="9" s="1"/>
  <c r="B207" i="9"/>
  <c r="A207" i="9"/>
  <c r="I206" i="9"/>
  <c r="H206" i="9"/>
  <c r="G206" i="9"/>
  <c r="E206" i="9"/>
  <c r="F206" i="9" s="1"/>
  <c r="B206" i="9"/>
  <c r="A206" i="9"/>
  <c r="I205" i="9"/>
  <c r="H205" i="9"/>
  <c r="G205" i="9"/>
  <c r="E205" i="9"/>
  <c r="F205" i="9" s="1"/>
  <c r="B205" i="9"/>
  <c r="A205" i="9"/>
  <c r="I204" i="9"/>
  <c r="H204" i="9"/>
  <c r="G204" i="9"/>
  <c r="E204" i="9"/>
  <c r="F204" i="9" s="1"/>
  <c r="B204" i="9"/>
  <c r="A204" i="9"/>
  <c r="I203" i="9"/>
  <c r="H203" i="9"/>
  <c r="G203" i="9"/>
  <c r="E203" i="9"/>
  <c r="F203" i="9" s="1"/>
  <c r="B203" i="9"/>
  <c r="A203" i="9"/>
  <c r="I202" i="9"/>
  <c r="H202" i="9"/>
  <c r="G202" i="9"/>
  <c r="E202" i="9"/>
  <c r="F202" i="9" s="1"/>
  <c r="B202" i="9"/>
  <c r="A202" i="9"/>
  <c r="I201" i="9"/>
  <c r="H201" i="9"/>
  <c r="G201" i="9"/>
  <c r="F201" i="9"/>
  <c r="E201" i="9"/>
  <c r="B201" i="9"/>
  <c r="A201" i="9"/>
  <c r="I200" i="9"/>
  <c r="H200" i="9"/>
  <c r="G200" i="9"/>
  <c r="E200" i="9"/>
  <c r="F200" i="9" s="1"/>
  <c r="B200" i="9"/>
  <c r="A200" i="9"/>
  <c r="I199" i="9"/>
  <c r="H199" i="9"/>
  <c r="G199" i="9"/>
  <c r="E199" i="9"/>
  <c r="F199" i="9" s="1"/>
  <c r="B199" i="9"/>
  <c r="A199" i="9"/>
  <c r="I198" i="9"/>
  <c r="H198" i="9"/>
  <c r="G198" i="9"/>
  <c r="E198" i="9"/>
  <c r="F198" i="9" s="1"/>
  <c r="B198" i="9"/>
  <c r="A198" i="9"/>
  <c r="I197" i="9"/>
  <c r="H197" i="9"/>
  <c r="G197" i="9"/>
  <c r="E197" i="9"/>
  <c r="F197" i="9" s="1"/>
  <c r="B197" i="9"/>
  <c r="A197" i="9"/>
  <c r="I196" i="9"/>
  <c r="H196" i="9"/>
  <c r="G196" i="9"/>
  <c r="E196" i="9"/>
  <c r="F196" i="9" s="1"/>
  <c r="B196" i="9"/>
  <c r="A196" i="9"/>
  <c r="I195" i="9"/>
  <c r="H195" i="9"/>
  <c r="G195" i="9"/>
  <c r="E195" i="9"/>
  <c r="F195" i="9" s="1"/>
  <c r="B195" i="9"/>
  <c r="A195" i="9"/>
  <c r="I194" i="9"/>
  <c r="H194" i="9"/>
  <c r="G194" i="9"/>
  <c r="E194" i="9"/>
  <c r="F194" i="9" s="1"/>
  <c r="B194" i="9"/>
  <c r="A194" i="9"/>
  <c r="I193" i="9"/>
  <c r="H193" i="9"/>
  <c r="G193" i="9"/>
  <c r="E193" i="9"/>
  <c r="F193" i="9" s="1"/>
  <c r="B193" i="9"/>
  <c r="A193" i="9"/>
  <c r="I192" i="9"/>
  <c r="H192" i="9"/>
  <c r="G192" i="9"/>
  <c r="E192" i="9"/>
  <c r="F192" i="9" s="1"/>
  <c r="B192" i="9"/>
  <c r="A192" i="9"/>
  <c r="I191" i="9"/>
  <c r="H191" i="9"/>
  <c r="G191" i="9"/>
  <c r="E191" i="9"/>
  <c r="F191" i="9" s="1"/>
  <c r="B191" i="9"/>
  <c r="A191" i="9"/>
  <c r="I190" i="9"/>
  <c r="H190" i="9"/>
  <c r="G190" i="9"/>
  <c r="E190" i="9"/>
  <c r="F190" i="9" s="1"/>
  <c r="B190" i="9"/>
  <c r="A190" i="9"/>
  <c r="I189" i="9"/>
  <c r="H189" i="9"/>
  <c r="G189" i="9"/>
  <c r="E189" i="9"/>
  <c r="F189" i="9" s="1"/>
  <c r="B189" i="9"/>
  <c r="A189" i="9"/>
  <c r="I188" i="9"/>
  <c r="H188" i="9"/>
  <c r="G188" i="9"/>
  <c r="E188" i="9"/>
  <c r="F188" i="9" s="1"/>
  <c r="B188" i="9"/>
  <c r="A188" i="9"/>
  <c r="I187" i="9"/>
  <c r="H187" i="9"/>
  <c r="G187" i="9"/>
  <c r="E187" i="9"/>
  <c r="F187" i="9" s="1"/>
  <c r="B187" i="9"/>
  <c r="A187" i="9"/>
  <c r="I186" i="9"/>
  <c r="H186" i="9"/>
  <c r="G186" i="9"/>
  <c r="E186" i="9"/>
  <c r="F186" i="9" s="1"/>
  <c r="B186" i="9"/>
  <c r="A186" i="9"/>
  <c r="I185" i="9"/>
  <c r="H185" i="9"/>
  <c r="G185" i="9"/>
  <c r="E185" i="9"/>
  <c r="F185" i="9" s="1"/>
  <c r="B185" i="9"/>
  <c r="A185" i="9"/>
  <c r="I184" i="9"/>
  <c r="H184" i="9"/>
  <c r="G184" i="9"/>
  <c r="E184" i="9"/>
  <c r="F184" i="9" s="1"/>
  <c r="B184" i="9"/>
  <c r="A184" i="9"/>
  <c r="I183" i="9"/>
  <c r="H183" i="9"/>
  <c r="G183" i="9"/>
  <c r="E183" i="9"/>
  <c r="F183" i="9" s="1"/>
  <c r="B183" i="9"/>
  <c r="A183" i="9"/>
  <c r="I182" i="9"/>
  <c r="H182" i="9"/>
  <c r="G182" i="9"/>
  <c r="E182" i="9"/>
  <c r="F182" i="9" s="1"/>
  <c r="B182" i="9"/>
  <c r="A182" i="9"/>
  <c r="I181" i="9"/>
  <c r="H181" i="9"/>
  <c r="G181" i="9"/>
  <c r="E181" i="9"/>
  <c r="F181" i="9" s="1"/>
  <c r="B181" i="9"/>
  <c r="A181" i="9"/>
  <c r="I180" i="9"/>
  <c r="H180" i="9"/>
  <c r="G180" i="9"/>
  <c r="E180" i="9"/>
  <c r="F180" i="9" s="1"/>
  <c r="B180" i="9"/>
  <c r="A180" i="9"/>
  <c r="I179" i="9"/>
  <c r="H179" i="9"/>
  <c r="G179" i="9"/>
  <c r="E179" i="9"/>
  <c r="F179" i="9" s="1"/>
  <c r="B179" i="9"/>
  <c r="A179" i="9"/>
  <c r="I178" i="9"/>
  <c r="H178" i="9"/>
  <c r="G178" i="9"/>
  <c r="E178" i="9"/>
  <c r="F178" i="9" s="1"/>
  <c r="B178" i="9"/>
  <c r="A178" i="9"/>
  <c r="I177" i="9"/>
  <c r="H177" i="9"/>
  <c r="G177" i="9"/>
  <c r="E177" i="9"/>
  <c r="F177" i="9" s="1"/>
  <c r="B177" i="9"/>
  <c r="A177" i="9"/>
  <c r="I176" i="9"/>
  <c r="H176" i="9"/>
  <c r="G176" i="9"/>
  <c r="E176" i="9"/>
  <c r="F176" i="9" s="1"/>
  <c r="B176" i="9"/>
  <c r="A176" i="9"/>
  <c r="I175" i="9"/>
  <c r="H175" i="9"/>
  <c r="G175" i="9"/>
  <c r="E175" i="9"/>
  <c r="F175" i="9" s="1"/>
  <c r="B175" i="9"/>
  <c r="A175" i="9"/>
  <c r="I174" i="9"/>
  <c r="H174" i="9"/>
  <c r="G174" i="9"/>
  <c r="E174" i="9"/>
  <c r="F174" i="9" s="1"/>
  <c r="B174" i="9"/>
  <c r="A174" i="9"/>
  <c r="I173" i="9"/>
  <c r="H173" i="9"/>
  <c r="G173" i="9"/>
  <c r="E173" i="9"/>
  <c r="F173" i="9" s="1"/>
  <c r="B173" i="9"/>
  <c r="A173" i="9"/>
  <c r="I172" i="9"/>
  <c r="H172" i="9"/>
  <c r="G172" i="9"/>
  <c r="E172" i="9"/>
  <c r="F172" i="9" s="1"/>
  <c r="B172" i="9"/>
  <c r="A172" i="9"/>
  <c r="I171" i="9"/>
  <c r="H171" i="9"/>
  <c r="G171" i="9"/>
  <c r="E171" i="9"/>
  <c r="F171" i="9" s="1"/>
  <c r="B171" i="9"/>
  <c r="A171" i="9"/>
  <c r="I170" i="9"/>
  <c r="H170" i="9"/>
  <c r="G170" i="9"/>
  <c r="E170" i="9"/>
  <c r="F170" i="9" s="1"/>
  <c r="B170" i="9"/>
  <c r="A170" i="9"/>
  <c r="I169" i="9"/>
  <c r="H169" i="9"/>
  <c r="G169" i="9"/>
  <c r="E169" i="9"/>
  <c r="F169" i="9" s="1"/>
  <c r="B169" i="9"/>
  <c r="A169" i="9"/>
  <c r="I168" i="9"/>
  <c r="H168" i="9"/>
  <c r="G168" i="9"/>
  <c r="E168" i="9"/>
  <c r="F168" i="9" s="1"/>
  <c r="B168" i="9"/>
  <c r="A168" i="9"/>
  <c r="I167" i="9"/>
  <c r="H167" i="9"/>
  <c r="G167" i="9"/>
  <c r="E167" i="9"/>
  <c r="F167" i="9" s="1"/>
  <c r="B167" i="9"/>
  <c r="A167" i="9"/>
  <c r="I166" i="9"/>
  <c r="H166" i="9"/>
  <c r="G166" i="9"/>
  <c r="E166" i="9"/>
  <c r="F166" i="9" s="1"/>
  <c r="B166" i="9"/>
  <c r="A166" i="9"/>
  <c r="I165" i="9"/>
  <c r="H165" i="9"/>
  <c r="G165" i="9"/>
  <c r="E165" i="9"/>
  <c r="F165" i="9" s="1"/>
  <c r="B165" i="9"/>
  <c r="A165" i="9"/>
  <c r="I164" i="9"/>
  <c r="H164" i="9"/>
  <c r="G164" i="9"/>
  <c r="E164" i="9"/>
  <c r="F164" i="9" s="1"/>
  <c r="B164" i="9"/>
  <c r="A164" i="9"/>
  <c r="I163" i="9"/>
  <c r="H163" i="9"/>
  <c r="G163" i="9"/>
  <c r="E163" i="9"/>
  <c r="F163" i="9" s="1"/>
  <c r="B163" i="9"/>
  <c r="A163" i="9"/>
  <c r="I162" i="9"/>
  <c r="H162" i="9"/>
  <c r="G162" i="9"/>
  <c r="E162" i="9"/>
  <c r="F162" i="9" s="1"/>
  <c r="B162" i="9"/>
  <c r="A162" i="9"/>
  <c r="I161" i="9"/>
  <c r="H161" i="9"/>
  <c r="G161" i="9"/>
  <c r="E161" i="9"/>
  <c r="F161" i="9" s="1"/>
  <c r="B161" i="9"/>
  <c r="A161" i="9"/>
  <c r="I160" i="9"/>
  <c r="H160" i="9"/>
  <c r="G160" i="9"/>
  <c r="E160" i="9"/>
  <c r="F160" i="9" s="1"/>
  <c r="B160" i="9"/>
  <c r="A160" i="9"/>
  <c r="I159" i="9"/>
  <c r="H159" i="9"/>
  <c r="G159" i="9"/>
  <c r="E159" i="9"/>
  <c r="F159" i="9" s="1"/>
  <c r="B159" i="9"/>
  <c r="A159" i="9"/>
  <c r="I158" i="9"/>
  <c r="H158" i="9"/>
  <c r="G158" i="9"/>
  <c r="F158" i="9"/>
  <c r="E158" i="9"/>
  <c r="B158" i="9"/>
  <c r="A158" i="9"/>
  <c r="I157" i="9"/>
  <c r="H157" i="9"/>
  <c r="G157" i="9"/>
  <c r="E157" i="9"/>
  <c r="F157" i="9" s="1"/>
  <c r="B157" i="9"/>
  <c r="A157" i="9"/>
  <c r="I156" i="9"/>
  <c r="H156" i="9"/>
  <c r="G156" i="9"/>
  <c r="E156" i="9"/>
  <c r="F156" i="9" s="1"/>
  <c r="B156" i="9"/>
  <c r="A156" i="9"/>
  <c r="I155" i="9"/>
  <c r="H155" i="9"/>
  <c r="G155" i="9"/>
  <c r="E155" i="9"/>
  <c r="F155" i="9" s="1"/>
  <c r="B155" i="9"/>
  <c r="A155" i="9"/>
  <c r="I154" i="9"/>
  <c r="H154" i="9"/>
  <c r="G154" i="9"/>
  <c r="E154" i="9"/>
  <c r="F154" i="9" s="1"/>
  <c r="B154" i="9"/>
  <c r="A154" i="9"/>
  <c r="I153" i="9"/>
  <c r="H153" i="9"/>
  <c r="G153" i="9"/>
  <c r="E153" i="9"/>
  <c r="F153" i="9" s="1"/>
  <c r="B153" i="9"/>
  <c r="A153" i="9"/>
  <c r="I152" i="9"/>
  <c r="H152" i="9"/>
  <c r="G152" i="9"/>
  <c r="E152" i="9"/>
  <c r="F152" i="9" s="1"/>
  <c r="B152" i="9"/>
  <c r="A152" i="9"/>
  <c r="I151" i="9"/>
  <c r="H151" i="9"/>
  <c r="G151" i="9"/>
  <c r="E151" i="9"/>
  <c r="F151" i="9" s="1"/>
  <c r="B151" i="9"/>
  <c r="A151" i="9"/>
  <c r="I150" i="9"/>
  <c r="H150" i="9"/>
  <c r="G150" i="9"/>
  <c r="E150" i="9"/>
  <c r="F150" i="9" s="1"/>
  <c r="B150" i="9"/>
  <c r="A150" i="9"/>
  <c r="I149" i="9"/>
  <c r="H149" i="9"/>
  <c r="G149" i="9"/>
  <c r="E149" i="9"/>
  <c r="F149" i="9" s="1"/>
  <c r="B149" i="9"/>
  <c r="A149" i="9"/>
  <c r="I148" i="9"/>
  <c r="H148" i="9"/>
  <c r="G148" i="9"/>
  <c r="E148" i="9"/>
  <c r="F148" i="9" s="1"/>
  <c r="B148" i="9"/>
  <c r="A148" i="9"/>
  <c r="I147" i="9"/>
  <c r="H147" i="9"/>
  <c r="G147" i="9"/>
  <c r="E147" i="9"/>
  <c r="F147" i="9" s="1"/>
  <c r="B147" i="9"/>
  <c r="A147" i="9"/>
  <c r="I146" i="9"/>
  <c r="H146" i="9"/>
  <c r="G146" i="9"/>
  <c r="E146" i="9"/>
  <c r="F146" i="9" s="1"/>
  <c r="B146" i="9"/>
  <c r="A146" i="9"/>
  <c r="I145" i="9"/>
  <c r="H145" i="9"/>
  <c r="G145" i="9"/>
  <c r="E145" i="9"/>
  <c r="F145" i="9" s="1"/>
  <c r="B145" i="9"/>
  <c r="A145" i="9"/>
  <c r="I144" i="9"/>
  <c r="H144" i="9"/>
  <c r="G144" i="9"/>
  <c r="E144" i="9"/>
  <c r="F144" i="9" s="1"/>
  <c r="B144" i="9"/>
  <c r="A144" i="9"/>
  <c r="I143" i="9"/>
  <c r="H143" i="9"/>
  <c r="G143" i="9"/>
  <c r="E143" i="9"/>
  <c r="F143" i="9" s="1"/>
  <c r="B143" i="9"/>
  <c r="A143" i="9"/>
  <c r="I142" i="9"/>
  <c r="H142" i="9"/>
  <c r="G142" i="9"/>
  <c r="E142" i="9"/>
  <c r="F142" i="9" s="1"/>
  <c r="B142" i="9"/>
  <c r="A142" i="9"/>
  <c r="I141" i="9"/>
  <c r="H141" i="9"/>
  <c r="G141" i="9"/>
  <c r="E141" i="9"/>
  <c r="F141" i="9" s="1"/>
  <c r="B141" i="9"/>
  <c r="A141" i="9"/>
  <c r="I140" i="9"/>
  <c r="H140" i="9"/>
  <c r="G140" i="9"/>
  <c r="E140" i="9"/>
  <c r="F140" i="9" s="1"/>
  <c r="B140" i="9"/>
  <c r="A140" i="9"/>
  <c r="I139" i="9"/>
  <c r="H139" i="9"/>
  <c r="G139" i="9"/>
  <c r="F139" i="9"/>
  <c r="E139" i="9"/>
  <c r="B139" i="9"/>
  <c r="A139" i="9"/>
  <c r="I138" i="9"/>
  <c r="H138" i="9"/>
  <c r="G138" i="9"/>
  <c r="E138" i="9"/>
  <c r="F138" i="9" s="1"/>
  <c r="B138" i="9"/>
  <c r="A138" i="9"/>
  <c r="I137" i="9"/>
  <c r="H137" i="9"/>
  <c r="G137" i="9"/>
  <c r="E137" i="9"/>
  <c r="F137" i="9" s="1"/>
  <c r="B137" i="9"/>
  <c r="A137" i="9"/>
  <c r="I136" i="9"/>
  <c r="H136" i="9"/>
  <c r="G136" i="9"/>
  <c r="E136" i="9"/>
  <c r="F136" i="9" s="1"/>
  <c r="B136" i="9"/>
  <c r="A136" i="9"/>
  <c r="I135" i="9"/>
  <c r="H135" i="9"/>
  <c r="G135" i="9"/>
  <c r="E135" i="9"/>
  <c r="F135" i="9" s="1"/>
  <c r="B135" i="9"/>
  <c r="A135" i="9"/>
  <c r="I134" i="9"/>
  <c r="H134" i="9"/>
  <c r="G134" i="9"/>
  <c r="E134" i="9"/>
  <c r="F134" i="9" s="1"/>
  <c r="B134" i="9"/>
  <c r="A134" i="9"/>
  <c r="I133" i="9"/>
  <c r="H133" i="9"/>
  <c r="G133" i="9"/>
  <c r="E133" i="9"/>
  <c r="F133" i="9" s="1"/>
  <c r="B133" i="9"/>
  <c r="A133" i="9"/>
  <c r="I132" i="9"/>
  <c r="H132" i="9"/>
  <c r="G132" i="9"/>
  <c r="E132" i="9"/>
  <c r="F132" i="9" s="1"/>
  <c r="B132" i="9"/>
  <c r="A132" i="9"/>
  <c r="I131" i="9"/>
  <c r="H131" i="9"/>
  <c r="G131" i="9"/>
  <c r="E131" i="9"/>
  <c r="F131" i="9" s="1"/>
  <c r="B131" i="9"/>
  <c r="A131" i="9"/>
  <c r="I130" i="9"/>
  <c r="H130" i="9"/>
  <c r="G130" i="9"/>
  <c r="E130" i="9"/>
  <c r="F130" i="9" s="1"/>
  <c r="B130" i="9"/>
  <c r="A130" i="9"/>
  <c r="I129" i="9"/>
  <c r="H129" i="9"/>
  <c r="G129" i="9"/>
  <c r="E129" i="9"/>
  <c r="F129" i="9" s="1"/>
  <c r="B129" i="9"/>
  <c r="A129" i="9"/>
  <c r="I128" i="9"/>
  <c r="H128" i="9"/>
  <c r="G128" i="9"/>
  <c r="E128" i="9"/>
  <c r="F128" i="9" s="1"/>
  <c r="B128" i="9"/>
  <c r="A128" i="9"/>
  <c r="I127" i="9"/>
  <c r="H127" i="9"/>
  <c r="G127" i="9"/>
  <c r="E127" i="9"/>
  <c r="F127" i="9" s="1"/>
  <c r="B127" i="9"/>
  <c r="A127" i="9"/>
  <c r="I126" i="9"/>
  <c r="H126" i="9"/>
  <c r="G126" i="9"/>
  <c r="E126" i="9"/>
  <c r="F126" i="9" s="1"/>
  <c r="B126" i="9"/>
  <c r="A126" i="9"/>
  <c r="I125" i="9"/>
  <c r="H125" i="9"/>
  <c r="G125" i="9"/>
  <c r="E125" i="9"/>
  <c r="F125" i="9" s="1"/>
  <c r="B125" i="9"/>
  <c r="A125" i="9"/>
  <c r="I124" i="9"/>
  <c r="H124" i="9"/>
  <c r="G124" i="9"/>
  <c r="E124" i="9"/>
  <c r="F124" i="9" s="1"/>
  <c r="B124" i="9"/>
  <c r="A124" i="9"/>
  <c r="I123" i="9"/>
  <c r="H123" i="9"/>
  <c r="G123" i="9"/>
  <c r="E123" i="9"/>
  <c r="F123" i="9" s="1"/>
  <c r="B123" i="9"/>
  <c r="A123" i="9"/>
  <c r="I122" i="9"/>
  <c r="H122" i="9"/>
  <c r="G122" i="9"/>
  <c r="E122" i="9"/>
  <c r="F122" i="9" s="1"/>
  <c r="B122" i="9"/>
  <c r="A122" i="9"/>
  <c r="I121" i="9"/>
  <c r="H121" i="9"/>
  <c r="G121" i="9"/>
  <c r="E121" i="9"/>
  <c r="F121" i="9" s="1"/>
  <c r="B121" i="9"/>
  <c r="A121" i="9"/>
  <c r="I120" i="9"/>
  <c r="H120" i="9"/>
  <c r="G120" i="9"/>
  <c r="E120" i="9"/>
  <c r="F120" i="9" s="1"/>
  <c r="B120" i="9"/>
  <c r="A120" i="9"/>
  <c r="I119" i="9"/>
  <c r="H119" i="9"/>
  <c r="G119" i="9"/>
  <c r="E119" i="9"/>
  <c r="F119" i="9" s="1"/>
  <c r="B119" i="9"/>
  <c r="A119" i="9"/>
  <c r="I118" i="9"/>
  <c r="H118" i="9"/>
  <c r="G118" i="9"/>
  <c r="E118" i="9"/>
  <c r="F118" i="9" s="1"/>
  <c r="B118" i="9"/>
  <c r="A118" i="9"/>
  <c r="I117" i="9"/>
  <c r="H117" i="9"/>
  <c r="G117" i="9"/>
  <c r="E117" i="9"/>
  <c r="F117" i="9" s="1"/>
  <c r="B117" i="9"/>
  <c r="A117" i="9"/>
  <c r="I116" i="9"/>
  <c r="H116" i="9"/>
  <c r="G116" i="9"/>
  <c r="E116" i="9"/>
  <c r="F116" i="9" s="1"/>
  <c r="B116" i="9"/>
  <c r="A116" i="9"/>
  <c r="I115" i="9"/>
  <c r="H115" i="9"/>
  <c r="G115" i="9"/>
  <c r="E115" i="9"/>
  <c r="F115" i="9" s="1"/>
  <c r="B115" i="9"/>
  <c r="A115" i="9"/>
  <c r="I114" i="9"/>
  <c r="H114" i="9"/>
  <c r="G114" i="9"/>
  <c r="E114" i="9"/>
  <c r="F114" i="9" s="1"/>
  <c r="B114" i="9"/>
  <c r="A114" i="9"/>
  <c r="I113" i="9"/>
  <c r="H113" i="9"/>
  <c r="G113" i="9"/>
  <c r="E113" i="9"/>
  <c r="F113" i="9" s="1"/>
  <c r="B113" i="9"/>
  <c r="A113" i="9"/>
  <c r="I112" i="9"/>
  <c r="H112" i="9"/>
  <c r="G112" i="9"/>
  <c r="E112" i="9"/>
  <c r="F112" i="9" s="1"/>
  <c r="B112" i="9"/>
  <c r="A112" i="9"/>
  <c r="I111" i="9"/>
  <c r="H111" i="9"/>
  <c r="G111" i="9"/>
  <c r="E111" i="9"/>
  <c r="F111" i="9" s="1"/>
  <c r="B111" i="9"/>
  <c r="A111" i="9"/>
  <c r="I110" i="9"/>
  <c r="H110" i="9"/>
  <c r="G110" i="9"/>
  <c r="E110" i="9"/>
  <c r="F110" i="9" s="1"/>
  <c r="B110" i="9"/>
  <c r="A110" i="9"/>
  <c r="I109" i="9"/>
  <c r="H109" i="9"/>
  <c r="G109" i="9"/>
  <c r="E109" i="9"/>
  <c r="F109" i="9" s="1"/>
  <c r="B109" i="9"/>
  <c r="A109" i="9"/>
  <c r="I108" i="9"/>
  <c r="H108" i="9"/>
  <c r="G108" i="9"/>
  <c r="E108" i="9"/>
  <c r="F108" i="9" s="1"/>
  <c r="B108" i="9"/>
  <c r="A108" i="9"/>
  <c r="I107" i="9"/>
  <c r="H107" i="9"/>
  <c r="G107" i="9"/>
  <c r="E107" i="9"/>
  <c r="F107" i="9" s="1"/>
  <c r="B107" i="9"/>
  <c r="A107" i="9"/>
  <c r="I106" i="9"/>
  <c r="H106" i="9"/>
  <c r="G106" i="9"/>
  <c r="E106" i="9"/>
  <c r="F106" i="9" s="1"/>
  <c r="B106" i="9"/>
  <c r="A106" i="9"/>
  <c r="I105" i="9"/>
  <c r="H105" i="9"/>
  <c r="G105" i="9"/>
  <c r="E105" i="9"/>
  <c r="F105" i="9" s="1"/>
  <c r="B105" i="9"/>
  <c r="A105" i="9"/>
  <c r="I104" i="9"/>
  <c r="H104" i="9"/>
  <c r="G104" i="9"/>
  <c r="E104" i="9"/>
  <c r="F104" i="9" s="1"/>
  <c r="B104" i="9"/>
  <c r="A104" i="9"/>
  <c r="I103" i="9"/>
  <c r="H103" i="9"/>
  <c r="G103" i="9"/>
  <c r="E103" i="9"/>
  <c r="F103" i="9" s="1"/>
  <c r="B103" i="9"/>
  <c r="A103" i="9"/>
  <c r="I102" i="9"/>
  <c r="H102" i="9"/>
  <c r="G102" i="9"/>
  <c r="E102" i="9"/>
  <c r="F102" i="9" s="1"/>
  <c r="B102" i="9"/>
  <c r="A102" i="9"/>
  <c r="I101" i="9"/>
  <c r="H101" i="9"/>
  <c r="G101" i="9"/>
  <c r="E101" i="9"/>
  <c r="F101" i="9" s="1"/>
  <c r="B101" i="9"/>
  <c r="A101" i="9"/>
  <c r="I100" i="9"/>
  <c r="H100" i="9"/>
  <c r="G100" i="9"/>
  <c r="E100" i="9"/>
  <c r="F100" i="9" s="1"/>
  <c r="B100" i="9"/>
  <c r="A100" i="9"/>
  <c r="I99" i="9"/>
  <c r="H99" i="9"/>
  <c r="G99" i="9"/>
  <c r="E99" i="9"/>
  <c r="F99" i="9" s="1"/>
  <c r="B99" i="9"/>
  <c r="A99" i="9"/>
  <c r="I98" i="9"/>
  <c r="H98" i="9"/>
  <c r="G98" i="9"/>
  <c r="E98" i="9"/>
  <c r="F98" i="9" s="1"/>
  <c r="B98" i="9"/>
  <c r="A98" i="9"/>
  <c r="I97" i="9"/>
  <c r="H97" i="9"/>
  <c r="G97" i="9"/>
  <c r="E97" i="9"/>
  <c r="F97" i="9" s="1"/>
  <c r="B97" i="9"/>
  <c r="A97" i="9"/>
  <c r="I96" i="9"/>
  <c r="H96" i="9"/>
  <c r="G96" i="9"/>
  <c r="E96" i="9"/>
  <c r="F96" i="9" s="1"/>
  <c r="B96" i="9"/>
  <c r="A96" i="9"/>
  <c r="I95" i="9"/>
  <c r="H95" i="9"/>
  <c r="G95" i="9"/>
  <c r="E95" i="9"/>
  <c r="F95" i="9" s="1"/>
  <c r="B95" i="9"/>
  <c r="A95" i="9"/>
  <c r="I94" i="9"/>
  <c r="H94" i="9"/>
  <c r="G94" i="9"/>
  <c r="E94" i="9"/>
  <c r="F94" i="9" s="1"/>
  <c r="B94" i="9"/>
  <c r="A94" i="9"/>
  <c r="I93" i="9"/>
  <c r="H93" i="9"/>
  <c r="G93" i="9"/>
  <c r="E93" i="9"/>
  <c r="F93" i="9" s="1"/>
  <c r="B93" i="9"/>
  <c r="A93" i="9"/>
  <c r="I92" i="9"/>
  <c r="H92" i="9"/>
  <c r="G92" i="9"/>
  <c r="E92" i="9"/>
  <c r="F92" i="9" s="1"/>
  <c r="B92" i="9"/>
  <c r="A92" i="9"/>
  <c r="I91" i="9"/>
  <c r="H91" i="9"/>
  <c r="G91" i="9"/>
  <c r="E91" i="9"/>
  <c r="F91" i="9" s="1"/>
  <c r="B91" i="9"/>
  <c r="A91" i="9"/>
  <c r="I90" i="9"/>
  <c r="H90" i="9"/>
  <c r="G90" i="9"/>
  <c r="E90" i="9"/>
  <c r="F90" i="9" s="1"/>
  <c r="B90" i="9"/>
  <c r="A90" i="9"/>
  <c r="I89" i="9"/>
  <c r="H89" i="9"/>
  <c r="G89" i="9"/>
  <c r="E89" i="9"/>
  <c r="F89" i="9" s="1"/>
  <c r="B89" i="9"/>
  <c r="A89" i="9"/>
  <c r="I88" i="9"/>
  <c r="H88" i="9"/>
  <c r="G88" i="9"/>
  <c r="E88" i="9"/>
  <c r="F88" i="9" s="1"/>
  <c r="B88" i="9"/>
  <c r="A88" i="9"/>
  <c r="I87" i="9"/>
  <c r="H87" i="9"/>
  <c r="G87" i="9"/>
  <c r="E87" i="9"/>
  <c r="F87" i="9" s="1"/>
  <c r="B87" i="9"/>
  <c r="A87" i="9"/>
  <c r="I86" i="9"/>
  <c r="H86" i="9"/>
  <c r="G86" i="9"/>
  <c r="E86" i="9"/>
  <c r="F86" i="9" s="1"/>
  <c r="B86" i="9"/>
  <c r="A86" i="9"/>
  <c r="I85" i="9"/>
  <c r="H85" i="9"/>
  <c r="G85" i="9"/>
  <c r="E85" i="9"/>
  <c r="F85" i="9" s="1"/>
  <c r="B85" i="9"/>
  <c r="A85" i="9"/>
  <c r="I84" i="9"/>
  <c r="H84" i="9"/>
  <c r="G84" i="9"/>
  <c r="E84" i="9"/>
  <c r="F84" i="9" s="1"/>
  <c r="B84" i="9"/>
  <c r="A84" i="9"/>
  <c r="I83" i="9"/>
  <c r="H83" i="9"/>
  <c r="G83" i="9"/>
  <c r="E83" i="9"/>
  <c r="F83" i="9" s="1"/>
  <c r="B83" i="9"/>
  <c r="A83" i="9"/>
  <c r="I82" i="9"/>
  <c r="H82" i="9"/>
  <c r="G82" i="9"/>
  <c r="E82" i="9"/>
  <c r="F82" i="9" s="1"/>
  <c r="B82" i="9"/>
  <c r="A82" i="9"/>
  <c r="I81" i="9"/>
  <c r="H81" i="9"/>
  <c r="G81" i="9"/>
  <c r="E81" i="9"/>
  <c r="F81" i="9" s="1"/>
  <c r="B81" i="9"/>
  <c r="A81" i="9"/>
  <c r="I80" i="9"/>
  <c r="H80" i="9"/>
  <c r="G80" i="9"/>
  <c r="E80" i="9"/>
  <c r="F80" i="9" s="1"/>
  <c r="B80" i="9"/>
  <c r="A80" i="9"/>
  <c r="I79" i="9"/>
  <c r="H79" i="9"/>
  <c r="G79" i="9"/>
  <c r="E79" i="9"/>
  <c r="F79" i="9" s="1"/>
  <c r="B79" i="9"/>
  <c r="A79" i="9"/>
  <c r="I78" i="9"/>
  <c r="H78" i="9"/>
  <c r="G78" i="9"/>
  <c r="E78" i="9"/>
  <c r="F78" i="9" s="1"/>
  <c r="B78" i="9"/>
  <c r="A78" i="9"/>
  <c r="I77" i="9"/>
  <c r="H77" i="9"/>
  <c r="G77" i="9"/>
  <c r="E77" i="9"/>
  <c r="F77" i="9" s="1"/>
  <c r="B77" i="9"/>
  <c r="A77" i="9"/>
  <c r="I76" i="9"/>
  <c r="H76" i="9"/>
  <c r="G76" i="9"/>
  <c r="E76" i="9"/>
  <c r="F76" i="9" s="1"/>
  <c r="B76" i="9"/>
  <c r="A76" i="9"/>
  <c r="I75" i="9"/>
  <c r="H75" i="9"/>
  <c r="G75" i="9"/>
  <c r="E75" i="9"/>
  <c r="F75" i="9" s="1"/>
  <c r="B75" i="9"/>
  <c r="A75" i="9"/>
  <c r="I74" i="9"/>
  <c r="H74" i="9"/>
  <c r="G74" i="9"/>
  <c r="E74" i="9"/>
  <c r="F74" i="9" s="1"/>
  <c r="B74" i="9"/>
  <c r="A74" i="9"/>
  <c r="I73" i="9"/>
  <c r="H73" i="9"/>
  <c r="G73" i="9"/>
  <c r="E73" i="9"/>
  <c r="F73" i="9" s="1"/>
  <c r="B73" i="9"/>
  <c r="A73" i="9"/>
  <c r="I72" i="9"/>
  <c r="H72" i="9"/>
  <c r="G72" i="9"/>
  <c r="E72" i="9"/>
  <c r="F72" i="9" s="1"/>
  <c r="B72" i="9"/>
  <c r="A72" i="9"/>
  <c r="I71" i="9"/>
  <c r="H71" i="9"/>
  <c r="G71" i="9"/>
  <c r="E71" i="9"/>
  <c r="F71" i="9" s="1"/>
  <c r="B71" i="9"/>
  <c r="A71" i="9"/>
  <c r="I70" i="9"/>
  <c r="H70" i="9"/>
  <c r="G70" i="9"/>
  <c r="E70" i="9"/>
  <c r="F70" i="9" s="1"/>
  <c r="B70" i="9"/>
  <c r="A70" i="9"/>
  <c r="I69" i="9"/>
  <c r="H69" i="9"/>
  <c r="G69" i="9"/>
  <c r="E69" i="9"/>
  <c r="F69" i="9" s="1"/>
  <c r="B69" i="9"/>
  <c r="A69" i="9"/>
  <c r="I68" i="9"/>
  <c r="H68" i="9"/>
  <c r="G68" i="9"/>
  <c r="E68" i="9"/>
  <c r="F68" i="9" s="1"/>
  <c r="B68" i="9"/>
  <c r="A68" i="9"/>
  <c r="I67" i="9"/>
  <c r="H67" i="9"/>
  <c r="G67" i="9"/>
  <c r="E67" i="9"/>
  <c r="F67" i="9" s="1"/>
  <c r="B67" i="9"/>
  <c r="A67" i="9"/>
  <c r="I66" i="9"/>
  <c r="H66" i="9"/>
  <c r="G66" i="9"/>
  <c r="E66" i="9"/>
  <c r="F66" i="9" s="1"/>
  <c r="B66" i="9"/>
  <c r="A66" i="9"/>
  <c r="I65" i="9"/>
  <c r="H65" i="9"/>
  <c r="G65" i="9"/>
  <c r="E65" i="9"/>
  <c r="F65" i="9" s="1"/>
  <c r="B65" i="9"/>
  <c r="A65" i="9"/>
  <c r="I64" i="9"/>
  <c r="H64" i="9"/>
  <c r="G64" i="9"/>
  <c r="E64" i="9"/>
  <c r="F64" i="9" s="1"/>
  <c r="B64" i="9"/>
  <c r="A64" i="9"/>
  <c r="I63" i="9"/>
  <c r="H63" i="9"/>
  <c r="G63" i="9"/>
  <c r="E63" i="9"/>
  <c r="F63" i="9" s="1"/>
  <c r="B63" i="9"/>
  <c r="A63" i="9"/>
  <c r="I62" i="9"/>
  <c r="H62" i="9"/>
  <c r="G62" i="9"/>
  <c r="E62" i="9"/>
  <c r="F62" i="9" s="1"/>
  <c r="B62" i="9"/>
  <c r="A62" i="9"/>
  <c r="I61" i="9"/>
  <c r="H61" i="9"/>
  <c r="G61" i="9"/>
  <c r="E61" i="9"/>
  <c r="F61" i="9" s="1"/>
  <c r="B61" i="9"/>
  <c r="A61" i="9"/>
  <c r="I60" i="9"/>
  <c r="H60" i="9"/>
  <c r="G60" i="9"/>
  <c r="E60" i="9"/>
  <c r="F60" i="9" s="1"/>
  <c r="B60" i="9"/>
  <c r="A60" i="9"/>
  <c r="I59" i="9"/>
  <c r="H59" i="9"/>
  <c r="G59" i="9"/>
  <c r="E59" i="9"/>
  <c r="F59" i="9" s="1"/>
  <c r="B59" i="9"/>
  <c r="A59" i="9"/>
  <c r="I58" i="9"/>
  <c r="H58" i="9"/>
  <c r="G58" i="9"/>
  <c r="E58" i="9"/>
  <c r="F58" i="9" s="1"/>
  <c r="B58" i="9"/>
  <c r="A58" i="9"/>
  <c r="I57" i="9"/>
  <c r="H57" i="9"/>
  <c r="G57" i="9"/>
  <c r="E57" i="9"/>
  <c r="F57" i="9" s="1"/>
  <c r="B57" i="9"/>
  <c r="A57" i="9"/>
  <c r="I56" i="9"/>
  <c r="H56" i="9"/>
  <c r="G56" i="9"/>
  <c r="E56" i="9"/>
  <c r="F56" i="9" s="1"/>
  <c r="B56" i="9"/>
  <c r="A56" i="9"/>
  <c r="I55" i="9"/>
  <c r="H55" i="9"/>
  <c r="G55" i="9"/>
  <c r="E55" i="9"/>
  <c r="F55" i="9" s="1"/>
  <c r="B55" i="9"/>
  <c r="A55" i="9"/>
  <c r="I54" i="9"/>
  <c r="H54" i="9"/>
  <c r="G54" i="9"/>
  <c r="E54" i="9"/>
  <c r="F54" i="9" s="1"/>
  <c r="B54" i="9"/>
  <c r="A54" i="9"/>
  <c r="I53" i="9"/>
  <c r="H53" i="9"/>
  <c r="G53" i="9"/>
  <c r="E53" i="9"/>
  <c r="F53" i="9" s="1"/>
  <c r="B53" i="9"/>
  <c r="A53" i="9"/>
  <c r="I52" i="9"/>
  <c r="H52" i="9"/>
  <c r="G52" i="9"/>
  <c r="E52" i="9"/>
  <c r="F52" i="9" s="1"/>
  <c r="B52" i="9"/>
  <c r="A52" i="9"/>
  <c r="I51" i="9"/>
  <c r="H51" i="9"/>
  <c r="G51" i="9"/>
  <c r="E51" i="9"/>
  <c r="F51" i="9" s="1"/>
  <c r="B51" i="9"/>
  <c r="A51" i="9"/>
  <c r="I50" i="9"/>
  <c r="H50" i="9"/>
  <c r="G50" i="9"/>
  <c r="E50" i="9"/>
  <c r="F50" i="9" s="1"/>
  <c r="B50" i="9"/>
  <c r="A50" i="9"/>
  <c r="I49" i="9"/>
  <c r="H49" i="9"/>
  <c r="G49" i="9"/>
  <c r="E49" i="9"/>
  <c r="F49" i="9" s="1"/>
  <c r="B49" i="9"/>
  <c r="A49" i="9"/>
  <c r="I48" i="9"/>
  <c r="H48" i="9"/>
  <c r="G48" i="9"/>
  <c r="E48" i="9"/>
  <c r="F48" i="9" s="1"/>
  <c r="B48" i="9"/>
  <c r="A48" i="9"/>
  <c r="I47" i="9"/>
  <c r="H47" i="9"/>
  <c r="G47" i="9"/>
  <c r="E47" i="9"/>
  <c r="F47" i="9" s="1"/>
  <c r="B47" i="9"/>
  <c r="A47" i="9"/>
  <c r="I46" i="9"/>
  <c r="H46" i="9"/>
  <c r="G46" i="9"/>
  <c r="E46" i="9"/>
  <c r="F46" i="9" s="1"/>
  <c r="B46" i="9"/>
  <c r="A46" i="9"/>
  <c r="I45" i="9"/>
  <c r="H45" i="9"/>
  <c r="G45" i="9"/>
  <c r="E45" i="9"/>
  <c r="F45" i="9" s="1"/>
  <c r="B45" i="9"/>
  <c r="A45" i="9"/>
  <c r="I44" i="9"/>
  <c r="H44" i="9"/>
  <c r="G44" i="9"/>
  <c r="E44" i="9"/>
  <c r="F44" i="9" s="1"/>
  <c r="B44" i="9"/>
  <c r="A44" i="9"/>
  <c r="I43" i="9"/>
  <c r="H43" i="9"/>
  <c r="G43" i="9"/>
  <c r="E43" i="9"/>
  <c r="F43" i="9" s="1"/>
  <c r="B43" i="9"/>
  <c r="A43" i="9"/>
  <c r="I42" i="9"/>
  <c r="H42" i="9"/>
  <c r="G42" i="9"/>
  <c r="E42" i="9"/>
  <c r="F42" i="9" s="1"/>
  <c r="B42" i="9"/>
  <c r="A42" i="9"/>
  <c r="I41" i="9"/>
  <c r="H41" i="9"/>
  <c r="G41" i="9"/>
  <c r="E41" i="9"/>
  <c r="F41" i="9" s="1"/>
  <c r="B41" i="9"/>
  <c r="A41" i="9"/>
  <c r="I40" i="9"/>
  <c r="H40" i="9"/>
  <c r="G40" i="9"/>
  <c r="E40" i="9"/>
  <c r="F40" i="9" s="1"/>
  <c r="B40" i="9"/>
  <c r="A40" i="9"/>
  <c r="I39" i="9"/>
  <c r="H39" i="9"/>
  <c r="G39" i="9"/>
  <c r="E39" i="9"/>
  <c r="F39" i="9" s="1"/>
  <c r="B39" i="9"/>
  <c r="A39" i="9"/>
  <c r="I38" i="9"/>
  <c r="H38" i="9"/>
  <c r="G38" i="9"/>
  <c r="E38" i="9"/>
  <c r="F38" i="9" s="1"/>
  <c r="B38" i="9"/>
  <c r="A38" i="9"/>
  <c r="I37" i="9"/>
  <c r="H37" i="9"/>
  <c r="G37" i="9"/>
  <c r="E37" i="9"/>
  <c r="F37" i="9" s="1"/>
  <c r="B37" i="9"/>
  <c r="A37" i="9"/>
  <c r="I36" i="9"/>
  <c r="H36" i="9"/>
  <c r="G36" i="9"/>
  <c r="E36" i="9"/>
  <c r="F36" i="9" s="1"/>
  <c r="B36" i="9"/>
  <c r="A36" i="9"/>
  <c r="I35" i="9"/>
  <c r="H35" i="9"/>
  <c r="G35" i="9"/>
  <c r="E35" i="9"/>
  <c r="F35" i="9" s="1"/>
  <c r="B35" i="9"/>
  <c r="A35" i="9"/>
  <c r="I34" i="9"/>
  <c r="H34" i="9"/>
  <c r="G34" i="9"/>
  <c r="E34" i="9"/>
  <c r="F34" i="9" s="1"/>
  <c r="B34" i="9"/>
  <c r="A34" i="9"/>
  <c r="I33" i="9"/>
  <c r="H33" i="9"/>
  <c r="G33" i="9"/>
  <c r="E33" i="9"/>
  <c r="F33" i="9" s="1"/>
  <c r="B33" i="9"/>
  <c r="A33" i="9"/>
  <c r="I32" i="9"/>
  <c r="H32" i="9"/>
  <c r="G32" i="9"/>
  <c r="E32" i="9"/>
  <c r="F32" i="9" s="1"/>
  <c r="B32" i="9"/>
  <c r="A32" i="9"/>
  <c r="I31" i="9"/>
  <c r="H31" i="9"/>
  <c r="G31" i="9"/>
  <c r="E31" i="9"/>
  <c r="F31" i="9" s="1"/>
  <c r="B31" i="9"/>
  <c r="A31" i="9"/>
  <c r="I30" i="9"/>
  <c r="H30" i="9"/>
  <c r="G30" i="9"/>
  <c r="E30" i="9"/>
  <c r="F30" i="9" s="1"/>
  <c r="A30" i="9"/>
  <c r="I29" i="9"/>
  <c r="H29" i="9"/>
  <c r="G29" i="9"/>
  <c r="E29" i="9"/>
  <c r="F29" i="9" s="1"/>
  <c r="B29" i="9"/>
  <c r="A29" i="9"/>
  <c r="I28" i="9"/>
  <c r="H28" i="9"/>
  <c r="G28" i="9"/>
  <c r="E28" i="9"/>
  <c r="F28" i="9" s="1"/>
  <c r="B28" i="9"/>
  <c r="A28" i="9"/>
  <c r="I27" i="9"/>
  <c r="H27" i="9"/>
  <c r="G27" i="9"/>
  <c r="E27" i="9"/>
  <c r="F27" i="9" s="1"/>
  <c r="B27" i="9"/>
  <c r="A27" i="9"/>
  <c r="I26" i="9"/>
  <c r="H26" i="9"/>
  <c r="G26" i="9"/>
  <c r="E26" i="9"/>
  <c r="F26" i="9" s="1"/>
  <c r="B26" i="9"/>
  <c r="A26" i="9"/>
  <c r="I25" i="9"/>
  <c r="H25" i="9"/>
  <c r="G25" i="9"/>
  <c r="E25" i="9"/>
  <c r="F25" i="9" s="1"/>
  <c r="B25" i="9"/>
  <c r="A25" i="9"/>
  <c r="I24" i="9"/>
  <c r="H24" i="9"/>
  <c r="G24" i="9"/>
  <c r="E24" i="9"/>
  <c r="F24" i="9" s="1"/>
  <c r="B24" i="9"/>
  <c r="A24" i="9"/>
  <c r="I23" i="9"/>
  <c r="H23" i="9"/>
  <c r="G23" i="9"/>
  <c r="E23" i="9"/>
  <c r="F23" i="9" s="1"/>
  <c r="B23" i="9"/>
  <c r="A23" i="9"/>
  <c r="I22" i="9"/>
  <c r="H22" i="9"/>
  <c r="G22" i="9"/>
  <c r="E22" i="9"/>
  <c r="F22" i="9" s="1"/>
  <c r="B22" i="9"/>
  <c r="A22" i="9"/>
  <c r="I21" i="9"/>
  <c r="H21" i="9"/>
  <c r="G21" i="9"/>
  <c r="E21" i="9"/>
  <c r="F21" i="9" s="1"/>
  <c r="B21" i="9"/>
  <c r="A21" i="9"/>
  <c r="I20" i="9"/>
  <c r="H20" i="9"/>
  <c r="G20" i="9"/>
  <c r="E20" i="9"/>
  <c r="F20" i="9" s="1"/>
  <c r="B20" i="9"/>
  <c r="A20" i="9"/>
  <c r="I19" i="9"/>
  <c r="H19" i="9"/>
  <c r="G19" i="9"/>
  <c r="E19" i="9"/>
  <c r="F19" i="9" s="1"/>
  <c r="B19" i="9"/>
  <c r="A19" i="9"/>
  <c r="I18" i="9"/>
  <c r="H18" i="9"/>
  <c r="G18" i="9"/>
  <c r="E18" i="9"/>
  <c r="F18" i="9" s="1"/>
  <c r="B18" i="9"/>
  <c r="A18" i="9"/>
  <c r="I17" i="9"/>
  <c r="H17" i="9"/>
  <c r="G17" i="9"/>
  <c r="E17" i="9"/>
  <c r="F17" i="9" s="1"/>
  <c r="B17" i="9"/>
  <c r="D17" i="9" s="1" a="1"/>
  <c r="A17" i="9"/>
  <c r="I16" i="9"/>
  <c r="H16" i="9"/>
  <c r="G16" i="9"/>
  <c r="E16" i="9"/>
  <c r="F16" i="9" s="1"/>
  <c r="B16" i="9"/>
  <c r="A16" i="9"/>
  <c r="I15" i="9"/>
  <c r="H15" i="9"/>
  <c r="G15" i="9"/>
  <c r="E15" i="9"/>
  <c r="F15" i="9" s="1"/>
  <c r="B15" i="9"/>
  <c r="A15" i="9"/>
  <c r="I14" i="9"/>
  <c r="H14" i="9"/>
  <c r="G14" i="9"/>
  <c r="E14" i="9"/>
  <c r="F14" i="9" s="1"/>
  <c r="B14" i="9"/>
  <c r="A14" i="9"/>
  <c r="I13" i="9"/>
  <c r="H13" i="9"/>
  <c r="G13" i="9"/>
  <c r="E13" i="9"/>
  <c r="F13" i="9" s="1"/>
  <c r="B13" i="9"/>
  <c r="A13" i="9"/>
  <c r="I12" i="9"/>
  <c r="H12" i="9"/>
  <c r="G12" i="9"/>
  <c r="E12" i="9"/>
  <c r="F12" i="9" s="1"/>
  <c r="B12" i="9"/>
  <c r="A12" i="9"/>
  <c r="I11" i="9"/>
  <c r="H11" i="9"/>
  <c r="G11" i="9"/>
  <c r="E11" i="9"/>
  <c r="F11" i="9" s="1"/>
  <c r="B11" i="9"/>
  <c r="A11" i="9"/>
  <c r="I10" i="9"/>
  <c r="H10" i="9"/>
  <c r="G10" i="9"/>
  <c r="E10" i="9"/>
  <c r="F10" i="9" s="1"/>
  <c r="B10" i="9"/>
  <c r="A10" i="9"/>
  <c r="I9" i="9"/>
  <c r="H9" i="9"/>
  <c r="G9" i="9"/>
  <c r="E9" i="9"/>
  <c r="F9" i="9" s="1"/>
  <c r="B9" i="9"/>
  <c r="A9" i="9"/>
  <c r="I8" i="9"/>
  <c r="H8" i="9"/>
  <c r="G8" i="9"/>
  <c r="E8" i="9"/>
  <c r="F8" i="9" s="1"/>
  <c r="B8" i="9"/>
  <c r="A8" i="9"/>
  <c r="I7" i="9"/>
  <c r="H7" i="9"/>
  <c r="G7" i="9"/>
  <c r="E7" i="9"/>
  <c r="F7" i="9" s="1"/>
  <c r="B7" i="9"/>
  <c r="A7" i="9"/>
  <c r="I6" i="9"/>
  <c r="H6" i="9"/>
  <c r="G6" i="9"/>
  <c r="E6" i="9"/>
  <c r="F6" i="9" s="1"/>
  <c r="B6" i="9"/>
  <c r="A6" i="9"/>
  <c r="I5" i="9"/>
  <c r="H5" i="9"/>
  <c r="G5" i="9"/>
  <c r="E5" i="9"/>
  <c r="F5" i="9" s="1"/>
  <c r="B5" i="9"/>
  <c r="A5" i="9"/>
  <c r="I4" i="9"/>
  <c r="H4" i="9"/>
  <c r="G4" i="9"/>
  <c r="E4" i="9"/>
  <c r="F4" i="9" s="1"/>
  <c r="B4" i="9"/>
  <c r="A4" i="9"/>
  <c r="I3" i="9"/>
  <c r="H3" i="9"/>
  <c r="G3" i="9"/>
  <c r="E3" i="9"/>
  <c r="F3" i="9" s="1"/>
  <c r="B3" i="9"/>
  <c r="A3" i="9"/>
  <c r="I2" i="9"/>
  <c r="H2" i="9"/>
  <c r="G2" i="9"/>
  <c r="E2" i="9"/>
  <c r="F2" i="9" s="1"/>
  <c r="B2" i="9"/>
  <c r="A2" i="9"/>
  <c r="F257" i="8" a="1"/>
  <c r="F256" i="8" a="1"/>
  <c r="F255" i="8" a="1"/>
  <c r="F254" i="8" a="1"/>
  <c r="F253" i="8" a="1"/>
  <c r="F252" i="8" a="1"/>
  <c r="F251" i="8" a="1"/>
  <c r="F250" i="8" a="1"/>
  <c r="F249" i="8" a="1"/>
  <c r="F248" i="8" a="1"/>
  <c r="F247" i="8" a="1"/>
  <c r="F246" i="8" a="1"/>
  <c r="F245" i="8" a="1"/>
  <c r="F244" i="8" a="1"/>
  <c r="F243" i="8" a="1"/>
  <c r="F242" i="8" a="1"/>
  <c r="F241" i="8" a="1"/>
  <c r="F240" i="8" a="1"/>
  <c r="F239" i="8" a="1"/>
  <c r="F238" i="8" a="1"/>
  <c r="F237" i="8" a="1"/>
  <c r="F236" i="8" a="1"/>
  <c r="F235" i="8" a="1"/>
  <c r="F234" i="8" a="1"/>
  <c r="F233" i="8" a="1"/>
  <c r="F232" i="8" a="1"/>
  <c r="F231" i="8" a="1"/>
  <c r="F230" i="8" a="1"/>
  <c r="F229" i="8" a="1"/>
  <c r="F228" i="8" a="1"/>
  <c r="F227" i="8" a="1"/>
  <c r="F226" i="8" a="1"/>
  <c r="F225" i="8" a="1"/>
  <c r="F224" i="8" a="1"/>
  <c r="F223" i="8" a="1"/>
  <c r="F222" i="8" a="1"/>
  <c r="F221" i="8" a="1"/>
  <c r="F220" i="8" a="1"/>
  <c r="F219" i="8" a="1"/>
  <c r="F218" i="8" a="1"/>
  <c r="F217" i="8" a="1"/>
  <c r="F216" i="8" a="1"/>
  <c r="F215" i="8" a="1"/>
  <c r="F214" i="8" a="1"/>
  <c r="F213" i="8" a="1"/>
  <c r="F212" i="8" a="1"/>
  <c r="F211" i="8" a="1"/>
  <c r="F210" i="8" a="1"/>
  <c r="F209" i="8" a="1"/>
  <c r="F208" i="8" a="1"/>
  <c r="F207" i="8" a="1"/>
  <c r="F206" i="8" a="1"/>
  <c r="F205" i="8" a="1"/>
  <c r="F204" i="8" a="1"/>
  <c r="F203" i="8" a="1"/>
  <c r="F202" i="8" a="1"/>
  <c r="F201" i="8" a="1"/>
  <c r="F200" i="8" a="1"/>
  <c r="F199" i="8" a="1"/>
  <c r="F198" i="8" a="1"/>
  <c r="F197" i="8" a="1"/>
  <c r="F196" i="8" a="1"/>
  <c r="F195" i="8" a="1"/>
  <c r="F194" i="8" a="1"/>
  <c r="F193" i="8" a="1"/>
  <c r="F192" i="8" a="1"/>
  <c r="F191" i="8" a="1"/>
  <c r="F190" i="8" a="1"/>
  <c r="F189" i="8" a="1"/>
  <c r="F188" i="8" a="1"/>
  <c r="F187" i="8" a="1"/>
  <c r="F186" i="8" a="1"/>
  <c r="F185" i="8" a="1"/>
  <c r="F184" i="8" a="1"/>
  <c r="F183" i="8" a="1"/>
  <c r="F182" i="8" a="1"/>
  <c r="F181" i="8" a="1"/>
  <c r="F180" i="8" a="1"/>
  <c r="F179" i="8" a="1"/>
  <c r="F178" i="8" a="1"/>
  <c r="F177" i="8" a="1"/>
  <c r="F176" i="8" a="1"/>
  <c r="F175" i="8" a="1"/>
  <c r="F174" i="8" a="1"/>
  <c r="F173" i="8" a="1"/>
  <c r="F172" i="8" a="1"/>
  <c r="F171" i="8" a="1"/>
  <c r="F170" i="8" a="1"/>
  <c r="F169" i="8" a="1"/>
  <c r="F168" i="8" a="1"/>
  <c r="F167" i="8" a="1"/>
  <c r="F166" i="8" a="1"/>
  <c r="F165" i="8" a="1"/>
  <c r="F164" i="8" a="1"/>
  <c r="F163" i="8" a="1"/>
  <c r="F162" i="8" a="1"/>
  <c r="F161" i="8" a="1"/>
  <c r="F160" i="8" a="1"/>
  <c r="F159" i="8" a="1"/>
  <c r="F158" i="8" a="1"/>
  <c r="F157" i="8" a="1"/>
  <c r="F156" i="8" a="1"/>
  <c r="F155" i="8" a="1"/>
  <c r="F154" i="8" a="1"/>
  <c r="F153" i="8" a="1"/>
  <c r="F152" i="8" a="1"/>
  <c r="F151" i="8" a="1"/>
  <c r="F150" i="8" a="1"/>
  <c r="F149" i="8" a="1"/>
  <c r="F148" i="8" a="1"/>
  <c r="F147" i="8" a="1"/>
  <c r="F146" i="8" a="1"/>
  <c r="F145" i="8" a="1"/>
  <c r="F144" i="8" a="1"/>
  <c r="F143" i="8" a="1"/>
  <c r="F142" i="8" a="1"/>
  <c r="F141" i="8" a="1"/>
  <c r="F140" i="8" a="1"/>
  <c r="F139" i="8" a="1"/>
  <c r="F138" i="8" a="1"/>
  <c r="F137" i="8" a="1"/>
  <c r="F136" i="8" a="1"/>
  <c r="F135" i="8" a="1"/>
  <c r="F134" i="8" a="1"/>
  <c r="F133" i="8" a="1"/>
  <c r="F132" i="8" a="1"/>
  <c r="F131" i="8" a="1"/>
  <c r="F130" i="8" a="1"/>
  <c r="F129" i="8" a="1"/>
  <c r="F128" i="8" a="1"/>
  <c r="F127" i="8" a="1"/>
  <c r="F126" i="8" a="1"/>
  <c r="F125" i="8" a="1"/>
  <c r="F124" i="8" a="1"/>
  <c r="F123" i="8" a="1"/>
  <c r="F122" i="8" a="1"/>
  <c r="F121" i="8" a="1"/>
  <c r="F120" i="8" a="1"/>
  <c r="F119" i="8" a="1"/>
  <c r="F118" i="8" a="1"/>
  <c r="F117" i="8" a="1"/>
  <c r="F116" i="8" a="1"/>
  <c r="F115" i="8" a="1"/>
  <c r="F114" i="8" a="1"/>
  <c r="F113" i="8" a="1"/>
  <c r="F112" i="8" a="1"/>
  <c r="F111" i="8" a="1"/>
  <c r="F110" i="8" a="1"/>
  <c r="F109" i="8" a="1"/>
  <c r="F108" i="8" a="1"/>
  <c r="F107" i="8" a="1"/>
  <c r="F106" i="8" a="1"/>
  <c r="F105" i="8" a="1"/>
  <c r="F104" i="8" a="1"/>
  <c r="F103" i="8" a="1"/>
  <c r="F102" i="8" a="1"/>
  <c r="F101" i="8" a="1"/>
  <c r="F100" i="8" a="1"/>
  <c r="F99" i="8" a="1"/>
  <c r="F98" i="8" a="1"/>
  <c r="F97" i="8" a="1"/>
  <c r="F96" i="8" a="1"/>
  <c r="F95" i="8" a="1"/>
  <c r="F94" i="8" a="1"/>
  <c r="F93" i="8" a="1"/>
  <c r="F92" i="8" a="1"/>
  <c r="F91" i="8" a="1"/>
  <c r="F90" i="8" a="1"/>
  <c r="F89" i="8" a="1"/>
  <c r="F88" i="8" a="1"/>
  <c r="F87" i="8" a="1"/>
  <c r="F86" i="8" a="1"/>
  <c r="F85" i="8" a="1"/>
  <c r="F84" i="8" a="1"/>
  <c r="F83" i="8" a="1"/>
  <c r="F82" i="8" a="1"/>
  <c r="F81" i="8" a="1"/>
  <c r="F80" i="8" a="1"/>
  <c r="F79" i="8" a="1"/>
  <c r="F78" i="8" a="1"/>
  <c r="F77" i="8" a="1"/>
  <c r="F76" i="8" a="1"/>
  <c r="F75" i="8" a="1"/>
  <c r="F74" i="8" a="1"/>
  <c r="F73" i="8" a="1"/>
  <c r="F72" i="8" a="1"/>
  <c r="F71" i="8" a="1"/>
  <c r="F70" i="8" a="1"/>
  <c r="F69" i="8" a="1"/>
  <c r="F68" i="8" a="1"/>
  <c r="F67" i="8" a="1"/>
  <c r="F66" i="8" a="1"/>
  <c r="F65" i="8" a="1"/>
  <c r="F64" i="8" a="1"/>
  <c r="F63" i="8" a="1"/>
  <c r="F62" i="8" a="1"/>
  <c r="F61" i="8" a="1"/>
  <c r="F60" i="8" a="1"/>
  <c r="F59" i="8" a="1"/>
  <c r="F58" i="8" a="1"/>
  <c r="F57" i="8" a="1"/>
  <c r="F56" i="8" a="1"/>
  <c r="F55" i="8" a="1"/>
  <c r="F54" i="8" a="1"/>
  <c r="F53" i="8" a="1"/>
  <c r="F52" i="8" a="1"/>
  <c r="F51" i="8" a="1"/>
  <c r="F50" i="8" a="1"/>
  <c r="F49" i="8" a="1"/>
  <c r="F48" i="8" a="1"/>
  <c r="F47" i="8" a="1"/>
  <c r="F46" i="8" a="1"/>
  <c r="F45" i="8" a="1"/>
  <c r="F44" i="8" a="1"/>
  <c r="F43" i="8" a="1"/>
  <c r="F42" i="8" a="1"/>
  <c r="F41" i="8" a="1"/>
  <c r="F40" i="8" a="1"/>
  <c r="F39" i="8" a="1"/>
  <c r="F38" i="8" a="1"/>
  <c r="F37" i="8" a="1"/>
  <c r="F36" i="8" a="1"/>
  <c r="F35" i="8" a="1"/>
  <c r="F34" i="8" a="1"/>
  <c r="F33" i="8" a="1"/>
  <c r="F32" i="8" a="1"/>
  <c r="F31" i="8" a="1"/>
  <c r="F30" i="8" a="1"/>
  <c r="F29" i="8" a="1"/>
  <c r="F28" i="8" a="1"/>
  <c r="F27" i="8" a="1"/>
  <c r="F26" i="8" a="1"/>
  <c r="F25" i="8" a="1"/>
  <c r="F24" i="8" a="1"/>
  <c r="F23" i="8" a="1"/>
  <c r="F22" i="8" a="1"/>
  <c r="F21" i="8" a="1"/>
  <c r="F20" i="8" a="1"/>
  <c r="F19" i="8" a="1"/>
  <c r="F18" i="8" a="1"/>
  <c r="F17" i="8" a="1"/>
  <c r="F16" i="8" a="1"/>
  <c r="F15" i="8" a="1"/>
  <c r="F14" i="8" a="1"/>
  <c r="F13" i="8" a="1"/>
  <c r="F12" i="8" a="1"/>
  <c r="F11" i="8" a="1"/>
  <c r="F10" i="8" a="1"/>
  <c r="F9" i="8" a="1"/>
  <c r="F8" i="8" a="1"/>
  <c r="F7" i="8" a="1"/>
  <c r="F6" i="8" a="1"/>
  <c r="F5" i="8" a="1"/>
  <c r="F4" i="8" a="1"/>
  <c r="F3" i="8" a="1"/>
  <c r="F2" i="8" a="1"/>
  <c r="G46" i="8" a="1"/>
  <c r="G45" i="8" a="1"/>
  <c r="G44" i="8" a="1"/>
  <c r="G43" i="8" a="1"/>
  <c r="G42" i="8" a="1"/>
  <c r="G41" i="8" a="1"/>
  <c r="G40" i="8" a="1"/>
  <c r="G39" i="8" a="1"/>
  <c r="G38" i="8" a="1"/>
  <c r="G37" i="8" a="1"/>
  <c r="G36" i="8" a="1"/>
  <c r="G35" i="8" a="1"/>
  <c r="G34" i="8" a="1"/>
  <c r="G33" i="8" a="1"/>
  <c r="G32" i="8" a="1"/>
  <c r="G31" i="8" a="1"/>
  <c r="G30" i="8" a="1"/>
  <c r="G29" i="8" a="1"/>
  <c r="G28" i="8" a="1"/>
  <c r="G27" i="8" a="1"/>
  <c r="G26" i="8" a="1"/>
  <c r="G25" i="8" a="1"/>
  <c r="G24" i="8" a="1"/>
  <c r="G23" i="8" a="1"/>
  <c r="G22" i="8" a="1"/>
  <c r="G21" i="8" a="1"/>
  <c r="G20" i="8" a="1"/>
  <c r="G19" i="8" a="1"/>
  <c r="G18" i="8" a="1"/>
  <c r="G17" i="8" a="1"/>
  <c r="G16" i="8" a="1"/>
  <c r="G15" i="8" a="1"/>
  <c r="G14" i="8" a="1"/>
  <c r="G13" i="8" a="1"/>
  <c r="G12" i="8" a="1"/>
  <c r="G11" i="8" a="1"/>
  <c r="G10" i="8" a="1"/>
  <c r="G9" i="8" a="1"/>
  <c r="G8" i="8" a="1"/>
  <c r="G7" i="8" a="1"/>
  <c r="G6" i="8" a="1"/>
  <c r="G5" i="8" a="1"/>
  <c r="G4" i="8" a="1"/>
  <c r="G3" i="8" a="1"/>
  <c r="G2" i="8" a="1"/>
  <c r="B177" i="8"/>
  <c r="H177" i="8"/>
  <c r="I177" i="8"/>
  <c r="J177" i="8"/>
  <c r="K177" i="8"/>
  <c r="L177" i="8"/>
  <c r="M177" i="8"/>
  <c r="N177" i="8"/>
  <c r="O177" i="8"/>
  <c r="P177" i="8"/>
  <c r="B112" i="8"/>
  <c r="D112" i="8"/>
  <c r="E112" i="8"/>
  <c r="H112" i="8"/>
  <c r="I112" i="8"/>
  <c r="J112" i="8"/>
  <c r="K112" i="8"/>
  <c r="L112" i="8"/>
  <c r="M112" i="8"/>
  <c r="N112" i="8"/>
  <c r="O112" i="8"/>
  <c r="P112" i="8"/>
  <c r="B111" i="8"/>
  <c r="D111" i="8"/>
  <c r="E111" i="8"/>
  <c r="H111" i="8"/>
  <c r="I111" i="8"/>
  <c r="J111" i="8"/>
  <c r="K111" i="8"/>
  <c r="L111" i="8"/>
  <c r="M111" i="8"/>
  <c r="N111" i="8"/>
  <c r="O111" i="8"/>
  <c r="R111" i="8" s="1"/>
  <c r="P111" i="8"/>
  <c r="Q111" i="8" s="1"/>
  <c r="B109" i="8"/>
  <c r="C109" i="8"/>
  <c r="D109" i="8"/>
  <c r="E109" i="8"/>
  <c r="H109" i="8"/>
  <c r="I109" i="8"/>
  <c r="J109" i="8"/>
  <c r="K109" i="8"/>
  <c r="L109" i="8"/>
  <c r="M109" i="8"/>
  <c r="N109" i="8"/>
  <c r="O109" i="8"/>
  <c r="P109" i="8"/>
  <c r="B107" i="8"/>
  <c r="C107" i="8"/>
  <c r="D107" i="8"/>
  <c r="E107" i="8"/>
  <c r="H107" i="8"/>
  <c r="I107" i="8"/>
  <c r="J107" i="8"/>
  <c r="K107" i="8"/>
  <c r="L107" i="8"/>
  <c r="M107" i="8"/>
  <c r="N107" i="8"/>
  <c r="O107" i="8"/>
  <c r="P107" i="8"/>
  <c r="B106" i="8"/>
  <c r="C106" i="8"/>
  <c r="D106" i="8"/>
  <c r="E106" i="8"/>
  <c r="H106" i="8"/>
  <c r="I106" i="8"/>
  <c r="J106" i="8"/>
  <c r="M106" i="8" s="1"/>
  <c r="K106" i="8"/>
  <c r="L106" i="8"/>
  <c r="N106" i="8"/>
  <c r="O106" i="8"/>
  <c r="P106" i="8"/>
  <c r="B105" i="8"/>
  <c r="C105" i="8"/>
  <c r="D105" i="8"/>
  <c r="E105" i="8"/>
  <c r="H105" i="8"/>
  <c r="I105" i="8"/>
  <c r="J105" i="8"/>
  <c r="K105" i="8"/>
  <c r="L105" i="8"/>
  <c r="M105" i="8"/>
  <c r="N105" i="8"/>
  <c r="O105" i="8"/>
  <c r="P105" i="8"/>
  <c r="E229" i="8"/>
  <c r="E228" i="8"/>
  <c r="E227" i="8"/>
  <c r="E226" i="8"/>
  <c r="E225" i="8"/>
  <c r="E223" i="8"/>
  <c r="E224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3" i="8"/>
  <c r="E204" i="8"/>
  <c r="E205" i="8"/>
  <c r="E206" i="8"/>
  <c r="E201" i="8"/>
  <c r="E202" i="8"/>
  <c r="E199" i="8"/>
  <c r="E200" i="8"/>
  <c r="E198" i="8"/>
  <c r="E197" i="8"/>
  <c r="E196" i="8"/>
  <c r="E195" i="8"/>
  <c r="E194" i="8"/>
  <c r="E193" i="8"/>
  <c r="E192" i="8"/>
  <c r="E190" i="8"/>
  <c r="E191" i="8"/>
  <c r="E189" i="8"/>
  <c r="E186" i="8"/>
  <c r="E187" i="8"/>
  <c r="E188" i="8"/>
  <c r="E185" i="8"/>
  <c r="E184" i="8"/>
  <c r="E183" i="8"/>
  <c r="E182" i="8"/>
  <c r="E181" i="8"/>
  <c r="E180" i="8"/>
  <c r="E179" i="8"/>
  <c r="E178" i="8"/>
  <c r="E117" i="8"/>
  <c r="E116" i="8"/>
  <c r="E115" i="8"/>
  <c r="E114" i="8"/>
  <c r="E113" i="8"/>
  <c r="E110" i="8"/>
  <c r="E108" i="8"/>
  <c r="E104" i="8"/>
  <c r="E102" i="8"/>
  <c r="E103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2" i="8"/>
  <c r="E83" i="8"/>
  <c r="E81" i="8"/>
  <c r="E79" i="8"/>
  <c r="E80" i="8"/>
  <c r="E76" i="8"/>
  <c r="E77" i="8"/>
  <c r="E78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6" i="8"/>
  <c r="E57" i="8"/>
  <c r="E55" i="8"/>
  <c r="E54" i="8"/>
  <c r="E53" i="8"/>
  <c r="E52" i="8"/>
  <c r="E51" i="8"/>
  <c r="E50" i="8"/>
  <c r="E49" i="8"/>
  <c r="E40" i="8"/>
  <c r="E41" i="8"/>
  <c r="E42" i="8"/>
  <c r="E43" i="8"/>
  <c r="E44" i="8"/>
  <c r="E45" i="8"/>
  <c r="E46" i="8"/>
  <c r="E47" i="8"/>
  <c r="E48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4" i="8"/>
  <c r="E15" i="8"/>
  <c r="E16" i="8"/>
  <c r="E5" i="8"/>
  <c r="E6" i="8"/>
  <c r="E7" i="8"/>
  <c r="E8" i="8"/>
  <c r="E9" i="8"/>
  <c r="E10" i="8"/>
  <c r="E11" i="8"/>
  <c r="E12" i="8"/>
  <c r="E13" i="8"/>
  <c r="E4" i="8"/>
  <c r="E3" i="8"/>
  <c r="E2" i="8"/>
  <c r="K208" i="8"/>
  <c r="K38" i="8"/>
  <c r="K91" i="8"/>
  <c r="K149" i="8"/>
  <c r="K56" i="8"/>
  <c r="K119" i="8"/>
  <c r="K84" i="8"/>
  <c r="K49" i="8"/>
  <c r="K5" i="8"/>
  <c r="K32" i="8"/>
  <c r="K140" i="8"/>
  <c r="K120" i="8"/>
  <c r="K82" i="8"/>
  <c r="K173" i="8"/>
  <c r="K181" i="8"/>
  <c r="K194" i="8"/>
  <c r="K23" i="8"/>
  <c r="K27" i="8"/>
  <c r="K18" i="8"/>
  <c r="K6" i="8"/>
  <c r="K52" i="8"/>
  <c r="K75" i="8"/>
  <c r="K215" i="8"/>
  <c r="K26" i="8"/>
  <c r="K100" i="8"/>
  <c r="K180" i="8"/>
  <c r="K30" i="8"/>
  <c r="K101" i="8"/>
  <c r="K176" i="8"/>
  <c r="K2" i="8"/>
  <c r="K57" i="8"/>
  <c r="K35" i="8"/>
  <c r="K92" i="8"/>
  <c r="K170" i="8"/>
  <c r="K96" i="8"/>
  <c r="K116" i="8"/>
  <c r="K171" i="8"/>
  <c r="K185" i="8"/>
  <c r="K90" i="8"/>
  <c r="K60" i="8"/>
  <c r="K67" i="8"/>
  <c r="K117" i="8"/>
  <c r="K29" i="8"/>
  <c r="K63" i="8"/>
  <c r="K37" i="8"/>
  <c r="K94" i="8"/>
  <c r="K174" i="8"/>
  <c r="K31" i="8"/>
  <c r="K85" i="8"/>
  <c r="K168" i="8"/>
  <c r="K54" i="8"/>
  <c r="K41" i="8"/>
  <c r="K137" i="8"/>
  <c r="K93" i="8"/>
  <c r="K221" i="8"/>
  <c r="K73" i="8"/>
  <c r="K222" i="8"/>
  <c r="K19" i="8"/>
  <c r="K71" i="8"/>
  <c r="K110" i="8"/>
  <c r="K87" i="8"/>
  <c r="K126" i="8"/>
  <c r="K34" i="8"/>
  <c r="K207" i="8"/>
  <c r="K141" i="8"/>
  <c r="K190" i="8"/>
  <c r="K203" i="8"/>
  <c r="K7" i="8"/>
  <c r="K204" i="8"/>
  <c r="K233" i="8"/>
  <c r="K118" i="8"/>
  <c r="K235" i="8"/>
  <c r="K234" i="8"/>
  <c r="K191" i="8"/>
  <c r="K22" i="8"/>
  <c r="K167" i="8"/>
  <c r="K79" i="8"/>
  <c r="K24" i="8"/>
  <c r="K8" i="8"/>
  <c r="K86" i="8"/>
  <c r="K148" i="8"/>
  <c r="K4" i="8"/>
  <c r="K244" i="8"/>
  <c r="K246" i="8"/>
  <c r="K247" i="8"/>
  <c r="K248" i="8"/>
  <c r="K64" i="8"/>
  <c r="K97" i="8"/>
  <c r="K61" i="8"/>
  <c r="K9" i="8"/>
  <c r="K142" i="8"/>
  <c r="K81" i="8"/>
  <c r="K128" i="8"/>
  <c r="K88" i="8"/>
  <c r="K42" i="8"/>
  <c r="K76" i="8"/>
  <c r="K172" i="8"/>
  <c r="K39" i="8"/>
  <c r="K186" i="8"/>
  <c r="K102" i="8"/>
  <c r="K239" i="8"/>
  <c r="K58" i="8"/>
  <c r="K146" i="8"/>
  <c r="K250" i="8"/>
  <c r="K132" i="8"/>
  <c r="K103" i="8"/>
  <c r="K147" i="8"/>
  <c r="K104" i="8"/>
  <c r="K138" i="8"/>
  <c r="K133" i="8"/>
  <c r="K14" i="8"/>
  <c r="K51" i="8"/>
  <c r="K62" i="8"/>
  <c r="K151" i="8"/>
  <c r="K199" i="8"/>
  <c r="K72" i="8"/>
  <c r="K80" i="8"/>
  <c r="K50" i="8"/>
  <c r="K33" i="8"/>
  <c r="K166" i="8"/>
  <c r="K70" i="8"/>
  <c r="K189" i="8"/>
  <c r="K43" i="8"/>
  <c r="K114" i="8"/>
  <c r="K127" i="8"/>
  <c r="K68" i="8"/>
  <c r="K83" i="8"/>
  <c r="K134" i="8"/>
  <c r="K20" i="8"/>
  <c r="K44" i="8"/>
  <c r="K162" i="8"/>
  <c r="K125" i="8"/>
  <c r="K115" i="8"/>
  <c r="K254" i="8"/>
  <c r="K143" i="8"/>
  <c r="K165" i="8"/>
  <c r="K121" i="8"/>
  <c r="K55" i="8"/>
  <c r="K122" i="8"/>
  <c r="K59" i="8"/>
  <c r="K15" i="8"/>
  <c r="K3" i="8"/>
  <c r="K193" i="8"/>
  <c r="K154" i="8"/>
  <c r="K65" i="8"/>
  <c r="K45" i="8"/>
  <c r="K16" i="8"/>
  <c r="K74" i="8"/>
  <c r="K135" i="8"/>
  <c r="K46" i="8"/>
  <c r="K220" i="8"/>
  <c r="K78" i="8"/>
  <c r="K197" i="8"/>
  <c r="K179" i="8"/>
  <c r="K200" i="8"/>
  <c r="K242" i="8"/>
  <c r="K163" i="8"/>
  <c r="K10" i="8"/>
  <c r="K77" i="8"/>
  <c r="K98" i="8"/>
  <c r="K253" i="8"/>
  <c r="K17" i="8"/>
  <c r="K136" i="8"/>
  <c r="K95" i="8"/>
  <c r="K195" i="8"/>
  <c r="K99" i="8"/>
  <c r="K28" i="8"/>
  <c r="K223" i="8"/>
  <c r="K108" i="8"/>
  <c r="K159" i="8"/>
  <c r="K227" i="8"/>
  <c r="K69" i="8"/>
  <c r="K144" i="8"/>
  <c r="K192" i="8"/>
  <c r="K257" i="8"/>
  <c r="K139" i="8"/>
  <c r="K129" i="8"/>
  <c r="K169" i="8"/>
  <c r="K157" i="8"/>
  <c r="K212" i="8"/>
  <c r="K178" i="8"/>
  <c r="K229" i="8"/>
  <c r="K182" i="8"/>
  <c r="K66" i="8"/>
  <c r="K196" i="8"/>
  <c r="K158" i="8"/>
  <c r="K201" i="8"/>
  <c r="K238" i="8"/>
  <c r="K213" i="8"/>
  <c r="K251" i="8"/>
  <c r="K131" i="8"/>
  <c r="K198" i="8"/>
  <c r="K11" i="8"/>
  <c r="K89" i="8"/>
  <c r="K152" i="8"/>
  <c r="K187" i="8"/>
  <c r="K216" i="8"/>
  <c r="K224" i="8"/>
  <c r="K202" i="8"/>
  <c r="K40" i="8"/>
  <c r="K175" i="8"/>
  <c r="K48" i="8"/>
  <c r="K47" i="8"/>
  <c r="K155" i="8"/>
  <c r="K219" i="8"/>
  <c r="K240" i="8"/>
  <c r="K241" i="8"/>
  <c r="K161" i="8"/>
  <c r="K205" i="8"/>
  <c r="K145" i="8"/>
  <c r="K217" i="8"/>
  <c r="K130" i="8"/>
  <c r="K232" i="8"/>
  <c r="K211" i="8"/>
  <c r="K12" i="8"/>
  <c r="K230" i="8"/>
  <c r="K153" i="8"/>
  <c r="K25" i="8"/>
  <c r="K53" i="8"/>
  <c r="K36" i="8"/>
  <c r="K237" i="8"/>
  <c r="K164" i="8"/>
  <c r="K150" i="8"/>
  <c r="K113" i="8"/>
  <c r="K256" i="8"/>
  <c r="K245" i="8"/>
  <c r="K236" i="8"/>
  <c r="K243" i="8"/>
  <c r="K228" i="8"/>
  <c r="K188" i="8"/>
  <c r="K13" i="8"/>
  <c r="K210" i="8"/>
  <c r="K218" i="8"/>
  <c r="K249" i="8"/>
  <c r="K123" i="8"/>
  <c r="K160" i="8"/>
  <c r="K209" i="8"/>
  <c r="K255" i="8"/>
  <c r="K124" i="8"/>
  <c r="K184" i="8"/>
  <c r="K156" i="8"/>
  <c r="K206" i="8"/>
  <c r="K252" i="8"/>
  <c r="K231" i="8"/>
  <c r="K225" i="8"/>
  <c r="K183" i="8"/>
  <c r="K226" i="8"/>
  <c r="K214" i="8"/>
  <c r="K21" i="8"/>
  <c r="N286" i="8"/>
  <c r="M286" i="8"/>
  <c r="N285" i="8"/>
  <c r="M285" i="8"/>
  <c r="N284" i="8"/>
  <c r="M284" i="8"/>
  <c r="N283" i="8"/>
  <c r="M283" i="8"/>
  <c r="N282" i="8"/>
  <c r="M282" i="8"/>
  <c r="N281" i="8"/>
  <c r="M281" i="8"/>
  <c r="N280" i="8"/>
  <c r="M280" i="8"/>
  <c r="N279" i="8"/>
  <c r="M279" i="8"/>
  <c r="N278" i="8"/>
  <c r="M278" i="8"/>
  <c r="N277" i="8"/>
  <c r="M277" i="8"/>
  <c r="N276" i="8"/>
  <c r="M276" i="8"/>
  <c r="N275" i="8"/>
  <c r="M275" i="8"/>
  <c r="N274" i="8"/>
  <c r="M274" i="8"/>
  <c r="N273" i="8"/>
  <c r="M273" i="8"/>
  <c r="N272" i="8"/>
  <c r="M272" i="8"/>
  <c r="N271" i="8"/>
  <c r="M271" i="8"/>
  <c r="N270" i="8"/>
  <c r="M270" i="8"/>
  <c r="N269" i="8"/>
  <c r="M269" i="8"/>
  <c r="N268" i="8"/>
  <c r="M268" i="8"/>
  <c r="N267" i="8"/>
  <c r="M267" i="8"/>
  <c r="N266" i="8"/>
  <c r="M266" i="8"/>
  <c r="N265" i="8"/>
  <c r="M265" i="8"/>
  <c r="N264" i="8"/>
  <c r="M264" i="8"/>
  <c r="L257" i="8"/>
  <c r="J257" i="8"/>
  <c r="H257" i="8"/>
  <c r="B257" i="8"/>
  <c r="G257" i="8" s="1" a="1"/>
  <c r="A257" i="8"/>
  <c r="L256" i="8"/>
  <c r="J256" i="8"/>
  <c r="H256" i="8"/>
  <c r="B256" i="8"/>
  <c r="G256" i="8" s="1" a="1"/>
  <c r="A256" i="8"/>
  <c r="L255" i="8"/>
  <c r="J255" i="8"/>
  <c r="H255" i="8"/>
  <c r="B255" i="8"/>
  <c r="G255" i="8" s="1" a="1"/>
  <c r="A255" i="8"/>
  <c r="L254" i="8"/>
  <c r="J254" i="8"/>
  <c r="H254" i="8"/>
  <c r="B254" i="8"/>
  <c r="G254" i="8" s="1" a="1"/>
  <c r="A254" i="8"/>
  <c r="L253" i="8"/>
  <c r="J253" i="8"/>
  <c r="H253" i="8"/>
  <c r="B253" i="8"/>
  <c r="G253" i="8" s="1" a="1"/>
  <c r="A253" i="8"/>
  <c r="L252" i="8"/>
  <c r="J252" i="8"/>
  <c r="H252" i="8"/>
  <c r="B252" i="8"/>
  <c r="G252" i="8" s="1" a="1"/>
  <c r="A252" i="8"/>
  <c r="L251" i="8"/>
  <c r="J251" i="8"/>
  <c r="H251" i="8"/>
  <c r="B251" i="8"/>
  <c r="G251" i="8" s="1" a="1"/>
  <c r="A251" i="8"/>
  <c r="L250" i="8"/>
  <c r="J250" i="8"/>
  <c r="H250" i="8"/>
  <c r="B250" i="8"/>
  <c r="G250" i="8" s="1" a="1"/>
  <c r="A250" i="8"/>
  <c r="L249" i="8"/>
  <c r="J249" i="8"/>
  <c r="H249" i="8"/>
  <c r="B249" i="8"/>
  <c r="G249" i="8" s="1" a="1"/>
  <c r="A249" i="8"/>
  <c r="L248" i="8"/>
  <c r="J248" i="8"/>
  <c r="H248" i="8"/>
  <c r="B248" i="8"/>
  <c r="G248" i="8" s="1" a="1"/>
  <c r="A248" i="8"/>
  <c r="L247" i="8"/>
  <c r="J247" i="8"/>
  <c r="H247" i="8"/>
  <c r="B247" i="8"/>
  <c r="G247" i="8" s="1" a="1"/>
  <c r="A247" i="8"/>
  <c r="L246" i="8"/>
  <c r="J246" i="8"/>
  <c r="H246" i="8"/>
  <c r="B246" i="8"/>
  <c r="G246" i="8" s="1" a="1"/>
  <c r="A246" i="8"/>
  <c r="L245" i="8"/>
  <c r="J245" i="8"/>
  <c r="H245" i="8"/>
  <c r="B245" i="8"/>
  <c r="G245" i="8" s="1" a="1"/>
  <c r="A245" i="8"/>
  <c r="L244" i="8"/>
  <c r="J244" i="8"/>
  <c r="H244" i="8"/>
  <c r="B244" i="8"/>
  <c r="G244" i="8" s="1" a="1"/>
  <c r="A244" i="8"/>
  <c r="L243" i="8"/>
  <c r="J243" i="8"/>
  <c r="H243" i="8"/>
  <c r="B243" i="8"/>
  <c r="G243" i="8" s="1" a="1"/>
  <c r="A243" i="8"/>
  <c r="L242" i="8"/>
  <c r="J242" i="8"/>
  <c r="H242" i="8"/>
  <c r="B242" i="8"/>
  <c r="G242" i="8" s="1" a="1"/>
  <c r="A242" i="8"/>
  <c r="L241" i="8"/>
  <c r="J241" i="8"/>
  <c r="H241" i="8"/>
  <c r="B241" i="8"/>
  <c r="G241" i="8" s="1" a="1"/>
  <c r="A241" i="8"/>
  <c r="L240" i="8"/>
  <c r="J240" i="8"/>
  <c r="H240" i="8"/>
  <c r="B240" i="8"/>
  <c r="G240" i="8" s="1" a="1"/>
  <c r="A240" i="8"/>
  <c r="L239" i="8"/>
  <c r="J239" i="8"/>
  <c r="H239" i="8"/>
  <c r="B239" i="8"/>
  <c r="G239" i="8" s="1" a="1"/>
  <c r="A239" i="8"/>
  <c r="L238" i="8"/>
  <c r="J238" i="8"/>
  <c r="H238" i="8"/>
  <c r="B238" i="8"/>
  <c r="G238" i="8" s="1" a="1"/>
  <c r="A238" i="8"/>
  <c r="L237" i="8"/>
  <c r="J237" i="8"/>
  <c r="H237" i="8"/>
  <c r="B237" i="8"/>
  <c r="G237" i="8" s="1" a="1"/>
  <c r="A237" i="8"/>
  <c r="L236" i="8"/>
  <c r="J236" i="8"/>
  <c r="H236" i="8"/>
  <c r="B236" i="8"/>
  <c r="G236" i="8" s="1" a="1"/>
  <c r="A236" i="8"/>
  <c r="L235" i="8"/>
  <c r="J235" i="8"/>
  <c r="H235" i="8"/>
  <c r="B235" i="8"/>
  <c r="G235" i="8" s="1" a="1"/>
  <c r="A235" i="8"/>
  <c r="L234" i="8"/>
  <c r="J234" i="8"/>
  <c r="H234" i="8"/>
  <c r="B234" i="8"/>
  <c r="G234" i="8" s="1" a="1"/>
  <c r="A234" i="8"/>
  <c r="L233" i="8"/>
  <c r="J233" i="8"/>
  <c r="H233" i="8"/>
  <c r="B233" i="8"/>
  <c r="G233" i="8" s="1" a="1"/>
  <c r="A233" i="8"/>
  <c r="L232" i="8"/>
  <c r="J232" i="8"/>
  <c r="H232" i="8"/>
  <c r="B232" i="8"/>
  <c r="G232" i="8" s="1" a="1"/>
  <c r="A232" i="8"/>
  <c r="L231" i="8"/>
  <c r="J231" i="8"/>
  <c r="H231" i="8"/>
  <c r="G231" i="8" s="1" a="1"/>
  <c r="B231" i="8"/>
  <c r="A231" i="8"/>
  <c r="L230" i="8"/>
  <c r="J230" i="8"/>
  <c r="H230" i="8"/>
  <c r="B230" i="8"/>
  <c r="G230" i="8" s="1" a="1"/>
  <c r="A230" i="8"/>
  <c r="L229" i="8"/>
  <c r="J229" i="8"/>
  <c r="H229" i="8"/>
  <c r="B229" i="8"/>
  <c r="A229" i="8"/>
  <c r="L228" i="8"/>
  <c r="J228" i="8"/>
  <c r="H228" i="8"/>
  <c r="B228" i="8"/>
  <c r="A228" i="8"/>
  <c r="L227" i="8"/>
  <c r="J227" i="8"/>
  <c r="H227" i="8"/>
  <c r="B227" i="8"/>
  <c r="A227" i="8"/>
  <c r="L226" i="8"/>
  <c r="J226" i="8"/>
  <c r="H226" i="8"/>
  <c r="B226" i="8"/>
  <c r="A226" i="8"/>
  <c r="L225" i="8"/>
  <c r="J225" i="8"/>
  <c r="H225" i="8"/>
  <c r="B225" i="8"/>
  <c r="A225" i="8"/>
  <c r="L224" i="8"/>
  <c r="J224" i="8"/>
  <c r="H224" i="8"/>
  <c r="B224" i="8"/>
  <c r="A224" i="8"/>
  <c r="L223" i="8"/>
  <c r="J223" i="8"/>
  <c r="H223" i="8"/>
  <c r="B223" i="8"/>
  <c r="A223" i="8"/>
  <c r="L222" i="8"/>
  <c r="J222" i="8"/>
  <c r="H222" i="8"/>
  <c r="B222" i="8"/>
  <c r="A222" i="8"/>
  <c r="L221" i="8"/>
  <c r="J221" i="8"/>
  <c r="H221" i="8"/>
  <c r="B221" i="8"/>
  <c r="G221" i="8" s="1" a="1"/>
  <c r="A221" i="8"/>
  <c r="L220" i="8"/>
  <c r="J220" i="8"/>
  <c r="H220" i="8"/>
  <c r="B220" i="8"/>
  <c r="G220" i="8" s="1" a="1"/>
  <c r="A220" i="8"/>
  <c r="L219" i="8"/>
  <c r="J219" i="8"/>
  <c r="H219" i="8"/>
  <c r="B219" i="8"/>
  <c r="G219" i="8" s="1" a="1"/>
  <c r="A219" i="8"/>
  <c r="L218" i="8"/>
  <c r="J218" i="8"/>
  <c r="H218" i="8"/>
  <c r="B218" i="8"/>
  <c r="G218" i="8" s="1" a="1"/>
  <c r="A218" i="8"/>
  <c r="L217" i="8"/>
  <c r="J217" i="8"/>
  <c r="H217" i="8"/>
  <c r="B217" i="8"/>
  <c r="G217" i="8" s="1" a="1"/>
  <c r="A217" i="8"/>
  <c r="L216" i="8"/>
  <c r="J216" i="8"/>
  <c r="H216" i="8"/>
  <c r="I216" i="8" s="1"/>
  <c r="B216" i="8"/>
  <c r="G216" i="8" s="1" a="1"/>
  <c r="A216" i="8"/>
  <c r="L215" i="8"/>
  <c r="J215" i="8"/>
  <c r="H215" i="8"/>
  <c r="I215" i="8" s="1"/>
  <c r="B215" i="8"/>
  <c r="G215" i="8" s="1" a="1"/>
  <c r="A215" i="8"/>
  <c r="L214" i="8"/>
  <c r="J214" i="8"/>
  <c r="H214" i="8"/>
  <c r="I214" i="8" s="1"/>
  <c r="B214" i="8"/>
  <c r="G214" i="8" s="1" a="1"/>
  <c r="A214" i="8"/>
  <c r="L213" i="8"/>
  <c r="J213" i="8"/>
  <c r="H213" i="8"/>
  <c r="I213" i="8" s="1"/>
  <c r="B213" i="8"/>
  <c r="G213" i="8" s="1" a="1"/>
  <c r="A213" i="8"/>
  <c r="L212" i="8"/>
  <c r="J212" i="8"/>
  <c r="H212" i="8"/>
  <c r="I212" i="8" s="1"/>
  <c r="B212" i="8"/>
  <c r="G212" i="8" s="1" a="1"/>
  <c r="A212" i="8"/>
  <c r="L211" i="8"/>
  <c r="J211" i="8"/>
  <c r="H211" i="8"/>
  <c r="I211" i="8" s="1"/>
  <c r="B211" i="8"/>
  <c r="G211" i="8" s="1" a="1"/>
  <c r="A211" i="8"/>
  <c r="L210" i="8"/>
  <c r="J210" i="8"/>
  <c r="H210" i="8"/>
  <c r="I210" i="8" s="1"/>
  <c r="B210" i="8"/>
  <c r="G210" i="8" s="1" a="1"/>
  <c r="A210" i="8"/>
  <c r="L209" i="8"/>
  <c r="J209" i="8"/>
  <c r="H209" i="8"/>
  <c r="I209" i="8" s="1"/>
  <c r="B209" i="8"/>
  <c r="G209" i="8" s="1" a="1"/>
  <c r="A209" i="8"/>
  <c r="L208" i="8"/>
  <c r="J208" i="8"/>
  <c r="H208" i="8"/>
  <c r="I208" i="8" s="1"/>
  <c r="B208" i="8"/>
  <c r="G208" i="8" s="1" a="1"/>
  <c r="A208" i="8"/>
  <c r="L207" i="8"/>
  <c r="J207" i="8"/>
  <c r="H207" i="8"/>
  <c r="I207" i="8" s="1"/>
  <c r="B207" i="8"/>
  <c r="G207" i="8" s="1" a="1"/>
  <c r="A207" i="8"/>
  <c r="L206" i="8"/>
  <c r="J206" i="8"/>
  <c r="H206" i="8"/>
  <c r="I206" i="8" s="1"/>
  <c r="B206" i="8"/>
  <c r="G206" i="8" s="1" a="1"/>
  <c r="A206" i="8"/>
  <c r="L205" i="8"/>
  <c r="J205" i="8"/>
  <c r="H205" i="8"/>
  <c r="I205" i="8" s="1"/>
  <c r="B205" i="8"/>
  <c r="G205" i="8" s="1" a="1"/>
  <c r="A205" i="8"/>
  <c r="L204" i="8"/>
  <c r="J204" i="8"/>
  <c r="H204" i="8"/>
  <c r="I204" i="8" s="1"/>
  <c r="B204" i="8"/>
  <c r="G204" i="8" s="1" a="1"/>
  <c r="A204" i="8"/>
  <c r="L203" i="8"/>
  <c r="J203" i="8"/>
  <c r="H203" i="8"/>
  <c r="I203" i="8" s="1"/>
  <c r="B203" i="8"/>
  <c r="G203" i="8" s="1" a="1"/>
  <c r="A203" i="8"/>
  <c r="L202" i="8"/>
  <c r="J202" i="8"/>
  <c r="H202" i="8"/>
  <c r="I202" i="8" s="1"/>
  <c r="B202" i="8"/>
  <c r="G202" i="8" s="1" a="1"/>
  <c r="A202" i="8"/>
  <c r="L201" i="8"/>
  <c r="J201" i="8"/>
  <c r="H201" i="8"/>
  <c r="I201" i="8" s="1"/>
  <c r="B201" i="8"/>
  <c r="G201" i="8" s="1" a="1"/>
  <c r="A201" i="8"/>
  <c r="L200" i="8"/>
  <c r="J200" i="8"/>
  <c r="H200" i="8"/>
  <c r="I200" i="8" s="1"/>
  <c r="B200" i="8"/>
  <c r="G200" i="8" s="1" a="1"/>
  <c r="A200" i="8"/>
  <c r="L199" i="8"/>
  <c r="J199" i="8"/>
  <c r="H199" i="8"/>
  <c r="I199" i="8" s="1"/>
  <c r="B199" i="8"/>
  <c r="G199" i="8" s="1" a="1"/>
  <c r="A199" i="8"/>
  <c r="L198" i="8"/>
  <c r="J198" i="8"/>
  <c r="H198" i="8"/>
  <c r="I198" i="8" s="1"/>
  <c r="B198" i="8"/>
  <c r="G198" i="8" s="1" a="1"/>
  <c r="A198" i="8"/>
  <c r="L197" i="8"/>
  <c r="J197" i="8"/>
  <c r="H197" i="8"/>
  <c r="I197" i="8" s="1"/>
  <c r="B197" i="8"/>
  <c r="G197" i="8" s="1" a="1"/>
  <c r="A197" i="8"/>
  <c r="L196" i="8"/>
  <c r="J196" i="8"/>
  <c r="H196" i="8"/>
  <c r="I196" i="8" s="1"/>
  <c r="B196" i="8"/>
  <c r="G196" i="8" s="1" a="1"/>
  <c r="A196" i="8"/>
  <c r="L195" i="8"/>
  <c r="J195" i="8"/>
  <c r="H195" i="8"/>
  <c r="I195" i="8" s="1"/>
  <c r="B195" i="8"/>
  <c r="G195" i="8" s="1" a="1"/>
  <c r="A195" i="8"/>
  <c r="L194" i="8"/>
  <c r="J194" i="8"/>
  <c r="H194" i="8"/>
  <c r="I194" i="8" s="1"/>
  <c r="B194" i="8"/>
  <c r="G194" i="8" s="1" a="1"/>
  <c r="A194" i="8"/>
  <c r="L193" i="8"/>
  <c r="J193" i="8"/>
  <c r="H193" i="8"/>
  <c r="I193" i="8" s="1"/>
  <c r="B193" i="8"/>
  <c r="G193" i="8" s="1" a="1"/>
  <c r="A193" i="8"/>
  <c r="L192" i="8"/>
  <c r="J192" i="8"/>
  <c r="H192" i="8"/>
  <c r="I192" i="8" s="1"/>
  <c r="B192" i="8"/>
  <c r="G192" i="8" s="1" a="1"/>
  <c r="A192" i="8"/>
  <c r="L191" i="8"/>
  <c r="J191" i="8"/>
  <c r="H191" i="8"/>
  <c r="I191" i="8" s="1"/>
  <c r="B191" i="8"/>
  <c r="G191" i="8" s="1" a="1"/>
  <c r="A191" i="8"/>
  <c r="L190" i="8"/>
  <c r="J190" i="8"/>
  <c r="H190" i="8"/>
  <c r="I190" i="8" s="1"/>
  <c r="B190" i="8"/>
  <c r="G190" i="8" s="1" a="1"/>
  <c r="A190" i="8"/>
  <c r="L189" i="8"/>
  <c r="J189" i="8"/>
  <c r="H189" i="8"/>
  <c r="I189" i="8" s="1"/>
  <c r="B189" i="8"/>
  <c r="G189" i="8" s="1" a="1"/>
  <c r="A189" i="8"/>
  <c r="L188" i="8"/>
  <c r="J188" i="8"/>
  <c r="H188" i="8"/>
  <c r="I188" i="8" s="1"/>
  <c r="B188" i="8"/>
  <c r="G188" i="8" s="1" a="1"/>
  <c r="A188" i="8"/>
  <c r="L187" i="8"/>
  <c r="J187" i="8"/>
  <c r="H187" i="8"/>
  <c r="I187" i="8" s="1"/>
  <c r="B187" i="8"/>
  <c r="G187" i="8" s="1" a="1"/>
  <c r="A187" i="8"/>
  <c r="L186" i="8"/>
  <c r="J186" i="8"/>
  <c r="H186" i="8"/>
  <c r="I186" i="8" s="1"/>
  <c r="B186" i="8"/>
  <c r="G186" i="8" s="1" a="1"/>
  <c r="A186" i="8"/>
  <c r="L185" i="8"/>
  <c r="J185" i="8"/>
  <c r="H185" i="8"/>
  <c r="I185" i="8" s="1"/>
  <c r="B185" i="8"/>
  <c r="G185" i="8" s="1" a="1"/>
  <c r="A185" i="8"/>
  <c r="L184" i="8"/>
  <c r="J184" i="8"/>
  <c r="H184" i="8"/>
  <c r="I184" i="8" s="1"/>
  <c r="B184" i="8"/>
  <c r="G184" i="8" s="1" a="1"/>
  <c r="A184" i="8"/>
  <c r="L183" i="8"/>
  <c r="J183" i="8"/>
  <c r="H183" i="8"/>
  <c r="I183" i="8" s="1"/>
  <c r="B183" i="8"/>
  <c r="G183" i="8" s="1" a="1"/>
  <c r="A183" i="8"/>
  <c r="L182" i="8"/>
  <c r="J182" i="8"/>
  <c r="H182" i="8"/>
  <c r="I182" i="8" s="1"/>
  <c r="B182" i="8"/>
  <c r="G182" i="8" s="1" a="1"/>
  <c r="A182" i="8"/>
  <c r="L181" i="8"/>
  <c r="J181" i="8"/>
  <c r="H181" i="8"/>
  <c r="I181" i="8" s="1"/>
  <c r="B181" i="8"/>
  <c r="G181" i="8" s="1" a="1"/>
  <c r="A181" i="8"/>
  <c r="L180" i="8"/>
  <c r="J180" i="8"/>
  <c r="H180" i="8"/>
  <c r="I180" i="8" s="1"/>
  <c r="B180" i="8"/>
  <c r="G180" i="8" s="1" a="1"/>
  <c r="A180" i="8"/>
  <c r="L179" i="8"/>
  <c r="J179" i="8"/>
  <c r="H179" i="8"/>
  <c r="I179" i="8" s="1"/>
  <c r="B179" i="8"/>
  <c r="G179" i="8" s="1" a="1"/>
  <c r="A179" i="8"/>
  <c r="L178" i="8"/>
  <c r="J178" i="8"/>
  <c r="H178" i="8"/>
  <c r="I178" i="8" s="1"/>
  <c r="B178" i="8"/>
  <c r="G178" i="8" s="1" a="1"/>
  <c r="A178" i="8"/>
  <c r="A177" i="8"/>
  <c r="L176" i="8"/>
  <c r="J176" i="8"/>
  <c r="H176" i="8"/>
  <c r="I176" i="8" s="1"/>
  <c r="B176" i="8"/>
  <c r="A176" i="8"/>
  <c r="L175" i="8"/>
  <c r="J175" i="8"/>
  <c r="H175" i="8"/>
  <c r="I175" i="8" s="1"/>
  <c r="B175" i="8"/>
  <c r="A175" i="8"/>
  <c r="L174" i="8"/>
  <c r="J174" i="8"/>
  <c r="H174" i="8"/>
  <c r="I174" i="8" s="1"/>
  <c r="B174" i="8"/>
  <c r="A174" i="8"/>
  <c r="L173" i="8"/>
  <c r="J173" i="8"/>
  <c r="H173" i="8"/>
  <c r="I173" i="8" s="1"/>
  <c r="B173" i="8"/>
  <c r="A173" i="8"/>
  <c r="L172" i="8"/>
  <c r="J172" i="8"/>
  <c r="H172" i="8"/>
  <c r="I172" i="8" s="1"/>
  <c r="B172" i="8"/>
  <c r="A172" i="8"/>
  <c r="L171" i="8"/>
  <c r="J171" i="8"/>
  <c r="H171" i="8"/>
  <c r="I171" i="8" s="1"/>
  <c r="B171" i="8"/>
  <c r="A171" i="8"/>
  <c r="L170" i="8"/>
  <c r="J170" i="8"/>
  <c r="H170" i="8"/>
  <c r="I170" i="8" s="1"/>
  <c r="B170" i="8"/>
  <c r="A170" i="8"/>
  <c r="L169" i="8"/>
  <c r="J169" i="8"/>
  <c r="H169" i="8"/>
  <c r="I169" i="8" s="1"/>
  <c r="B169" i="8"/>
  <c r="A169" i="8"/>
  <c r="L168" i="8"/>
  <c r="J168" i="8"/>
  <c r="H168" i="8"/>
  <c r="I168" i="8" s="1"/>
  <c r="B168" i="8"/>
  <c r="A168" i="8"/>
  <c r="L167" i="8"/>
  <c r="J167" i="8"/>
  <c r="H167" i="8"/>
  <c r="I167" i="8" s="1"/>
  <c r="B167" i="8"/>
  <c r="A167" i="8"/>
  <c r="L166" i="8"/>
  <c r="J166" i="8"/>
  <c r="H166" i="8"/>
  <c r="I166" i="8" s="1"/>
  <c r="B166" i="8"/>
  <c r="A166" i="8"/>
  <c r="L165" i="8"/>
  <c r="J165" i="8"/>
  <c r="H165" i="8"/>
  <c r="I165" i="8" s="1"/>
  <c r="B165" i="8"/>
  <c r="A165" i="8"/>
  <c r="L164" i="8"/>
  <c r="J164" i="8"/>
  <c r="H164" i="8"/>
  <c r="I164" i="8" s="1"/>
  <c r="B164" i="8"/>
  <c r="A164" i="8"/>
  <c r="L163" i="8"/>
  <c r="J163" i="8"/>
  <c r="H163" i="8"/>
  <c r="I163" i="8" s="1"/>
  <c r="B163" i="8"/>
  <c r="A163" i="8"/>
  <c r="L162" i="8"/>
  <c r="J162" i="8"/>
  <c r="H162" i="8"/>
  <c r="I162" i="8" s="1"/>
  <c r="B162" i="8"/>
  <c r="A162" i="8"/>
  <c r="L161" i="8"/>
  <c r="J161" i="8"/>
  <c r="H161" i="8"/>
  <c r="I161" i="8" s="1"/>
  <c r="B161" i="8"/>
  <c r="A161" i="8"/>
  <c r="L160" i="8"/>
  <c r="J160" i="8"/>
  <c r="P160" i="8" s="1"/>
  <c r="H160" i="8"/>
  <c r="I160" i="8" s="1"/>
  <c r="B160" i="8"/>
  <c r="A160" i="8"/>
  <c r="L159" i="8"/>
  <c r="J159" i="8"/>
  <c r="H159" i="8"/>
  <c r="I159" i="8" s="1"/>
  <c r="B159" i="8"/>
  <c r="A159" i="8"/>
  <c r="L158" i="8"/>
  <c r="J158" i="8"/>
  <c r="H158" i="8"/>
  <c r="I158" i="8" s="1"/>
  <c r="B158" i="8"/>
  <c r="A158" i="8"/>
  <c r="L157" i="8"/>
  <c r="J157" i="8"/>
  <c r="H157" i="8"/>
  <c r="I157" i="8" s="1"/>
  <c r="B157" i="8"/>
  <c r="A157" i="8"/>
  <c r="L156" i="8"/>
  <c r="J156" i="8"/>
  <c r="H156" i="8"/>
  <c r="I156" i="8" s="1"/>
  <c r="B156" i="8"/>
  <c r="A156" i="8"/>
  <c r="L155" i="8"/>
  <c r="J155" i="8"/>
  <c r="H155" i="8"/>
  <c r="I155" i="8" s="1"/>
  <c r="B155" i="8"/>
  <c r="A155" i="8"/>
  <c r="L154" i="8"/>
  <c r="J154" i="8"/>
  <c r="H154" i="8"/>
  <c r="I154" i="8" s="1"/>
  <c r="B154" i="8"/>
  <c r="A154" i="8"/>
  <c r="L153" i="8"/>
  <c r="J153" i="8"/>
  <c r="H153" i="8"/>
  <c r="I153" i="8" s="1"/>
  <c r="B153" i="8"/>
  <c r="A153" i="8"/>
  <c r="L152" i="8"/>
  <c r="J152" i="8"/>
  <c r="H152" i="8"/>
  <c r="I152" i="8" s="1"/>
  <c r="B152" i="8"/>
  <c r="A152" i="8"/>
  <c r="L151" i="8"/>
  <c r="J151" i="8"/>
  <c r="H151" i="8"/>
  <c r="I151" i="8" s="1"/>
  <c r="B151" i="8"/>
  <c r="A151" i="8"/>
  <c r="L150" i="8"/>
  <c r="J150" i="8"/>
  <c r="H150" i="8"/>
  <c r="I150" i="8" s="1"/>
  <c r="B150" i="8"/>
  <c r="A150" i="8"/>
  <c r="L149" i="8"/>
  <c r="J149" i="8"/>
  <c r="H149" i="8"/>
  <c r="I149" i="8" s="1"/>
  <c r="B149" i="8"/>
  <c r="A149" i="8"/>
  <c r="L148" i="8"/>
  <c r="J148" i="8"/>
  <c r="H148" i="8"/>
  <c r="I148" i="8" s="1"/>
  <c r="B148" i="8"/>
  <c r="A148" i="8"/>
  <c r="L147" i="8"/>
  <c r="J147" i="8"/>
  <c r="H147" i="8"/>
  <c r="I147" i="8" s="1"/>
  <c r="B147" i="8"/>
  <c r="A147" i="8"/>
  <c r="L146" i="8"/>
  <c r="J146" i="8"/>
  <c r="H146" i="8"/>
  <c r="I146" i="8" s="1"/>
  <c r="B146" i="8"/>
  <c r="A146" i="8"/>
  <c r="L145" i="8"/>
  <c r="J145" i="8"/>
  <c r="H145" i="8"/>
  <c r="I145" i="8" s="1"/>
  <c r="B145" i="8"/>
  <c r="A145" i="8"/>
  <c r="L144" i="8"/>
  <c r="J144" i="8"/>
  <c r="H144" i="8"/>
  <c r="I144" i="8" s="1"/>
  <c r="B144" i="8"/>
  <c r="A144" i="8"/>
  <c r="L143" i="8"/>
  <c r="J143" i="8"/>
  <c r="H143" i="8"/>
  <c r="I143" i="8" s="1"/>
  <c r="B143" i="8"/>
  <c r="A143" i="8"/>
  <c r="L142" i="8"/>
  <c r="J142" i="8"/>
  <c r="H142" i="8"/>
  <c r="I142" i="8" s="1"/>
  <c r="B142" i="8"/>
  <c r="A142" i="8"/>
  <c r="L141" i="8"/>
  <c r="J141" i="8"/>
  <c r="H141" i="8"/>
  <c r="I141" i="8" s="1"/>
  <c r="B141" i="8"/>
  <c r="A141" i="8"/>
  <c r="L140" i="8"/>
  <c r="J140" i="8"/>
  <c r="H140" i="8"/>
  <c r="I140" i="8" s="1"/>
  <c r="B140" i="8"/>
  <c r="A140" i="8"/>
  <c r="L139" i="8"/>
  <c r="J139" i="8"/>
  <c r="H139" i="8"/>
  <c r="I139" i="8" s="1"/>
  <c r="B139" i="8"/>
  <c r="A139" i="8"/>
  <c r="L138" i="8"/>
  <c r="J138" i="8"/>
  <c r="H138" i="8"/>
  <c r="I138" i="8" s="1"/>
  <c r="B138" i="8"/>
  <c r="A138" i="8"/>
  <c r="L137" i="8"/>
  <c r="J137" i="8"/>
  <c r="H137" i="8"/>
  <c r="I137" i="8" s="1"/>
  <c r="B137" i="8"/>
  <c r="A137" i="8"/>
  <c r="L136" i="8"/>
  <c r="J136" i="8"/>
  <c r="H136" i="8"/>
  <c r="I136" i="8" s="1"/>
  <c r="B136" i="8"/>
  <c r="A136" i="8"/>
  <c r="L135" i="8"/>
  <c r="J135" i="8"/>
  <c r="H135" i="8"/>
  <c r="B135" i="8"/>
  <c r="A135" i="8"/>
  <c r="L134" i="8"/>
  <c r="J134" i="8"/>
  <c r="H134" i="8"/>
  <c r="B134" i="8"/>
  <c r="A134" i="8"/>
  <c r="L133" i="8"/>
  <c r="J133" i="8"/>
  <c r="H133" i="8"/>
  <c r="B133" i="8"/>
  <c r="A133" i="8"/>
  <c r="L132" i="8"/>
  <c r="J132" i="8"/>
  <c r="H132" i="8"/>
  <c r="B132" i="8"/>
  <c r="A132" i="8"/>
  <c r="L131" i="8"/>
  <c r="J131" i="8"/>
  <c r="H131" i="8"/>
  <c r="B131" i="8"/>
  <c r="A131" i="8"/>
  <c r="L130" i="8"/>
  <c r="J130" i="8"/>
  <c r="H130" i="8"/>
  <c r="B130" i="8"/>
  <c r="A130" i="8"/>
  <c r="L129" i="8"/>
  <c r="J129" i="8"/>
  <c r="H129" i="8"/>
  <c r="B129" i="8"/>
  <c r="A129" i="8"/>
  <c r="L128" i="8"/>
  <c r="J128" i="8"/>
  <c r="H128" i="8"/>
  <c r="B128" i="8"/>
  <c r="A128" i="8"/>
  <c r="L127" i="8"/>
  <c r="J127" i="8"/>
  <c r="H127" i="8"/>
  <c r="B127" i="8"/>
  <c r="A127" i="8"/>
  <c r="L126" i="8"/>
  <c r="J126" i="8"/>
  <c r="H126" i="8"/>
  <c r="B126" i="8"/>
  <c r="A126" i="8"/>
  <c r="L125" i="8"/>
  <c r="J125" i="8"/>
  <c r="H125" i="8"/>
  <c r="B125" i="8"/>
  <c r="A125" i="8"/>
  <c r="L124" i="8"/>
  <c r="J124" i="8"/>
  <c r="H124" i="8"/>
  <c r="B124" i="8"/>
  <c r="A124" i="8"/>
  <c r="L123" i="8"/>
  <c r="J123" i="8"/>
  <c r="H123" i="8"/>
  <c r="B123" i="8"/>
  <c r="A123" i="8"/>
  <c r="L122" i="8"/>
  <c r="J122" i="8"/>
  <c r="H122" i="8"/>
  <c r="B122" i="8"/>
  <c r="A122" i="8"/>
  <c r="L121" i="8"/>
  <c r="J121" i="8"/>
  <c r="H121" i="8"/>
  <c r="B121" i="8"/>
  <c r="A121" i="8"/>
  <c r="L120" i="8"/>
  <c r="J120" i="8"/>
  <c r="H120" i="8"/>
  <c r="B120" i="8"/>
  <c r="A120" i="8"/>
  <c r="L119" i="8"/>
  <c r="J119" i="8"/>
  <c r="H119" i="8"/>
  <c r="B119" i="8"/>
  <c r="A119" i="8"/>
  <c r="L118" i="8"/>
  <c r="J118" i="8"/>
  <c r="H118" i="8"/>
  <c r="B118" i="8"/>
  <c r="A118" i="8"/>
  <c r="L117" i="8"/>
  <c r="J117" i="8"/>
  <c r="H117" i="8"/>
  <c r="B117" i="8"/>
  <c r="G117" i="8" s="1" a="1"/>
  <c r="A117" i="8"/>
  <c r="L116" i="8"/>
  <c r="J116" i="8"/>
  <c r="H116" i="8"/>
  <c r="B116" i="8"/>
  <c r="G116" i="8" s="1" a="1"/>
  <c r="A116" i="8"/>
  <c r="L115" i="8"/>
  <c r="J115" i="8"/>
  <c r="H115" i="8"/>
  <c r="B115" i="8"/>
  <c r="G115" i="8" s="1" a="1"/>
  <c r="A115" i="8"/>
  <c r="L114" i="8"/>
  <c r="J114" i="8"/>
  <c r="H114" i="8"/>
  <c r="B114" i="8"/>
  <c r="G114" i="8" s="1" a="1"/>
  <c r="A114" i="8"/>
  <c r="L113" i="8"/>
  <c r="J113" i="8"/>
  <c r="H113" i="8"/>
  <c r="B113" i="8"/>
  <c r="G113" i="8" s="1" a="1"/>
  <c r="A113" i="8"/>
  <c r="A112" i="8"/>
  <c r="A111" i="8"/>
  <c r="L110" i="8"/>
  <c r="J110" i="8"/>
  <c r="H110" i="8"/>
  <c r="B110" i="8"/>
  <c r="G110" i="8" s="1" a="1"/>
  <c r="A110" i="8"/>
  <c r="A109" i="8"/>
  <c r="L108" i="8"/>
  <c r="J108" i="8"/>
  <c r="H108" i="8"/>
  <c r="B108" i="8"/>
  <c r="G108" i="8" s="1" a="1"/>
  <c r="A108" i="8"/>
  <c r="A107" i="8"/>
  <c r="A106" i="8"/>
  <c r="A105" i="8"/>
  <c r="L104" i="8"/>
  <c r="J104" i="8"/>
  <c r="H104" i="8"/>
  <c r="B104" i="8"/>
  <c r="G104" i="8" s="1" a="1"/>
  <c r="A104" i="8"/>
  <c r="L103" i="8"/>
  <c r="J103" i="8"/>
  <c r="H103" i="8"/>
  <c r="B103" i="8"/>
  <c r="G103" i="8" s="1" a="1"/>
  <c r="A103" i="8"/>
  <c r="L102" i="8"/>
  <c r="J102" i="8"/>
  <c r="H102" i="8"/>
  <c r="B102" i="8"/>
  <c r="G102" i="8" s="1" a="1"/>
  <c r="A102" i="8"/>
  <c r="L101" i="8"/>
  <c r="J101" i="8"/>
  <c r="H101" i="8"/>
  <c r="B101" i="8"/>
  <c r="G101" i="8" s="1" a="1"/>
  <c r="A101" i="8"/>
  <c r="L100" i="8"/>
  <c r="J100" i="8"/>
  <c r="H100" i="8"/>
  <c r="B100" i="8"/>
  <c r="G100" i="8" s="1" a="1"/>
  <c r="A100" i="8"/>
  <c r="L99" i="8"/>
  <c r="J99" i="8"/>
  <c r="H99" i="8"/>
  <c r="B99" i="8"/>
  <c r="G99" i="8" s="1" a="1"/>
  <c r="A99" i="8"/>
  <c r="L98" i="8"/>
  <c r="J98" i="8"/>
  <c r="H98" i="8"/>
  <c r="B98" i="8"/>
  <c r="G98" i="8" s="1" a="1"/>
  <c r="A98" i="8"/>
  <c r="L97" i="8"/>
  <c r="J97" i="8"/>
  <c r="H97" i="8"/>
  <c r="B97" i="8"/>
  <c r="G97" i="8" s="1" a="1"/>
  <c r="A97" i="8"/>
  <c r="L96" i="8"/>
  <c r="J96" i="8"/>
  <c r="H96" i="8"/>
  <c r="B96" i="8"/>
  <c r="G96" i="8" s="1" a="1"/>
  <c r="A96" i="8"/>
  <c r="L95" i="8"/>
  <c r="J95" i="8"/>
  <c r="H95" i="8"/>
  <c r="B95" i="8"/>
  <c r="G95" i="8" s="1" a="1"/>
  <c r="A95" i="8"/>
  <c r="L94" i="8"/>
  <c r="J94" i="8"/>
  <c r="H94" i="8"/>
  <c r="B94" i="8"/>
  <c r="G94" i="8" s="1" a="1"/>
  <c r="A94" i="8"/>
  <c r="L93" i="8"/>
  <c r="J93" i="8"/>
  <c r="H93" i="8"/>
  <c r="B93" i="8"/>
  <c r="G93" i="8" s="1" a="1"/>
  <c r="A93" i="8"/>
  <c r="L92" i="8"/>
  <c r="J92" i="8"/>
  <c r="H92" i="8"/>
  <c r="B92" i="8"/>
  <c r="G92" i="8" s="1" a="1"/>
  <c r="A92" i="8"/>
  <c r="L91" i="8"/>
  <c r="J91" i="8"/>
  <c r="H91" i="8"/>
  <c r="B91" i="8"/>
  <c r="G91" i="8" s="1" a="1"/>
  <c r="A91" i="8"/>
  <c r="L90" i="8"/>
  <c r="J90" i="8"/>
  <c r="H90" i="8"/>
  <c r="B90" i="8"/>
  <c r="G90" i="8" s="1" a="1"/>
  <c r="A90" i="8"/>
  <c r="L89" i="8"/>
  <c r="J89" i="8"/>
  <c r="H89" i="8"/>
  <c r="B89" i="8"/>
  <c r="G89" i="8" s="1" a="1"/>
  <c r="A89" i="8"/>
  <c r="L88" i="8"/>
  <c r="J88" i="8"/>
  <c r="H88" i="8"/>
  <c r="B88" i="8"/>
  <c r="G88" i="8" s="1" a="1"/>
  <c r="A88" i="8"/>
  <c r="L87" i="8"/>
  <c r="J87" i="8"/>
  <c r="H87" i="8"/>
  <c r="B87" i="8"/>
  <c r="G87" i="8" s="1" a="1"/>
  <c r="A87" i="8"/>
  <c r="L86" i="8"/>
  <c r="J86" i="8"/>
  <c r="H86" i="8"/>
  <c r="B86" i="8"/>
  <c r="G86" i="8" s="1" a="1"/>
  <c r="A86" i="8"/>
  <c r="L85" i="8"/>
  <c r="J85" i="8"/>
  <c r="H85" i="8"/>
  <c r="B85" i="8"/>
  <c r="G85" i="8" s="1" a="1"/>
  <c r="A85" i="8"/>
  <c r="L84" i="8"/>
  <c r="J84" i="8"/>
  <c r="H84" i="8"/>
  <c r="B84" i="8"/>
  <c r="G84" i="8" s="1" a="1"/>
  <c r="A84" i="8"/>
  <c r="L83" i="8"/>
  <c r="J83" i="8"/>
  <c r="H83" i="8"/>
  <c r="B83" i="8"/>
  <c r="G83" i="8" s="1" a="1"/>
  <c r="A83" i="8"/>
  <c r="L82" i="8"/>
  <c r="J82" i="8"/>
  <c r="H82" i="8"/>
  <c r="B82" i="8"/>
  <c r="G82" i="8" s="1" a="1"/>
  <c r="A82" i="8"/>
  <c r="L81" i="8"/>
  <c r="J81" i="8"/>
  <c r="H81" i="8"/>
  <c r="B81" i="8"/>
  <c r="G81" i="8" s="1" a="1"/>
  <c r="A81" i="8"/>
  <c r="L80" i="8"/>
  <c r="J80" i="8"/>
  <c r="H80" i="8"/>
  <c r="B80" i="8"/>
  <c r="G80" i="8" s="1" a="1"/>
  <c r="A80" i="8"/>
  <c r="L79" i="8"/>
  <c r="J79" i="8"/>
  <c r="H79" i="8"/>
  <c r="B79" i="8"/>
  <c r="G79" i="8" s="1" a="1"/>
  <c r="A79" i="8"/>
  <c r="L77" i="8"/>
  <c r="J77" i="8"/>
  <c r="H77" i="8"/>
  <c r="B77" i="8"/>
  <c r="G77" i="8" s="1" a="1"/>
  <c r="A77" i="8"/>
  <c r="L78" i="8"/>
  <c r="J78" i="8"/>
  <c r="H78" i="8"/>
  <c r="B78" i="8"/>
  <c r="G78" i="8" s="1" a="1"/>
  <c r="A78" i="8"/>
  <c r="L76" i="8"/>
  <c r="J76" i="8"/>
  <c r="H76" i="8"/>
  <c r="B76" i="8"/>
  <c r="G76" i="8" s="1" a="1"/>
  <c r="A76" i="8"/>
  <c r="L75" i="8"/>
  <c r="J75" i="8"/>
  <c r="H75" i="8"/>
  <c r="B75" i="8"/>
  <c r="G75" i="8" s="1" a="1"/>
  <c r="A75" i="8"/>
  <c r="L74" i="8"/>
  <c r="J74" i="8"/>
  <c r="H74" i="8"/>
  <c r="B74" i="8"/>
  <c r="G74" i="8" s="1" a="1"/>
  <c r="A74" i="8"/>
  <c r="L73" i="8"/>
  <c r="J73" i="8"/>
  <c r="H73" i="8"/>
  <c r="B73" i="8"/>
  <c r="G73" i="8" s="1" a="1"/>
  <c r="A73" i="8"/>
  <c r="L72" i="8"/>
  <c r="J72" i="8"/>
  <c r="H72" i="8"/>
  <c r="B72" i="8"/>
  <c r="G72" i="8" s="1" a="1"/>
  <c r="A72" i="8"/>
  <c r="L71" i="8"/>
  <c r="J71" i="8"/>
  <c r="H71" i="8"/>
  <c r="B71" i="8"/>
  <c r="G71" i="8" s="1" a="1"/>
  <c r="A71" i="8"/>
  <c r="L70" i="8"/>
  <c r="J70" i="8"/>
  <c r="H70" i="8"/>
  <c r="B70" i="8"/>
  <c r="G70" i="8" s="1" a="1"/>
  <c r="A70" i="8"/>
  <c r="L69" i="8"/>
  <c r="J69" i="8"/>
  <c r="H69" i="8"/>
  <c r="B69" i="8"/>
  <c r="G69" i="8" s="1" a="1"/>
  <c r="A69" i="8"/>
  <c r="L68" i="8"/>
  <c r="J68" i="8"/>
  <c r="H68" i="8"/>
  <c r="B68" i="8"/>
  <c r="G68" i="8" s="1" a="1"/>
  <c r="A68" i="8"/>
  <c r="L67" i="8"/>
  <c r="J67" i="8"/>
  <c r="H67" i="8"/>
  <c r="B67" i="8"/>
  <c r="G67" i="8" s="1" a="1"/>
  <c r="A67" i="8"/>
  <c r="L66" i="8"/>
  <c r="J66" i="8"/>
  <c r="H66" i="8"/>
  <c r="B66" i="8"/>
  <c r="G66" i="8" s="1" a="1"/>
  <c r="A66" i="8"/>
  <c r="L65" i="8"/>
  <c r="J65" i="8"/>
  <c r="H65" i="8"/>
  <c r="B65" i="8"/>
  <c r="G65" i="8" s="1" a="1"/>
  <c r="A65" i="8"/>
  <c r="L64" i="8"/>
  <c r="J64" i="8"/>
  <c r="H64" i="8"/>
  <c r="I64" i="8" s="1"/>
  <c r="B64" i="8"/>
  <c r="G64" i="8" s="1" a="1"/>
  <c r="A64" i="8"/>
  <c r="L63" i="8"/>
  <c r="J63" i="8"/>
  <c r="H63" i="8"/>
  <c r="I63" i="8" s="1"/>
  <c r="B63" i="8"/>
  <c r="G63" i="8" s="1" a="1"/>
  <c r="A63" i="8"/>
  <c r="L62" i="8"/>
  <c r="J62" i="8"/>
  <c r="H62" i="8"/>
  <c r="I62" i="8" s="1"/>
  <c r="B62" i="8"/>
  <c r="G62" i="8" s="1" a="1"/>
  <c r="A62" i="8"/>
  <c r="L61" i="8"/>
  <c r="J61" i="8"/>
  <c r="H61" i="8"/>
  <c r="I61" i="8" s="1"/>
  <c r="B61" i="8"/>
  <c r="G61" i="8" s="1" a="1"/>
  <c r="A61" i="8"/>
  <c r="L60" i="8"/>
  <c r="J60" i="8"/>
  <c r="H60" i="8"/>
  <c r="I60" i="8" s="1"/>
  <c r="B60" i="8"/>
  <c r="G60" i="8" s="1" a="1"/>
  <c r="A60" i="8"/>
  <c r="L59" i="8"/>
  <c r="J59" i="8"/>
  <c r="H59" i="8"/>
  <c r="I59" i="8" s="1"/>
  <c r="B59" i="8"/>
  <c r="A59" i="8"/>
  <c r="L58" i="8"/>
  <c r="J58" i="8"/>
  <c r="H58" i="8"/>
  <c r="I58" i="8" s="1"/>
  <c r="B58" i="8"/>
  <c r="G58" i="8" s="1" a="1"/>
  <c r="A58" i="8"/>
  <c r="L57" i="8"/>
  <c r="J57" i="8"/>
  <c r="H57" i="8"/>
  <c r="I57" i="8" s="1"/>
  <c r="B57" i="8"/>
  <c r="G57" i="8" s="1" a="1"/>
  <c r="A57" i="8"/>
  <c r="L56" i="8"/>
  <c r="J56" i="8"/>
  <c r="H56" i="8"/>
  <c r="I56" i="8" s="1"/>
  <c r="B56" i="8"/>
  <c r="G56" i="8" s="1" a="1"/>
  <c r="A56" i="8"/>
  <c r="L55" i="8"/>
  <c r="J55" i="8"/>
  <c r="H55" i="8"/>
  <c r="I55" i="8" s="1"/>
  <c r="B55" i="8"/>
  <c r="G55" i="8" s="1" a="1"/>
  <c r="A55" i="8"/>
  <c r="L54" i="8"/>
  <c r="J54" i="8"/>
  <c r="H54" i="8"/>
  <c r="I54" i="8" s="1"/>
  <c r="B54" i="8"/>
  <c r="G54" i="8" s="1" a="1"/>
  <c r="A54" i="8"/>
  <c r="L53" i="8"/>
  <c r="J53" i="8"/>
  <c r="H53" i="8"/>
  <c r="I53" i="8" s="1"/>
  <c r="B53" i="8"/>
  <c r="G53" i="8" s="1" a="1"/>
  <c r="A53" i="8"/>
  <c r="L52" i="8"/>
  <c r="J52" i="8"/>
  <c r="H52" i="8"/>
  <c r="I52" i="8" s="1"/>
  <c r="B52" i="8"/>
  <c r="G52" i="8" s="1" a="1"/>
  <c r="A52" i="8"/>
  <c r="L51" i="8"/>
  <c r="J51" i="8"/>
  <c r="H51" i="8"/>
  <c r="I51" i="8" s="1"/>
  <c r="B51" i="8"/>
  <c r="G51" i="8" s="1" a="1"/>
  <c r="A51" i="8"/>
  <c r="L50" i="8"/>
  <c r="J50" i="8"/>
  <c r="H50" i="8"/>
  <c r="I50" i="8" s="1"/>
  <c r="B50" i="8"/>
  <c r="G50" i="8" s="1" a="1"/>
  <c r="A50" i="8"/>
  <c r="L49" i="8"/>
  <c r="J49" i="8"/>
  <c r="H49" i="8"/>
  <c r="I49" i="8" s="1"/>
  <c r="B49" i="8"/>
  <c r="G49" i="8" s="1" a="1"/>
  <c r="A49" i="8"/>
  <c r="L47" i="8"/>
  <c r="J47" i="8"/>
  <c r="H47" i="8"/>
  <c r="I47" i="8" s="1"/>
  <c r="B47" i="8"/>
  <c r="G47" i="8" s="1" a="1"/>
  <c r="A47" i="8"/>
  <c r="L48" i="8"/>
  <c r="J48" i="8"/>
  <c r="H48" i="8"/>
  <c r="B48" i="8"/>
  <c r="A48" i="8"/>
  <c r="L40" i="8"/>
  <c r="J40" i="8"/>
  <c r="H40" i="8"/>
  <c r="B40" i="8"/>
  <c r="A40" i="8"/>
  <c r="L46" i="8"/>
  <c r="J46" i="8"/>
  <c r="H46" i="8"/>
  <c r="I46" i="8" s="1"/>
  <c r="B46" i="8"/>
  <c r="A46" i="8"/>
  <c r="L45" i="8"/>
  <c r="J45" i="8"/>
  <c r="H45" i="8"/>
  <c r="I45" i="8" s="1"/>
  <c r="B45" i="8"/>
  <c r="A45" i="8"/>
  <c r="L44" i="8"/>
  <c r="J44" i="8"/>
  <c r="H44" i="8"/>
  <c r="I44" i="8" s="1"/>
  <c r="B44" i="8"/>
  <c r="A44" i="8"/>
  <c r="L43" i="8"/>
  <c r="J43" i="8"/>
  <c r="H43" i="8"/>
  <c r="I43" i="8" s="1"/>
  <c r="B43" i="8"/>
  <c r="A43" i="8"/>
  <c r="L42" i="8"/>
  <c r="J42" i="8"/>
  <c r="H42" i="8"/>
  <c r="I42" i="8" s="1"/>
  <c r="B42" i="8"/>
  <c r="A42" i="8"/>
  <c r="L41" i="8"/>
  <c r="J41" i="8"/>
  <c r="H41" i="8"/>
  <c r="I41" i="8" s="1"/>
  <c r="B41" i="8"/>
  <c r="A41" i="8"/>
  <c r="L39" i="8"/>
  <c r="J39" i="8"/>
  <c r="H39" i="8"/>
  <c r="I39" i="8" s="1"/>
  <c r="B39" i="8"/>
  <c r="A39" i="8"/>
  <c r="L38" i="8"/>
  <c r="J38" i="8"/>
  <c r="H38" i="8"/>
  <c r="I38" i="8" s="1"/>
  <c r="B38" i="8"/>
  <c r="A38" i="8"/>
  <c r="L37" i="8"/>
  <c r="J37" i="8"/>
  <c r="H37" i="8"/>
  <c r="I37" i="8" s="1"/>
  <c r="B37" i="8"/>
  <c r="A37" i="8"/>
  <c r="L36" i="8"/>
  <c r="J36" i="8"/>
  <c r="H36" i="8"/>
  <c r="I36" i="8" s="1"/>
  <c r="B36" i="8"/>
  <c r="A36" i="8"/>
  <c r="L35" i="8"/>
  <c r="J35" i="8"/>
  <c r="H35" i="8"/>
  <c r="I35" i="8" s="1"/>
  <c r="B35" i="8"/>
  <c r="A35" i="8"/>
  <c r="L34" i="8"/>
  <c r="J34" i="8"/>
  <c r="H34" i="8"/>
  <c r="I34" i="8" s="1"/>
  <c r="B34" i="8"/>
  <c r="A34" i="8"/>
  <c r="L33" i="8"/>
  <c r="J33" i="8"/>
  <c r="H33" i="8"/>
  <c r="I33" i="8" s="1"/>
  <c r="B33" i="8"/>
  <c r="A33" i="8"/>
  <c r="L32" i="8"/>
  <c r="J32" i="8"/>
  <c r="H32" i="8"/>
  <c r="I32" i="8" s="1"/>
  <c r="B32" i="8"/>
  <c r="A32" i="8"/>
  <c r="L31" i="8"/>
  <c r="J31" i="8"/>
  <c r="H31" i="8"/>
  <c r="I31" i="8" s="1"/>
  <c r="B31" i="8"/>
  <c r="A31" i="8"/>
  <c r="L30" i="8"/>
  <c r="J30" i="8"/>
  <c r="H30" i="8"/>
  <c r="I30" i="8" s="1"/>
  <c r="B30" i="8"/>
  <c r="A30" i="8"/>
  <c r="L29" i="8"/>
  <c r="J29" i="8"/>
  <c r="H29" i="8"/>
  <c r="I29" i="8" s="1"/>
  <c r="B29" i="8"/>
  <c r="A29" i="8"/>
  <c r="L28" i="8"/>
  <c r="J28" i="8"/>
  <c r="H28" i="8"/>
  <c r="I28" i="8" s="1"/>
  <c r="B28" i="8"/>
  <c r="A28" i="8"/>
  <c r="L27" i="8"/>
  <c r="J27" i="8"/>
  <c r="H27" i="8"/>
  <c r="I27" i="8" s="1"/>
  <c r="B27" i="8"/>
  <c r="A27" i="8"/>
  <c r="L26" i="8"/>
  <c r="J26" i="8"/>
  <c r="H26" i="8"/>
  <c r="I26" i="8" s="1"/>
  <c r="B26" i="8"/>
  <c r="A26" i="8"/>
  <c r="L25" i="8"/>
  <c r="J25" i="8"/>
  <c r="H25" i="8"/>
  <c r="I25" i="8" s="1"/>
  <c r="B25" i="8"/>
  <c r="A25" i="8"/>
  <c r="L24" i="8"/>
  <c r="J24" i="8"/>
  <c r="H24" i="8"/>
  <c r="I24" i="8" s="1"/>
  <c r="B24" i="8"/>
  <c r="A24" i="8"/>
  <c r="L23" i="8"/>
  <c r="J23" i="8"/>
  <c r="H23" i="8"/>
  <c r="I23" i="8" s="1"/>
  <c r="B23" i="8"/>
  <c r="A23" i="8"/>
  <c r="L22" i="8"/>
  <c r="J22" i="8"/>
  <c r="H22" i="8"/>
  <c r="I22" i="8" s="1"/>
  <c r="B22" i="8"/>
  <c r="A22" i="8"/>
  <c r="L21" i="8"/>
  <c r="J21" i="8"/>
  <c r="H21" i="8"/>
  <c r="I21" i="8" s="1"/>
  <c r="B21" i="8"/>
  <c r="A21" i="8"/>
  <c r="L20" i="8"/>
  <c r="J20" i="8"/>
  <c r="H20" i="8"/>
  <c r="I20" i="8" s="1"/>
  <c r="B20" i="8"/>
  <c r="A20" i="8"/>
  <c r="L19" i="8"/>
  <c r="J19" i="8"/>
  <c r="H19" i="8"/>
  <c r="I19" i="8" s="1"/>
  <c r="B19" i="8"/>
  <c r="A19" i="8"/>
  <c r="L18" i="8"/>
  <c r="J18" i="8"/>
  <c r="H18" i="8"/>
  <c r="I18" i="8" s="1"/>
  <c r="B18" i="8"/>
  <c r="A18" i="8"/>
  <c r="L17" i="8"/>
  <c r="J17" i="8"/>
  <c r="H17" i="8"/>
  <c r="I17" i="8" s="1"/>
  <c r="B17" i="8"/>
  <c r="A17" i="8"/>
  <c r="L16" i="8"/>
  <c r="J16" i="8"/>
  <c r="H16" i="8"/>
  <c r="I16" i="8" s="1"/>
  <c r="B16" i="8"/>
  <c r="A16" i="8"/>
  <c r="L15" i="8"/>
  <c r="J15" i="8"/>
  <c r="H15" i="8"/>
  <c r="I15" i="8" s="1"/>
  <c r="B15" i="8"/>
  <c r="A15" i="8"/>
  <c r="L14" i="8"/>
  <c r="J14" i="8"/>
  <c r="H14" i="8"/>
  <c r="I14" i="8" s="1"/>
  <c r="B14" i="8"/>
  <c r="A14" i="8"/>
  <c r="L13" i="8"/>
  <c r="J13" i="8"/>
  <c r="H13" i="8"/>
  <c r="I13" i="8" s="1"/>
  <c r="B13" i="8"/>
  <c r="A13" i="8"/>
  <c r="L12" i="8"/>
  <c r="J12" i="8"/>
  <c r="H12" i="8"/>
  <c r="I12" i="8" s="1"/>
  <c r="B12" i="8"/>
  <c r="A12" i="8"/>
  <c r="L11" i="8"/>
  <c r="J11" i="8"/>
  <c r="H11" i="8"/>
  <c r="I11" i="8" s="1"/>
  <c r="B11" i="8"/>
  <c r="A11" i="8"/>
  <c r="L10" i="8"/>
  <c r="J10" i="8"/>
  <c r="H10" i="8"/>
  <c r="I10" i="8" s="1"/>
  <c r="B10" i="8"/>
  <c r="A10" i="8"/>
  <c r="L9" i="8"/>
  <c r="J9" i="8"/>
  <c r="H9" i="8"/>
  <c r="I9" i="8" s="1"/>
  <c r="B9" i="8"/>
  <c r="A9" i="8"/>
  <c r="L8" i="8"/>
  <c r="J8" i="8"/>
  <c r="H8" i="8"/>
  <c r="I8" i="8" s="1"/>
  <c r="B8" i="8"/>
  <c r="A8" i="8"/>
  <c r="L7" i="8"/>
  <c r="J7" i="8"/>
  <c r="H7" i="8"/>
  <c r="I7" i="8" s="1"/>
  <c r="B7" i="8"/>
  <c r="A7" i="8"/>
  <c r="L6" i="8"/>
  <c r="J6" i="8"/>
  <c r="H6" i="8"/>
  <c r="I6" i="8" s="1"/>
  <c r="B6" i="8"/>
  <c r="A6" i="8"/>
  <c r="L5" i="8"/>
  <c r="J5" i="8"/>
  <c r="H5" i="8"/>
  <c r="I5" i="8" s="1"/>
  <c r="B5" i="8"/>
  <c r="A5" i="8"/>
  <c r="L4" i="8"/>
  <c r="J4" i="8"/>
  <c r="H4" i="8"/>
  <c r="I4" i="8" s="1"/>
  <c r="B4" i="8"/>
  <c r="A4" i="8"/>
  <c r="L3" i="8"/>
  <c r="J3" i="8"/>
  <c r="H3" i="8"/>
  <c r="I3" i="8" s="1"/>
  <c r="B3" i="8"/>
  <c r="A3" i="8"/>
  <c r="L2" i="8"/>
  <c r="J2" i="8"/>
  <c r="H2" i="8"/>
  <c r="I2" i="8" s="1"/>
  <c r="B2" i="8"/>
  <c r="A2" i="8"/>
  <c r="W20" i="7"/>
  <c r="M257" i="9" l="1"/>
  <c r="J257" i="9"/>
  <c r="K257" i="9"/>
  <c r="L257" i="9"/>
  <c r="C257" i="9" a="1"/>
  <c r="D257" i="9" a="1"/>
  <c r="K256" i="9"/>
  <c r="M256" i="9"/>
  <c r="L256" i="9"/>
  <c r="J256" i="9"/>
  <c r="D256" i="9" a="1"/>
  <c r="C256" i="9" a="1"/>
  <c r="K255" i="9"/>
  <c r="L255" i="9"/>
  <c r="M255" i="9"/>
  <c r="J255" i="9"/>
  <c r="D255" i="9" a="1"/>
  <c r="C255" i="9" a="1"/>
  <c r="L254" i="9"/>
  <c r="K254" i="9"/>
  <c r="J254" i="9"/>
  <c r="M254" i="9"/>
  <c r="D254" i="9" a="1"/>
  <c r="C254" i="9" a="1"/>
  <c r="L253" i="9"/>
  <c r="K253" i="9"/>
  <c r="J253" i="9"/>
  <c r="M253" i="9"/>
  <c r="D253" i="9" a="1"/>
  <c r="C253" i="9" a="1"/>
  <c r="K252" i="9"/>
  <c r="J252" i="9"/>
  <c r="L252" i="9"/>
  <c r="M252" i="9"/>
  <c r="D252" i="9" a="1"/>
  <c r="C252" i="9" a="1"/>
  <c r="J251" i="9"/>
  <c r="K251" i="9"/>
  <c r="L251" i="9"/>
  <c r="M251" i="9"/>
  <c r="D251" i="9" a="1"/>
  <c r="C251" i="9" a="1"/>
  <c r="J250" i="9"/>
  <c r="K250" i="9"/>
  <c r="L250" i="9"/>
  <c r="M250" i="9"/>
  <c r="D250" i="9" a="1"/>
  <c r="C250" i="9" a="1"/>
  <c r="J249" i="9"/>
  <c r="K249" i="9"/>
  <c r="M249" i="9"/>
  <c r="L249" i="9"/>
  <c r="C249" i="9" a="1"/>
  <c r="D249" i="9" a="1"/>
  <c r="L248" i="9"/>
  <c r="J248" i="9"/>
  <c r="K248" i="9"/>
  <c r="M248" i="9"/>
  <c r="C248" i="9" a="1"/>
  <c r="D248" i="9" a="1"/>
  <c r="M247" i="9"/>
  <c r="L247" i="9"/>
  <c r="K247" i="9"/>
  <c r="J247" i="9"/>
  <c r="D247" i="9" a="1"/>
  <c r="C247" i="9" a="1"/>
  <c r="K246" i="9"/>
  <c r="J246" i="9"/>
  <c r="L246" i="9"/>
  <c r="M246" i="9"/>
  <c r="C246" i="9" a="1"/>
  <c r="D246" i="9" a="1"/>
  <c r="M245" i="9"/>
  <c r="L245" i="9"/>
  <c r="J245" i="9"/>
  <c r="K245" i="9"/>
  <c r="D245" i="9" a="1"/>
  <c r="C245" i="9" a="1"/>
  <c r="K244" i="9"/>
  <c r="L244" i="9"/>
  <c r="M244" i="9"/>
  <c r="J244" i="9"/>
  <c r="C244" i="9" a="1"/>
  <c r="D244" i="9" a="1"/>
  <c r="K243" i="9"/>
  <c r="J243" i="9"/>
  <c r="L243" i="9"/>
  <c r="M243" i="9"/>
  <c r="D243" i="9" a="1"/>
  <c r="C243" i="9" a="1"/>
  <c r="J242" i="9"/>
  <c r="M242" i="9"/>
  <c r="K242" i="9"/>
  <c r="L242" i="9"/>
  <c r="C242" i="9" a="1"/>
  <c r="D242" i="9" a="1"/>
  <c r="M241" i="9"/>
  <c r="J241" i="9"/>
  <c r="K241" i="9"/>
  <c r="L241" i="9"/>
  <c r="C241" i="9" a="1"/>
  <c r="D241" i="9" a="1"/>
  <c r="J240" i="9"/>
  <c r="M240" i="9"/>
  <c r="L240" i="9"/>
  <c r="K240" i="9"/>
  <c r="D240" i="9" a="1"/>
  <c r="C240" i="9" a="1"/>
  <c r="K239" i="9"/>
  <c r="M239" i="9"/>
  <c r="L239" i="9"/>
  <c r="J239" i="9"/>
  <c r="C239" i="9" a="1"/>
  <c r="D239" i="9" a="1"/>
  <c r="K238" i="9"/>
  <c r="M238" i="9"/>
  <c r="L238" i="9"/>
  <c r="J238" i="9"/>
  <c r="D238" i="9" a="1"/>
  <c r="C238" i="9" a="1"/>
  <c r="J237" i="9"/>
  <c r="M237" i="9"/>
  <c r="L237" i="9"/>
  <c r="K237" i="9"/>
  <c r="C237" i="9" a="1"/>
  <c r="D237" i="9" a="1"/>
  <c r="M236" i="9"/>
  <c r="K236" i="9"/>
  <c r="L236" i="9"/>
  <c r="J236" i="9"/>
  <c r="C236" i="9" a="1"/>
  <c r="D236" i="9" a="1"/>
  <c r="M235" i="9"/>
  <c r="K235" i="9"/>
  <c r="L235" i="9"/>
  <c r="J235" i="9"/>
  <c r="C235" i="9" a="1"/>
  <c r="D235" i="9" a="1"/>
  <c r="J234" i="9"/>
  <c r="K234" i="9"/>
  <c r="L234" i="9"/>
  <c r="M234" i="9"/>
  <c r="D234" i="9" a="1"/>
  <c r="C234" i="9" a="1"/>
  <c r="K233" i="9"/>
  <c r="L233" i="9"/>
  <c r="M233" i="9"/>
  <c r="J233" i="9"/>
  <c r="D233" i="9" a="1"/>
  <c r="C233" i="9" a="1"/>
  <c r="L232" i="9"/>
  <c r="M232" i="9"/>
  <c r="K232" i="9"/>
  <c r="J232" i="9"/>
  <c r="D232" i="9" a="1"/>
  <c r="C232" i="9" a="1"/>
  <c r="M231" i="9"/>
  <c r="J231" i="9"/>
  <c r="L231" i="9"/>
  <c r="K231" i="9"/>
  <c r="D231" i="9" a="1"/>
  <c r="C231" i="9" a="1"/>
  <c r="J230" i="9"/>
  <c r="K230" i="9"/>
  <c r="L230" i="9"/>
  <c r="M230" i="9"/>
  <c r="C230" i="9" a="1"/>
  <c r="D230" i="9" a="1"/>
  <c r="L229" i="9"/>
  <c r="M229" i="9"/>
  <c r="K229" i="9"/>
  <c r="J229" i="9"/>
  <c r="C229" i="9" a="1"/>
  <c r="D229" i="9" a="1"/>
  <c r="J228" i="9"/>
  <c r="L228" i="9"/>
  <c r="M228" i="9"/>
  <c r="K228" i="9"/>
  <c r="C228" i="9" a="1"/>
  <c r="D228" i="9" a="1"/>
  <c r="L227" i="9"/>
  <c r="K227" i="9"/>
  <c r="J227" i="9"/>
  <c r="M227" i="9"/>
  <c r="C227" i="9" a="1"/>
  <c r="D227" i="9" a="1"/>
  <c r="J226" i="9"/>
  <c r="M226" i="9"/>
  <c r="L226" i="9"/>
  <c r="K226" i="9"/>
  <c r="D226" i="9" a="1"/>
  <c r="C226" i="9" a="1"/>
  <c r="K225" i="9"/>
  <c r="M225" i="9"/>
  <c r="L225" i="9"/>
  <c r="J225" i="9"/>
  <c r="D225" i="9" a="1"/>
  <c r="C225" i="9" a="1"/>
  <c r="J224" i="9"/>
  <c r="K224" i="9"/>
  <c r="L224" i="9"/>
  <c r="M224" i="9"/>
  <c r="C224" i="9" a="1"/>
  <c r="D224" i="9" a="1"/>
  <c r="J223" i="9"/>
  <c r="L223" i="9"/>
  <c r="M223" i="9"/>
  <c r="K223" i="9"/>
  <c r="D223" i="9" a="1"/>
  <c r="C223" i="9" a="1"/>
  <c r="M222" i="9"/>
  <c r="K222" i="9"/>
  <c r="J222" i="9"/>
  <c r="L222" i="9"/>
  <c r="C222" i="9" a="1"/>
  <c r="D222" i="9" a="1"/>
  <c r="J221" i="9"/>
  <c r="L221" i="9"/>
  <c r="K221" i="9"/>
  <c r="M221" i="9"/>
  <c r="D221" i="9" a="1"/>
  <c r="C221" i="9" a="1"/>
  <c r="K220" i="9"/>
  <c r="J220" i="9"/>
  <c r="L220" i="9"/>
  <c r="M220" i="9"/>
  <c r="D220" i="9" a="1"/>
  <c r="C220" i="9" a="1"/>
  <c r="K219" i="9"/>
  <c r="J219" i="9"/>
  <c r="M219" i="9"/>
  <c r="L219" i="9"/>
  <c r="C219" i="9" a="1"/>
  <c r="D219" i="9" a="1"/>
  <c r="L218" i="9"/>
  <c r="M218" i="9"/>
  <c r="K218" i="9"/>
  <c r="J218" i="9"/>
  <c r="C218" i="9" a="1"/>
  <c r="D218" i="9" a="1"/>
  <c r="J217" i="9"/>
  <c r="L217" i="9"/>
  <c r="M217" i="9"/>
  <c r="K217" i="9"/>
  <c r="D217" i="9" a="1"/>
  <c r="C217" i="9" a="1"/>
  <c r="J216" i="9"/>
  <c r="K216" i="9"/>
  <c r="M216" i="9"/>
  <c r="L216" i="9"/>
  <c r="C216" i="9" a="1"/>
  <c r="D216" i="9" a="1"/>
  <c r="L215" i="9"/>
  <c r="M215" i="9"/>
  <c r="J215" i="9"/>
  <c r="K215" i="9"/>
  <c r="C215" i="9" a="1"/>
  <c r="D215" i="9" a="1"/>
  <c r="L214" i="9"/>
  <c r="M214" i="9"/>
  <c r="K214" i="9"/>
  <c r="J214" i="9"/>
  <c r="D214" i="9" a="1"/>
  <c r="C214" i="9" a="1"/>
  <c r="J213" i="9"/>
  <c r="K213" i="9"/>
  <c r="L213" i="9"/>
  <c r="M213" i="9"/>
  <c r="C213" i="9" a="1"/>
  <c r="D213" i="9" a="1"/>
  <c r="L212" i="9"/>
  <c r="M212" i="9"/>
  <c r="J212" i="9"/>
  <c r="K212" i="9"/>
  <c r="D212" i="9" a="1"/>
  <c r="C212" i="9" a="1"/>
  <c r="J211" i="9"/>
  <c r="M211" i="9"/>
  <c r="L211" i="9"/>
  <c r="K211" i="9"/>
  <c r="C211" i="9" a="1"/>
  <c r="D211" i="9" a="1"/>
  <c r="L210" i="9"/>
  <c r="M210" i="9"/>
  <c r="K210" i="9"/>
  <c r="J210" i="9"/>
  <c r="C210" i="9" a="1"/>
  <c r="D210" i="9" a="1"/>
  <c r="J209" i="9"/>
  <c r="K209" i="9"/>
  <c r="M209" i="9"/>
  <c r="L209" i="9"/>
  <c r="C209" i="9" a="1"/>
  <c r="D209" i="9" a="1"/>
  <c r="J208" i="9"/>
  <c r="M208" i="9"/>
  <c r="K208" i="9"/>
  <c r="L208" i="9"/>
  <c r="D208" i="9" a="1"/>
  <c r="C208" i="9" a="1"/>
  <c r="K207" i="9"/>
  <c r="L207" i="9"/>
  <c r="J207" i="9"/>
  <c r="M207" i="9"/>
  <c r="C207" i="9" a="1"/>
  <c r="D207" i="9" a="1"/>
  <c r="J206" i="9"/>
  <c r="K206" i="9"/>
  <c r="L206" i="9"/>
  <c r="M206" i="9"/>
  <c r="D206" i="9" a="1"/>
  <c r="C206" i="9" a="1"/>
  <c r="L205" i="9"/>
  <c r="J205" i="9"/>
  <c r="M205" i="9"/>
  <c r="K205" i="9"/>
  <c r="C205" i="9" a="1"/>
  <c r="D205" i="9" a="1"/>
  <c r="L204" i="9"/>
  <c r="K204" i="9"/>
  <c r="M204" i="9"/>
  <c r="J204" i="9"/>
  <c r="C204" i="9" a="1"/>
  <c r="D204" i="9" a="1"/>
  <c r="K203" i="9"/>
  <c r="L203" i="9"/>
  <c r="J203" i="9"/>
  <c r="M203" i="9"/>
  <c r="C203" i="9" a="1"/>
  <c r="D203" i="9" a="1"/>
  <c r="K202" i="9"/>
  <c r="J202" i="9"/>
  <c r="M202" i="9"/>
  <c r="L202" i="9"/>
  <c r="D202" i="9" a="1"/>
  <c r="C202" i="9" a="1"/>
  <c r="L201" i="9"/>
  <c r="M201" i="9"/>
  <c r="J201" i="9"/>
  <c r="K201" i="9"/>
  <c r="D201" i="9" a="1"/>
  <c r="C201" i="9" a="1"/>
  <c r="K200" i="9"/>
  <c r="L200" i="9"/>
  <c r="M200" i="9"/>
  <c r="J200" i="9"/>
  <c r="D200" i="9" a="1"/>
  <c r="C200" i="9" a="1"/>
  <c r="K199" i="9"/>
  <c r="J199" i="9"/>
  <c r="L199" i="9"/>
  <c r="M199" i="9"/>
  <c r="D199" i="9" a="1"/>
  <c r="C199" i="9" a="1"/>
  <c r="L198" i="9"/>
  <c r="K198" i="9"/>
  <c r="J198" i="9"/>
  <c r="M198" i="9"/>
  <c r="C198" i="9" a="1"/>
  <c r="D198" i="9" a="1"/>
  <c r="K197" i="9"/>
  <c r="J197" i="9"/>
  <c r="L197" i="9"/>
  <c r="M197" i="9"/>
  <c r="D197" i="9" a="1"/>
  <c r="C197" i="9" a="1"/>
  <c r="K196" i="9"/>
  <c r="J196" i="9"/>
  <c r="M196" i="9"/>
  <c r="L196" i="9"/>
  <c r="C196" i="9" a="1"/>
  <c r="D196" i="9" a="1"/>
  <c r="L195" i="9"/>
  <c r="K195" i="9"/>
  <c r="M195" i="9"/>
  <c r="J195" i="9"/>
  <c r="C195" i="9" a="1"/>
  <c r="D195" i="9" a="1"/>
  <c r="J194" i="9"/>
  <c r="M194" i="9"/>
  <c r="L194" i="9"/>
  <c r="K194" i="9"/>
  <c r="D194" i="9" a="1"/>
  <c r="C194" i="9" a="1"/>
  <c r="J193" i="9"/>
  <c r="K193" i="9"/>
  <c r="M193" i="9"/>
  <c r="L193" i="9"/>
  <c r="D193" i="9" a="1"/>
  <c r="C193" i="9" a="1"/>
  <c r="L192" i="9"/>
  <c r="J192" i="9"/>
  <c r="M192" i="9"/>
  <c r="K192" i="9"/>
  <c r="C192" i="9" a="1"/>
  <c r="D192" i="9" a="1"/>
  <c r="M191" i="9"/>
  <c r="L191" i="9"/>
  <c r="J191" i="9"/>
  <c r="K191" i="9"/>
  <c r="C191" i="9" a="1"/>
  <c r="D191" i="9" a="1"/>
  <c r="L190" i="9"/>
  <c r="M190" i="9"/>
  <c r="K190" i="9"/>
  <c r="J190" i="9"/>
  <c r="D190" i="9" a="1"/>
  <c r="C190" i="9" a="1"/>
  <c r="K189" i="9"/>
  <c r="M189" i="9"/>
  <c r="L189" i="9"/>
  <c r="J189" i="9"/>
  <c r="C189" i="9" a="1"/>
  <c r="D189" i="9" a="1"/>
  <c r="K188" i="9"/>
  <c r="J188" i="9"/>
  <c r="L188" i="9"/>
  <c r="M188" i="9"/>
  <c r="D188" i="9" a="1"/>
  <c r="C188" i="9" a="1"/>
  <c r="M187" i="9"/>
  <c r="K187" i="9"/>
  <c r="L187" i="9"/>
  <c r="J187" i="9"/>
  <c r="D187" i="9" a="1"/>
  <c r="C187" i="9" a="1"/>
  <c r="L186" i="9"/>
  <c r="M186" i="9"/>
  <c r="J186" i="9"/>
  <c r="K186" i="9"/>
  <c r="C186" i="9" a="1"/>
  <c r="D186" i="9" a="1"/>
  <c r="L185" i="9"/>
  <c r="M185" i="9"/>
  <c r="J185" i="9"/>
  <c r="K185" i="9"/>
  <c r="D185" i="9" a="1"/>
  <c r="C185" i="9" a="1"/>
  <c r="K184" i="9"/>
  <c r="M184" i="9"/>
  <c r="L184" i="9"/>
  <c r="J184" i="9"/>
  <c r="D184" i="9" a="1"/>
  <c r="C184" i="9" a="1"/>
  <c r="J183" i="9"/>
  <c r="M183" i="9"/>
  <c r="L183" i="9"/>
  <c r="K183" i="9"/>
  <c r="C183" i="9" a="1"/>
  <c r="D183" i="9" a="1"/>
  <c r="M182" i="9"/>
  <c r="L182" i="9"/>
  <c r="J182" i="9"/>
  <c r="K182" i="9"/>
  <c r="D182" i="9" a="1"/>
  <c r="C182" i="9" a="1"/>
  <c r="M181" i="9"/>
  <c r="L181" i="9"/>
  <c r="J181" i="9"/>
  <c r="K181" i="9"/>
  <c r="C181" i="9" a="1"/>
  <c r="D181" i="9" a="1"/>
  <c r="M180" i="9"/>
  <c r="K180" i="9"/>
  <c r="L180" i="9"/>
  <c r="J180" i="9"/>
  <c r="D180" i="9" a="1"/>
  <c r="C180" i="9" a="1"/>
  <c r="L179" i="9"/>
  <c r="K179" i="9"/>
  <c r="J179" i="9"/>
  <c r="M179" i="9"/>
  <c r="D179" i="9" a="1"/>
  <c r="C179" i="9" a="1"/>
  <c r="K178" i="9"/>
  <c r="M178" i="9"/>
  <c r="L178" i="9"/>
  <c r="J178" i="9"/>
  <c r="C178" i="9" a="1"/>
  <c r="D178" i="9" a="1"/>
  <c r="K177" i="9"/>
  <c r="J177" i="9"/>
  <c r="L177" i="9"/>
  <c r="M177" i="9"/>
  <c r="D177" i="9" a="1"/>
  <c r="C177" i="9" a="1"/>
  <c r="K176" i="9"/>
  <c r="M176" i="9"/>
  <c r="J176" i="9"/>
  <c r="L176" i="9"/>
  <c r="C176" i="9" a="1"/>
  <c r="D176" i="9" a="1"/>
  <c r="M175" i="9"/>
  <c r="L175" i="9"/>
  <c r="J175" i="9"/>
  <c r="K175" i="9"/>
  <c r="C175" i="9" a="1"/>
  <c r="D175" i="9" a="1"/>
  <c r="K174" i="9"/>
  <c r="J174" i="9"/>
  <c r="M174" i="9"/>
  <c r="L174" i="9"/>
  <c r="C174" i="9" a="1"/>
  <c r="D174" i="9" a="1"/>
  <c r="M173" i="9"/>
  <c r="J173" i="9"/>
  <c r="K173" i="9"/>
  <c r="L173" i="9"/>
  <c r="C173" i="9" a="1"/>
  <c r="D173" i="9" a="1"/>
  <c r="K172" i="9"/>
  <c r="J172" i="9"/>
  <c r="L172" i="9"/>
  <c r="M172" i="9"/>
  <c r="D172" i="9" a="1"/>
  <c r="C172" i="9" a="1"/>
  <c r="M171" i="9"/>
  <c r="L171" i="9"/>
  <c r="K171" i="9"/>
  <c r="J171" i="9"/>
  <c r="D171" i="9" a="1"/>
  <c r="C171" i="9" a="1"/>
  <c r="M170" i="9"/>
  <c r="L170" i="9"/>
  <c r="K170" i="9"/>
  <c r="J170" i="9"/>
  <c r="D170" i="9" a="1"/>
  <c r="C170" i="9" a="1"/>
  <c r="J169" i="9"/>
  <c r="K169" i="9"/>
  <c r="M169" i="9"/>
  <c r="L169" i="9"/>
  <c r="C169" i="9" a="1"/>
  <c r="D169" i="9" a="1"/>
  <c r="K168" i="9"/>
  <c r="J168" i="9"/>
  <c r="M168" i="9"/>
  <c r="L168" i="9"/>
  <c r="D168" i="9" a="1"/>
  <c r="C168" i="9" a="1"/>
  <c r="J167" i="9"/>
  <c r="K167" i="9"/>
  <c r="M167" i="9"/>
  <c r="L167" i="9"/>
  <c r="D167" i="9" a="1"/>
  <c r="C167" i="9" a="1"/>
  <c r="M166" i="9"/>
  <c r="L166" i="9"/>
  <c r="J166" i="9"/>
  <c r="K166" i="9"/>
  <c r="C166" i="9" a="1"/>
  <c r="D166" i="9" a="1"/>
  <c r="K165" i="9"/>
  <c r="M165" i="9"/>
  <c r="J165" i="9"/>
  <c r="L165" i="9"/>
  <c r="C165" i="9" a="1"/>
  <c r="D165" i="9" a="1"/>
  <c r="K164" i="9"/>
  <c r="M164" i="9"/>
  <c r="L164" i="9"/>
  <c r="J164" i="9"/>
  <c r="C164" i="9" a="1"/>
  <c r="D164" i="9" a="1"/>
  <c r="M163" i="9"/>
  <c r="J163" i="9"/>
  <c r="L163" i="9"/>
  <c r="K163" i="9"/>
  <c r="C163" i="9" a="1"/>
  <c r="D163" i="9" a="1"/>
  <c r="K162" i="9"/>
  <c r="J162" i="9"/>
  <c r="L162" i="9"/>
  <c r="M162" i="9"/>
  <c r="D162" i="9" a="1"/>
  <c r="C162" i="9" a="1"/>
  <c r="K161" i="9"/>
  <c r="J161" i="9"/>
  <c r="M161" i="9"/>
  <c r="L161" i="9"/>
  <c r="D161" i="9" a="1"/>
  <c r="C161" i="9" a="1"/>
  <c r="J160" i="9"/>
  <c r="M160" i="9"/>
  <c r="L160" i="9"/>
  <c r="K160" i="9"/>
  <c r="D160" i="9" a="1"/>
  <c r="C160" i="9" a="1"/>
  <c r="K159" i="9"/>
  <c r="M159" i="9"/>
  <c r="J159" i="9"/>
  <c r="L159" i="9"/>
  <c r="C159" i="9" a="1"/>
  <c r="D159" i="9" a="1"/>
  <c r="J158" i="9"/>
  <c r="K158" i="9"/>
  <c r="L158" i="9"/>
  <c r="M158" i="9"/>
  <c r="C158" i="9" a="1"/>
  <c r="D158" i="9" a="1"/>
  <c r="J157" i="9"/>
  <c r="M157" i="9"/>
  <c r="L157" i="9"/>
  <c r="K157" i="9"/>
  <c r="D157" i="9" a="1"/>
  <c r="C157" i="9" a="1"/>
  <c r="J156" i="9"/>
  <c r="K156" i="9"/>
  <c r="L156" i="9"/>
  <c r="M156" i="9"/>
  <c r="C156" i="9" a="1"/>
  <c r="D156" i="9" a="1"/>
  <c r="K155" i="9"/>
  <c r="M155" i="9"/>
  <c r="L155" i="9"/>
  <c r="J155" i="9"/>
  <c r="C155" i="9" a="1"/>
  <c r="D155" i="9" a="1"/>
  <c r="M154" i="9"/>
  <c r="L154" i="9"/>
  <c r="J154" i="9"/>
  <c r="K154" i="9"/>
  <c r="D154" i="9" a="1"/>
  <c r="C154" i="9" a="1"/>
  <c r="L153" i="9"/>
  <c r="M153" i="9"/>
  <c r="J153" i="9"/>
  <c r="K153" i="9"/>
  <c r="C153" i="9" a="1"/>
  <c r="D153" i="9" a="1"/>
  <c r="M152" i="9"/>
  <c r="L152" i="9"/>
  <c r="J152" i="9"/>
  <c r="K152" i="9"/>
  <c r="C152" i="9" a="1"/>
  <c r="D152" i="9" a="1"/>
  <c r="M151" i="9"/>
  <c r="L151" i="9"/>
  <c r="J151" i="9"/>
  <c r="K151" i="9"/>
  <c r="C151" i="9" a="1"/>
  <c r="D151" i="9" a="1"/>
  <c r="L150" i="9"/>
  <c r="K150" i="9"/>
  <c r="M150" i="9"/>
  <c r="J150" i="9"/>
  <c r="D150" i="9" a="1"/>
  <c r="C150" i="9" a="1"/>
  <c r="L149" i="9"/>
  <c r="M149" i="9"/>
  <c r="J149" i="9"/>
  <c r="K149" i="9"/>
  <c r="C149" i="9" a="1"/>
  <c r="D149" i="9" a="1"/>
  <c r="K148" i="9"/>
  <c r="J148" i="9"/>
  <c r="L148" i="9"/>
  <c r="M148" i="9"/>
  <c r="C148" i="9" a="1"/>
  <c r="D148" i="9" a="1"/>
  <c r="L147" i="9"/>
  <c r="K147" i="9"/>
  <c r="M147" i="9"/>
  <c r="J147" i="9"/>
  <c r="C147" i="9" a="1"/>
  <c r="D147" i="9" a="1"/>
  <c r="L146" i="9"/>
  <c r="M146" i="9"/>
  <c r="K146" i="9"/>
  <c r="J146" i="9"/>
  <c r="D146" i="9" a="1"/>
  <c r="C146" i="9" a="1"/>
  <c r="M145" i="9"/>
  <c r="L145" i="9"/>
  <c r="J145" i="9"/>
  <c r="K145" i="9"/>
  <c r="C145" i="9" a="1"/>
  <c r="D145" i="9" a="1"/>
  <c r="M144" i="9"/>
  <c r="J144" i="9"/>
  <c r="L144" i="9"/>
  <c r="K144" i="9"/>
  <c r="D144" i="9" a="1"/>
  <c r="C144" i="9" a="1"/>
  <c r="K143" i="9"/>
  <c r="J143" i="9"/>
  <c r="M143" i="9"/>
  <c r="L143" i="9"/>
  <c r="D143" i="9" a="1"/>
  <c r="C143" i="9" a="1"/>
  <c r="M142" i="9"/>
  <c r="L142" i="9"/>
  <c r="J142" i="9"/>
  <c r="K142" i="9"/>
  <c r="D142" i="9" a="1"/>
  <c r="C142" i="9" a="1"/>
  <c r="K141" i="9"/>
  <c r="J141" i="9"/>
  <c r="L141" i="9"/>
  <c r="M141" i="9"/>
  <c r="D141" i="9" a="1"/>
  <c r="C141" i="9" a="1"/>
  <c r="K140" i="9"/>
  <c r="M140" i="9"/>
  <c r="J140" i="9"/>
  <c r="L140" i="9"/>
  <c r="C140" i="9" a="1"/>
  <c r="D140" i="9" a="1"/>
  <c r="L139" i="9"/>
  <c r="M139" i="9"/>
  <c r="J139" i="9"/>
  <c r="K139" i="9"/>
  <c r="C139" i="9" a="1"/>
  <c r="D139" i="9" a="1"/>
  <c r="M138" i="9"/>
  <c r="J138" i="9"/>
  <c r="L138" i="9"/>
  <c r="K138" i="9"/>
  <c r="D138" i="9" a="1"/>
  <c r="C138" i="9" a="1"/>
  <c r="J137" i="9"/>
  <c r="K137" i="9"/>
  <c r="M137" i="9"/>
  <c r="L137" i="9"/>
  <c r="D137" i="9" a="1"/>
  <c r="C137" i="9" a="1"/>
  <c r="M136" i="9"/>
  <c r="L136" i="9"/>
  <c r="K136" i="9"/>
  <c r="J136" i="9"/>
  <c r="D136" i="9" a="1"/>
  <c r="C136" i="9" a="1"/>
  <c r="K135" i="9"/>
  <c r="J135" i="9"/>
  <c r="L135" i="9"/>
  <c r="M135" i="9"/>
  <c r="C135" i="9" a="1"/>
  <c r="D135" i="9" a="1"/>
  <c r="M134" i="9"/>
  <c r="L134" i="9"/>
  <c r="J134" i="9"/>
  <c r="K134" i="9"/>
  <c r="D134" i="9" a="1"/>
  <c r="C134" i="9" a="1"/>
  <c r="J133" i="9"/>
  <c r="K133" i="9"/>
  <c r="L133" i="9"/>
  <c r="M133" i="9"/>
  <c r="D133" i="9" a="1"/>
  <c r="C133" i="9" a="1"/>
  <c r="M132" i="9"/>
  <c r="L132" i="9"/>
  <c r="K132" i="9"/>
  <c r="J132" i="9"/>
  <c r="C132" i="9" a="1"/>
  <c r="D132" i="9" a="1"/>
  <c r="J131" i="9"/>
  <c r="K131" i="9"/>
  <c r="L131" i="9"/>
  <c r="M131" i="9"/>
  <c r="D131" i="9" a="1"/>
  <c r="C131" i="9" a="1"/>
  <c r="M130" i="9"/>
  <c r="L130" i="9"/>
  <c r="K130" i="9"/>
  <c r="J130" i="9"/>
  <c r="C130" i="9" a="1"/>
  <c r="D130" i="9" a="1"/>
  <c r="M129" i="9"/>
  <c r="J129" i="9"/>
  <c r="K129" i="9"/>
  <c r="L129" i="9"/>
  <c r="C129" i="9" a="1"/>
  <c r="D129" i="9" a="1"/>
  <c r="M128" i="9"/>
  <c r="J128" i="9"/>
  <c r="K128" i="9"/>
  <c r="L128" i="9"/>
  <c r="C128" i="9" a="1"/>
  <c r="D128" i="9" a="1"/>
  <c r="M127" i="9"/>
  <c r="L127" i="9"/>
  <c r="J127" i="9"/>
  <c r="K127" i="9"/>
  <c r="C127" i="9" a="1"/>
  <c r="D127" i="9" a="1"/>
  <c r="J126" i="9"/>
  <c r="K126" i="9"/>
  <c r="L126" i="9"/>
  <c r="M126" i="9"/>
  <c r="D126" i="9" a="1"/>
  <c r="C126" i="9" a="1"/>
  <c r="L125" i="9"/>
  <c r="M125" i="9"/>
  <c r="J125" i="9"/>
  <c r="K125" i="9"/>
  <c r="D125" i="9" a="1"/>
  <c r="C125" i="9" a="1"/>
  <c r="J124" i="9"/>
  <c r="L124" i="9"/>
  <c r="K124" i="9"/>
  <c r="M124" i="9"/>
  <c r="C124" i="9" a="1"/>
  <c r="D124" i="9" a="1"/>
  <c r="J123" i="9"/>
  <c r="L123" i="9"/>
  <c r="M123" i="9"/>
  <c r="K123" i="9"/>
  <c r="C123" i="9" a="1"/>
  <c r="D123" i="9" a="1"/>
  <c r="L122" i="9"/>
  <c r="J122" i="9"/>
  <c r="K122" i="9"/>
  <c r="M122" i="9"/>
  <c r="C122" i="9" a="1"/>
  <c r="D122" i="9" a="1"/>
  <c r="M121" i="9"/>
  <c r="L121" i="9"/>
  <c r="K121" i="9"/>
  <c r="J121" i="9"/>
  <c r="D121" i="9" a="1"/>
  <c r="C121" i="9" a="1"/>
  <c r="K120" i="9"/>
  <c r="M120" i="9"/>
  <c r="J120" i="9"/>
  <c r="L120" i="9"/>
  <c r="C120" i="9" a="1"/>
  <c r="D120" i="9" a="1"/>
  <c r="J119" i="9"/>
  <c r="K119" i="9"/>
  <c r="M119" i="9"/>
  <c r="L119" i="9"/>
  <c r="C119" i="9" a="1"/>
  <c r="D119" i="9" a="1"/>
  <c r="M118" i="9"/>
  <c r="L118" i="9"/>
  <c r="K118" i="9"/>
  <c r="J118" i="9"/>
  <c r="C118" i="9" a="1"/>
  <c r="D118" i="9" a="1"/>
  <c r="K117" i="9"/>
  <c r="J117" i="9"/>
  <c r="L117" i="9"/>
  <c r="M117" i="9"/>
  <c r="C117" i="9" a="1"/>
  <c r="D117" i="9" a="1"/>
  <c r="J116" i="9"/>
  <c r="K116" i="9"/>
  <c r="L116" i="9"/>
  <c r="M116" i="9"/>
  <c r="C116" i="9" a="1"/>
  <c r="D116" i="9" a="1"/>
  <c r="M115" i="9"/>
  <c r="L115" i="9"/>
  <c r="K115" i="9"/>
  <c r="J115" i="9"/>
  <c r="D115" i="9" a="1"/>
  <c r="C115" i="9" a="1"/>
  <c r="M114" i="9"/>
  <c r="L114" i="9"/>
  <c r="K114" i="9"/>
  <c r="J114" i="9"/>
  <c r="D114" i="9" a="1"/>
  <c r="C114" i="9" a="1"/>
  <c r="L113" i="9"/>
  <c r="K113" i="9"/>
  <c r="J113" i="9"/>
  <c r="M113" i="9"/>
  <c r="D113" i="9" a="1"/>
  <c r="C113" i="9" a="1"/>
  <c r="J112" i="9"/>
  <c r="K112" i="9"/>
  <c r="M112" i="9"/>
  <c r="L112" i="9"/>
  <c r="D112" i="9" a="1"/>
  <c r="C112" i="9" a="1"/>
  <c r="K111" i="9"/>
  <c r="J111" i="9"/>
  <c r="L111" i="9"/>
  <c r="M111" i="9"/>
  <c r="D111" i="9" a="1"/>
  <c r="C111" i="9" a="1"/>
  <c r="M110" i="9"/>
  <c r="L110" i="9"/>
  <c r="K110" i="9"/>
  <c r="J110" i="9"/>
  <c r="D110" i="9" a="1"/>
  <c r="C110" i="9" a="1"/>
  <c r="M109" i="9"/>
  <c r="L109" i="9"/>
  <c r="J109" i="9"/>
  <c r="K109" i="9"/>
  <c r="D109" i="9" a="1"/>
  <c r="C109" i="9" a="1"/>
  <c r="J108" i="9"/>
  <c r="K108" i="9"/>
  <c r="L108" i="9"/>
  <c r="M108" i="9"/>
  <c r="C108" i="9" a="1"/>
  <c r="D108" i="9" a="1"/>
  <c r="J107" i="9"/>
  <c r="L107" i="9"/>
  <c r="M107" i="9"/>
  <c r="K107" i="9"/>
  <c r="D107" i="9" a="1"/>
  <c r="C107" i="9" a="1"/>
  <c r="M106" i="9"/>
  <c r="L106" i="9"/>
  <c r="K106" i="9"/>
  <c r="J106" i="9"/>
  <c r="C106" i="9" a="1"/>
  <c r="D106" i="9" a="1"/>
  <c r="J105" i="9"/>
  <c r="K105" i="9"/>
  <c r="L105" i="9"/>
  <c r="M105" i="9"/>
  <c r="C105" i="9" a="1"/>
  <c r="D105" i="9" a="1"/>
  <c r="J104" i="9"/>
  <c r="K104" i="9"/>
  <c r="L104" i="9"/>
  <c r="M104" i="9"/>
  <c r="C104" i="9" a="1"/>
  <c r="D104" i="9" a="1"/>
  <c r="L103" i="9"/>
  <c r="M103" i="9"/>
  <c r="J103" i="9"/>
  <c r="K103" i="9"/>
  <c r="D103" i="9" a="1"/>
  <c r="C103" i="9" a="1"/>
  <c r="J102" i="9"/>
  <c r="K102" i="9"/>
  <c r="L102" i="9"/>
  <c r="M102" i="9"/>
  <c r="C102" i="9" a="1"/>
  <c r="D102" i="9" a="1"/>
  <c r="M101" i="9"/>
  <c r="L101" i="9"/>
  <c r="K101" i="9"/>
  <c r="J101" i="9"/>
  <c r="D101" i="9" a="1"/>
  <c r="C101" i="9" a="1"/>
  <c r="J100" i="9"/>
  <c r="K100" i="9"/>
  <c r="L100" i="9"/>
  <c r="M100" i="9"/>
  <c r="C100" i="9" a="1"/>
  <c r="D100" i="9" a="1"/>
  <c r="M99" i="9"/>
  <c r="J99" i="9"/>
  <c r="K99" i="9"/>
  <c r="L99" i="9"/>
  <c r="C99" i="9" a="1"/>
  <c r="D99" i="9" a="1"/>
  <c r="L98" i="9"/>
  <c r="J98" i="9"/>
  <c r="K98" i="9"/>
  <c r="M98" i="9"/>
  <c r="D98" i="9" a="1"/>
  <c r="C98" i="9" a="1"/>
  <c r="K97" i="9"/>
  <c r="J97" i="9"/>
  <c r="M97" i="9"/>
  <c r="L97" i="9"/>
  <c r="D97" i="9" a="1"/>
  <c r="C97" i="9" a="1"/>
  <c r="M96" i="9"/>
  <c r="J96" i="9"/>
  <c r="K96" i="9"/>
  <c r="L96" i="9"/>
  <c r="C96" i="9" a="1"/>
  <c r="D96" i="9" a="1"/>
  <c r="L95" i="9"/>
  <c r="J95" i="9"/>
  <c r="K95" i="9"/>
  <c r="M95" i="9"/>
  <c r="C95" i="9" a="1"/>
  <c r="D95" i="9" a="1"/>
  <c r="K94" i="9"/>
  <c r="M94" i="9"/>
  <c r="J94" i="9"/>
  <c r="L94" i="9"/>
  <c r="C94" i="9" a="1"/>
  <c r="D94" i="9" a="1"/>
  <c r="M93" i="9"/>
  <c r="L93" i="9"/>
  <c r="K93" i="9"/>
  <c r="J93" i="9"/>
  <c r="C93" i="9" a="1"/>
  <c r="D93" i="9" a="1"/>
  <c r="J92" i="9"/>
  <c r="L92" i="9"/>
  <c r="K92" i="9"/>
  <c r="M92" i="9"/>
  <c r="D92" i="9" a="1"/>
  <c r="C92" i="9" a="1"/>
  <c r="M91" i="9"/>
  <c r="L91" i="9"/>
  <c r="K91" i="9"/>
  <c r="J91" i="9"/>
  <c r="D91" i="9" a="1"/>
  <c r="C91" i="9" a="1"/>
  <c r="L90" i="9"/>
  <c r="K90" i="9"/>
  <c r="M90" i="9"/>
  <c r="J90" i="9"/>
  <c r="C90" i="9" a="1"/>
  <c r="D90" i="9" a="1"/>
  <c r="J89" i="9"/>
  <c r="K89" i="9"/>
  <c r="L89" i="9"/>
  <c r="M89" i="9"/>
  <c r="C89" i="9" a="1"/>
  <c r="D89" i="9" a="1"/>
  <c r="J88" i="9"/>
  <c r="K88" i="9"/>
  <c r="L88" i="9"/>
  <c r="M88" i="9"/>
  <c r="C88" i="9" a="1"/>
  <c r="D88" i="9" a="1"/>
  <c r="L87" i="9"/>
  <c r="K87" i="9"/>
  <c r="J87" i="9"/>
  <c r="M87" i="9"/>
  <c r="C87" i="9" a="1"/>
  <c r="D87" i="9" a="1"/>
  <c r="M86" i="9"/>
  <c r="L86" i="9"/>
  <c r="J86" i="9"/>
  <c r="K86" i="9"/>
  <c r="C86" i="9" a="1"/>
  <c r="D86" i="9" a="1"/>
  <c r="M85" i="9"/>
  <c r="L85" i="9"/>
  <c r="K85" i="9"/>
  <c r="J85" i="9"/>
  <c r="D85" i="9" a="1"/>
  <c r="C85" i="9" a="1"/>
  <c r="M84" i="9"/>
  <c r="L84" i="9"/>
  <c r="K84" i="9"/>
  <c r="J84" i="9"/>
  <c r="D84" i="9" a="1"/>
  <c r="C84" i="9" a="1"/>
  <c r="K83" i="9"/>
  <c r="M83" i="9"/>
  <c r="L83" i="9"/>
  <c r="J83" i="9"/>
  <c r="C83" i="9" a="1"/>
  <c r="D83" i="9" a="1"/>
  <c r="J82" i="9"/>
  <c r="K82" i="9"/>
  <c r="L82" i="9"/>
  <c r="M82" i="9"/>
  <c r="D82" i="9" a="1"/>
  <c r="C82" i="9" a="1"/>
  <c r="M81" i="9"/>
  <c r="J81" i="9"/>
  <c r="K81" i="9"/>
  <c r="L81" i="9"/>
  <c r="D81" i="9" a="1"/>
  <c r="C81" i="9" a="1"/>
  <c r="K80" i="9"/>
  <c r="J80" i="9"/>
  <c r="L80" i="9"/>
  <c r="M80" i="9"/>
  <c r="D80" i="9" a="1"/>
  <c r="C80" i="9" a="1"/>
  <c r="M79" i="9"/>
  <c r="L79" i="9"/>
  <c r="K79" i="9"/>
  <c r="J79" i="9"/>
  <c r="D79" i="9" a="1"/>
  <c r="C79" i="9" a="1"/>
  <c r="M78" i="9"/>
  <c r="L78" i="9"/>
  <c r="K78" i="9"/>
  <c r="J78" i="9"/>
  <c r="C78" i="9" a="1"/>
  <c r="D78" i="9" a="1"/>
  <c r="J77" i="9"/>
  <c r="K77" i="9"/>
  <c r="L77" i="9"/>
  <c r="M77" i="9"/>
  <c r="C77" i="9" a="1"/>
  <c r="D77" i="9" a="1"/>
  <c r="J76" i="9"/>
  <c r="K76" i="9"/>
  <c r="L76" i="9"/>
  <c r="M76" i="9"/>
  <c r="C76" i="9" a="1"/>
  <c r="D76" i="9" a="1"/>
  <c r="J75" i="9"/>
  <c r="L75" i="9"/>
  <c r="M75" i="9"/>
  <c r="K75" i="9"/>
  <c r="D75" i="9" a="1"/>
  <c r="C75" i="9" a="1"/>
  <c r="J74" i="9"/>
  <c r="M74" i="9"/>
  <c r="L74" i="9"/>
  <c r="K74" i="9"/>
  <c r="D74" i="9" a="1"/>
  <c r="C74" i="9" a="1"/>
  <c r="K73" i="9"/>
  <c r="M73" i="9"/>
  <c r="L73" i="9"/>
  <c r="J73" i="9"/>
  <c r="C73" i="9" a="1"/>
  <c r="D73" i="9" a="1"/>
  <c r="M72" i="9"/>
  <c r="J72" i="9"/>
  <c r="L72" i="9"/>
  <c r="K72" i="9"/>
  <c r="D72" i="9" a="1"/>
  <c r="C72" i="9" a="1"/>
  <c r="L71" i="9"/>
  <c r="J71" i="9"/>
  <c r="M71" i="9"/>
  <c r="K71" i="9"/>
  <c r="C71" i="9" a="1"/>
  <c r="D71" i="9" a="1"/>
  <c r="M70" i="9"/>
  <c r="K70" i="9"/>
  <c r="J70" i="9"/>
  <c r="L70" i="9"/>
  <c r="D70" i="9" a="1"/>
  <c r="C70" i="9" a="1"/>
  <c r="J69" i="9"/>
  <c r="M69" i="9"/>
  <c r="L69" i="9"/>
  <c r="K69" i="9"/>
  <c r="D69" i="9" a="1"/>
  <c r="C69" i="9" a="1"/>
  <c r="M68" i="9"/>
  <c r="J68" i="9"/>
  <c r="L68" i="9"/>
  <c r="K68" i="9"/>
  <c r="C68" i="9" a="1"/>
  <c r="D68" i="9" a="1"/>
  <c r="J67" i="9"/>
  <c r="M67" i="9"/>
  <c r="K67" i="9"/>
  <c r="L67" i="9"/>
  <c r="C67" i="9" a="1"/>
  <c r="D67" i="9" a="1"/>
  <c r="J66" i="9"/>
  <c r="M66" i="9"/>
  <c r="L66" i="9"/>
  <c r="K66" i="9"/>
  <c r="C66" i="9" a="1"/>
  <c r="D66" i="9" a="1"/>
  <c r="L65" i="9"/>
  <c r="J65" i="9"/>
  <c r="K65" i="9"/>
  <c r="M65" i="9"/>
  <c r="C65" i="9" a="1"/>
  <c r="D65" i="9" a="1"/>
  <c r="J64" i="9"/>
  <c r="K64" i="9"/>
  <c r="M64" i="9"/>
  <c r="L64" i="9"/>
  <c r="C64" i="9" a="1"/>
  <c r="D64" i="9" a="1"/>
  <c r="L63" i="9"/>
  <c r="J63" i="9"/>
  <c r="M63" i="9"/>
  <c r="K63" i="9"/>
  <c r="D63" i="9" a="1"/>
  <c r="C63" i="9" a="1"/>
  <c r="M62" i="9"/>
  <c r="K62" i="9"/>
  <c r="L62" i="9"/>
  <c r="J62" i="9"/>
  <c r="C62" i="9" a="1"/>
  <c r="D62" i="9" a="1"/>
  <c r="L61" i="9"/>
  <c r="K61" i="9"/>
  <c r="M61" i="9"/>
  <c r="J61" i="9"/>
  <c r="D61" i="9" a="1"/>
  <c r="C61" i="9" a="1"/>
  <c r="K60" i="9"/>
  <c r="J60" i="9"/>
  <c r="M60" i="9"/>
  <c r="L60" i="9"/>
  <c r="C60" i="9" a="1"/>
  <c r="D60" i="9" a="1"/>
  <c r="J59" i="9"/>
  <c r="M59" i="9"/>
  <c r="L59" i="9"/>
  <c r="K59" i="9"/>
  <c r="D59" i="9" a="1"/>
  <c r="C59" i="9" a="1"/>
  <c r="K58" i="9"/>
  <c r="J58" i="9"/>
  <c r="M58" i="9"/>
  <c r="L58" i="9"/>
  <c r="C58" i="9" a="1"/>
  <c r="D58" i="9" a="1"/>
  <c r="J57" i="9"/>
  <c r="K57" i="9"/>
  <c r="L57" i="9"/>
  <c r="M57" i="9"/>
  <c r="D57" i="9" a="1"/>
  <c r="C57" i="9" a="1"/>
  <c r="M56" i="9"/>
  <c r="J56" i="9"/>
  <c r="K56" i="9"/>
  <c r="L56" i="9"/>
  <c r="D56" i="9" a="1"/>
  <c r="C56" i="9" a="1"/>
  <c r="L55" i="9"/>
  <c r="K55" i="9"/>
  <c r="M55" i="9"/>
  <c r="J55" i="9"/>
  <c r="D55" i="9" a="1"/>
  <c r="C55" i="9" a="1"/>
  <c r="M54" i="9"/>
  <c r="J54" i="9"/>
  <c r="K54" i="9"/>
  <c r="L54" i="9"/>
  <c r="D54" i="9" a="1"/>
  <c r="C54" i="9" a="1"/>
  <c r="L53" i="9"/>
  <c r="K53" i="9"/>
  <c r="M53" i="9"/>
  <c r="J53" i="9"/>
  <c r="D53" i="9" a="1"/>
  <c r="C53" i="9" a="1"/>
  <c r="K52" i="9"/>
  <c r="M52" i="9"/>
  <c r="L52" i="9"/>
  <c r="J52" i="9"/>
  <c r="D52" i="9" a="1"/>
  <c r="C52" i="9" a="1"/>
  <c r="M51" i="9"/>
  <c r="K51" i="9"/>
  <c r="L51" i="9"/>
  <c r="J51" i="9"/>
  <c r="D51" i="9" a="1"/>
  <c r="C51" i="9" a="1"/>
  <c r="M50" i="9"/>
  <c r="K50" i="9"/>
  <c r="J50" i="9"/>
  <c r="L50" i="9"/>
  <c r="D50" i="9" a="1"/>
  <c r="C50" i="9" a="1"/>
  <c r="J49" i="9"/>
  <c r="L49" i="9"/>
  <c r="K49" i="9"/>
  <c r="M49" i="9"/>
  <c r="C49" i="9" a="1"/>
  <c r="D49" i="9" a="1"/>
  <c r="J48" i="9"/>
  <c r="L48" i="9"/>
  <c r="K48" i="9"/>
  <c r="M48" i="9"/>
  <c r="C48" i="9" a="1"/>
  <c r="D48" i="9" a="1"/>
  <c r="M47" i="9"/>
  <c r="J47" i="9"/>
  <c r="L47" i="9"/>
  <c r="K47" i="9"/>
  <c r="D47" i="9" a="1"/>
  <c r="C47" i="9" a="1"/>
  <c r="M46" i="9"/>
  <c r="J46" i="9"/>
  <c r="L46" i="9"/>
  <c r="K46" i="9"/>
  <c r="C46" i="9" a="1"/>
  <c r="D46" i="9" a="1"/>
  <c r="M45" i="9"/>
  <c r="L45" i="9"/>
  <c r="J45" i="9"/>
  <c r="K45" i="9"/>
  <c r="D45" i="9" a="1"/>
  <c r="C45" i="9" a="1"/>
  <c r="J44" i="9"/>
  <c r="M44" i="9"/>
  <c r="K44" i="9"/>
  <c r="L44" i="9"/>
  <c r="C44" i="9" a="1"/>
  <c r="D44" i="9" a="1"/>
  <c r="K43" i="9"/>
  <c r="M43" i="9"/>
  <c r="J43" i="9"/>
  <c r="L43" i="9"/>
  <c r="C43" i="9" a="1"/>
  <c r="D43" i="9" a="1"/>
  <c r="M42" i="9"/>
  <c r="K42" i="9"/>
  <c r="L42" i="9"/>
  <c r="J42" i="9"/>
  <c r="C42" i="9" a="1"/>
  <c r="D42" i="9" a="1"/>
  <c r="J41" i="9"/>
  <c r="K41" i="9"/>
  <c r="M41" i="9"/>
  <c r="L41" i="9"/>
  <c r="D41" i="9" a="1"/>
  <c r="C41" i="9" a="1"/>
  <c r="M40" i="9"/>
  <c r="K40" i="9"/>
  <c r="L40" i="9"/>
  <c r="J40" i="9"/>
  <c r="D40" i="9" a="1"/>
  <c r="C40" i="9" a="1"/>
  <c r="K39" i="9"/>
  <c r="M39" i="9"/>
  <c r="L39" i="9"/>
  <c r="J39" i="9"/>
  <c r="C39" i="9" a="1"/>
  <c r="D39" i="9" a="1"/>
  <c r="M38" i="9"/>
  <c r="K38" i="9"/>
  <c r="L38" i="9"/>
  <c r="J38" i="9"/>
  <c r="D38" i="9" a="1"/>
  <c r="C38" i="9" a="1"/>
  <c r="M37" i="9"/>
  <c r="K37" i="9"/>
  <c r="L37" i="9"/>
  <c r="J37" i="9"/>
  <c r="C37" i="9" a="1"/>
  <c r="D37" i="9" a="1"/>
  <c r="K36" i="9"/>
  <c r="J36" i="9"/>
  <c r="M36" i="9"/>
  <c r="L36" i="9"/>
  <c r="C36" i="9" a="1"/>
  <c r="D36" i="9" a="1"/>
  <c r="L35" i="9"/>
  <c r="M35" i="9"/>
  <c r="K35" i="9"/>
  <c r="J35" i="9"/>
  <c r="D35" i="9" a="1"/>
  <c r="C35" i="9" a="1"/>
  <c r="M34" i="9"/>
  <c r="L34" i="9"/>
  <c r="K34" i="9"/>
  <c r="J34" i="9"/>
  <c r="D34" i="9" a="1"/>
  <c r="C34" i="9" a="1"/>
  <c r="K33" i="9"/>
  <c r="J33" i="9"/>
  <c r="L33" i="9"/>
  <c r="M33" i="9"/>
  <c r="D33" i="9" a="1"/>
  <c r="C33" i="9" a="1"/>
  <c r="K32" i="9"/>
  <c r="J32" i="9"/>
  <c r="L32" i="9"/>
  <c r="M32" i="9"/>
  <c r="C32" i="9" a="1"/>
  <c r="D32" i="9" a="1"/>
  <c r="L31" i="9"/>
  <c r="K31" i="9"/>
  <c r="M31" i="9"/>
  <c r="J31" i="9"/>
  <c r="C31" i="9" a="1"/>
  <c r="D31" i="9" a="1"/>
  <c r="L30" i="9"/>
  <c r="J30" i="9"/>
  <c r="K30" i="9"/>
  <c r="M30" i="9"/>
  <c r="D30" i="9" a="1"/>
  <c r="C30" i="9" a="1"/>
  <c r="L29" i="9"/>
  <c r="J29" i="9"/>
  <c r="K29" i="9"/>
  <c r="M29" i="9"/>
  <c r="D29" i="9" a="1"/>
  <c r="C29" i="9" a="1"/>
  <c r="L28" i="9"/>
  <c r="M28" i="9"/>
  <c r="K28" i="9"/>
  <c r="J28" i="9"/>
  <c r="D28" i="9" a="1"/>
  <c r="C28" i="9" a="1"/>
  <c r="M27" i="9"/>
  <c r="L27" i="9"/>
  <c r="J27" i="9"/>
  <c r="K27" i="9"/>
  <c r="D27" i="9" a="1"/>
  <c r="C27" i="9" a="1"/>
  <c r="M26" i="9"/>
  <c r="K26" i="9"/>
  <c r="L26" i="9"/>
  <c r="J26" i="9"/>
  <c r="D26" i="9" a="1"/>
  <c r="C26" i="9" a="1"/>
  <c r="J25" i="9"/>
  <c r="L25" i="9"/>
  <c r="M25" i="9"/>
  <c r="K25" i="9"/>
  <c r="C25" i="9" a="1"/>
  <c r="D25" i="9" a="1"/>
  <c r="J24" i="9"/>
  <c r="L24" i="9"/>
  <c r="M24" i="9"/>
  <c r="K24" i="9"/>
  <c r="D24" i="9" a="1"/>
  <c r="C24" i="9" a="1"/>
  <c r="M23" i="9"/>
  <c r="K23" i="9"/>
  <c r="L23" i="9"/>
  <c r="J23" i="9"/>
  <c r="D23" i="9" a="1"/>
  <c r="C23" i="9" a="1"/>
  <c r="M22" i="9"/>
  <c r="K22" i="9"/>
  <c r="J22" i="9"/>
  <c r="L22" i="9"/>
  <c r="C22" i="9" a="1"/>
  <c r="D22" i="9" a="1"/>
  <c r="L21" i="9"/>
  <c r="K21" i="9"/>
  <c r="M21" i="9"/>
  <c r="J21" i="9"/>
  <c r="C21" i="9" a="1"/>
  <c r="D21" i="9" a="1"/>
  <c r="L20" i="9"/>
  <c r="K20" i="9"/>
  <c r="M20" i="9"/>
  <c r="J20" i="9"/>
  <c r="C20" i="9" a="1"/>
  <c r="D20" i="9" a="1"/>
  <c r="M19" i="9"/>
  <c r="K19" i="9"/>
  <c r="J19" i="9"/>
  <c r="L19" i="9"/>
  <c r="D19" i="9" a="1"/>
  <c r="C19" i="9" a="1"/>
  <c r="L18" i="9"/>
  <c r="J18" i="9"/>
  <c r="K18" i="9"/>
  <c r="M18" i="9"/>
  <c r="D18" i="9" a="1"/>
  <c r="C18" i="9" a="1"/>
  <c r="M17" i="9"/>
  <c r="J17" i="9"/>
  <c r="L17" i="9"/>
  <c r="K17" i="9"/>
  <c r="C17" i="9" a="1"/>
  <c r="J16" i="9"/>
  <c r="M16" i="9"/>
  <c r="L16" i="9"/>
  <c r="K16" i="9"/>
  <c r="C16" i="9" a="1"/>
  <c r="D16" i="9" a="1"/>
  <c r="J15" i="9"/>
  <c r="K15" i="9"/>
  <c r="M15" i="9"/>
  <c r="L15" i="9"/>
  <c r="C15" i="9" a="1"/>
  <c r="D15" i="9" a="1"/>
  <c r="L14" i="9"/>
  <c r="J14" i="9"/>
  <c r="K14" i="9"/>
  <c r="M14" i="9"/>
  <c r="D14" i="9" a="1"/>
  <c r="C14" i="9" a="1"/>
  <c r="M13" i="9"/>
  <c r="L13" i="9"/>
  <c r="K13" i="9"/>
  <c r="J13" i="9"/>
  <c r="C13" i="9" a="1"/>
  <c r="D13" i="9" a="1"/>
  <c r="M12" i="9"/>
  <c r="K12" i="9"/>
  <c r="J12" i="9"/>
  <c r="L12" i="9"/>
  <c r="C12" i="9" a="1"/>
  <c r="D12" i="9" a="1"/>
  <c r="J11" i="9"/>
  <c r="L11" i="9"/>
  <c r="M11" i="9"/>
  <c r="K11" i="9"/>
  <c r="C11" i="9" a="1"/>
  <c r="D11" i="9" a="1"/>
  <c r="M10" i="9"/>
  <c r="L10" i="9"/>
  <c r="K10" i="9"/>
  <c r="J10" i="9"/>
  <c r="D10" i="9" a="1"/>
  <c r="C10" i="9" a="1"/>
  <c r="M9" i="9"/>
  <c r="L9" i="9"/>
  <c r="K9" i="9"/>
  <c r="J9" i="9"/>
  <c r="C9" i="9" a="1"/>
  <c r="D9" i="9" a="1"/>
  <c r="L8" i="9"/>
  <c r="M8" i="9"/>
  <c r="K8" i="9"/>
  <c r="J8" i="9"/>
  <c r="C8" i="9" a="1"/>
  <c r="D8" i="9" a="1"/>
  <c r="J7" i="9"/>
  <c r="K7" i="9"/>
  <c r="L7" i="9"/>
  <c r="M7" i="9"/>
  <c r="C7" i="9" a="1"/>
  <c r="D7" i="9" a="1"/>
  <c r="M6" i="9"/>
  <c r="L6" i="9"/>
  <c r="K6" i="9"/>
  <c r="J6" i="9"/>
  <c r="D6" i="9" a="1"/>
  <c r="C6" i="9" a="1"/>
  <c r="L5" i="9"/>
  <c r="K5" i="9"/>
  <c r="J5" i="9"/>
  <c r="M5" i="9"/>
  <c r="D5" i="9" a="1"/>
  <c r="C5" i="9" a="1"/>
  <c r="M4" i="9"/>
  <c r="L4" i="9"/>
  <c r="K4" i="9"/>
  <c r="J4" i="9"/>
  <c r="D4" i="9" a="1"/>
  <c r="C4" i="9" a="1"/>
  <c r="L3" i="9"/>
  <c r="J3" i="9"/>
  <c r="K3" i="9"/>
  <c r="M3" i="9"/>
  <c r="D3" i="9" a="1"/>
  <c r="C3" i="9" a="1"/>
  <c r="M2" i="9"/>
  <c r="L2" i="9"/>
  <c r="K2" i="9"/>
  <c r="J2" i="9"/>
  <c r="D2" i="9" a="1"/>
  <c r="C2" i="9" a="1"/>
  <c r="G176" i="8" a="1"/>
  <c r="E176" i="8"/>
  <c r="G175" i="8" a="1"/>
  <c r="E175" i="8"/>
  <c r="G174" i="8" a="1"/>
  <c r="E174" i="8"/>
  <c r="G173" i="8" a="1"/>
  <c r="E173" i="8"/>
  <c r="G172" i="8" a="1"/>
  <c r="E172" i="8"/>
  <c r="G171" i="8" a="1"/>
  <c r="E171" i="8"/>
  <c r="G170" i="8" a="1"/>
  <c r="E170" i="8"/>
  <c r="G169" i="8" a="1"/>
  <c r="E169" i="8"/>
  <c r="G168" i="8" a="1"/>
  <c r="E168" i="8"/>
  <c r="G167" i="8" a="1"/>
  <c r="E167" i="8"/>
  <c r="G166" i="8" a="1"/>
  <c r="E166" i="8"/>
  <c r="G165" i="8" a="1"/>
  <c r="E165" i="8"/>
  <c r="G164" i="8" a="1"/>
  <c r="E164" i="8"/>
  <c r="G163" i="8" a="1"/>
  <c r="E163" i="8"/>
  <c r="G162" i="8" a="1"/>
  <c r="E162" i="8"/>
  <c r="G161" i="8" a="1"/>
  <c r="E161" i="8"/>
  <c r="G160" i="8" a="1"/>
  <c r="E160" i="8"/>
  <c r="G159" i="8" a="1"/>
  <c r="E159" i="8"/>
  <c r="G158" i="8" a="1"/>
  <c r="E158" i="8"/>
  <c r="G157" i="8" a="1"/>
  <c r="E157" i="8"/>
  <c r="G156" i="8" a="1"/>
  <c r="E156" i="8"/>
  <c r="G155" i="8" a="1"/>
  <c r="E155" i="8"/>
  <c r="G154" i="8" a="1"/>
  <c r="E154" i="8"/>
  <c r="G153" i="8" a="1"/>
  <c r="E153" i="8"/>
  <c r="G152" i="8" a="1"/>
  <c r="E152" i="8"/>
  <c r="G151" i="8" a="1"/>
  <c r="E151" i="8"/>
  <c r="G150" i="8" a="1"/>
  <c r="E150" i="8"/>
  <c r="G149" i="8" a="1"/>
  <c r="E149" i="8"/>
  <c r="G148" i="8" a="1"/>
  <c r="E148" i="8"/>
  <c r="G147" i="8" a="1"/>
  <c r="E147" i="8"/>
  <c r="G146" i="8" a="1"/>
  <c r="E146" i="8"/>
  <c r="G145" i="8" a="1"/>
  <c r="E145" i="8"/>
  <c r="G144" i="8" a="1"/>
  <c r="E144" i="8"/>
  <c r="G143" i="8" a="1"/>
  <c r="E143" i="8"/>
  <c r="G142" i="8" a="1"/>
  <c r="E142" i="8"/>
  <c r="G141" i="8" a="1"/>
  <c r="E141" i="8"/>
  <c r="G140" i="8" a="1"/>
  <c r="E140" i="8"/>
  <c r="G139" i="8" a="1"/>
  <c r="E139" i="8"/>
  <c r="G138" i="8" a="1"/>
  <c r="E138" i="8"/>
  <c r="G137" i="8" a="1"/>
  <c r="E137" i="8"/>
  <c r="G136" i="8" a="1"/>
  <c r="E136" i="8"/>
  <c r="G135" i="8" a="1"/>
  <c r="E135" i="8"/>
  <c r="G134" i="8" a="1"/>
  <c r="E134" i="8"/>
  <c r="G133" i="8" a="1"/>
  <c r="E133" i="8"/>
  <c r="G132" i="8" a="1"/>
  <c r="E132" i="8"/>
  <c r="G131" i="8" a="1"/>
  <c r="E131" i="8"/>
  <c r="G130" i="8" a="1"/>
  <c r="E130" i="8"/>
  <c r="G129" i="8" a="1"/>
  <c r="E129" i="8"/>
  <c r="G128" i="8" a="1"/>
  <c r="E128" i="8"/>
  <c r="G127" i="8" a="1"/>
  <c r="E127" i="8"/>
  <c r="G126" i="8" a="1"/>
  <c r="E126" i="8"/>
  <c r="G125" i="8" a="1"/>
  <c r="E125" i="8"/>
  <c r="G124" i="8" a="1"/>
  <c r="E124" i="8"/>
  <c r="G123" i="8" a="1"/>
  <c r="E123" i="8"/>
  <c r="G122" i="8" a="1"/>
  <c r="E122" i="8"/>
  <c r="G121" i="8" a="1"/>
  <c r="E121" i="8"/>
  <c r="G120" i="8" a="1"/>
  <c r="E120" i="8"/>
  <c r="G119" i="8" a="1"/>
  <c r="E119" i="8"/>
  <c r="G118" i="8" a="1"/>
  <c r="E118" i="8"/>
  <c r="G111" i="8" a="1"/>
  <c r="G109" i="8" a="1"/>
  <c r="G107" i="8" a="1"/>
  <c r="G106" i="8" a="1"/>
  <c r="G105" i="8" a="1"/>
  <c r="G112" i="8" a="1"/>
  <c r="R112" i="8"/>
  <c r="G177" i="8" a="1"/>
  <c r="C177" i="8"/>
  <c r="D177" i="8"/>
  <c r="E177" i="8"/>
  <c r="Q177" i="8"/>
  <c r="R177" i="8"/>
  <c r="D229" i="8"/>
  <c r="G229" i="8" a="1"/>
  <c r="D228" i="8"/>
  <c r="G228" i="8" a="1"/>
  <c r="D227" i="8"/>
  <c r="G227" i="8" a="1"/>
  <c r="D226" i="8"/>
  <c r="G226" i="8" a="1"/>
  <c r="D225" i="8"/>
  <c r="G225" i="8" a="1"/>
  <c r="D224" i="8"/>
  <c r="G224" i="8" a="1"/>
  <c r="D223" i="8"/>
  <c r="G223" i="8" a="1"/>
  <c r="D222" i="8"/>
  <c r="G222" i="8" a="1"/>
  <c r="D59" i="8"/>
  <c r="G59" i="8" a="1"/>
  <c r="I48" i="8"/>
  <c r="M48" i="8" s="1"/>
  <c r="G48" i="8" a="1"/>
  <c r="C112" i="8"/>
  <c r="C111" i="8"/>
  <c r="D257" i="8"/>
  <c r="E257" i="8"/>
  <c r="D256" i="8"/>
  <c r="E256" i="8"/>
  <c r="D255" i="8"/>
  <c r="E255" i="8"/>
  <c r="D254" i="8"/>
  <c r="E254" i="8"/>
  <c r="D253" i="8"/>
  <c r="E253" i="8"/>
  <c r="D252" i="8"/>
  <c r="E252" i="8"/>
  <c r="D251" i="8"/>
  <c r="E251" i="8"/>
  <c r="D250" i="8"/>
  <c r="E250" i="8"/>
  <c r="D249" i="8"/>
  <c r="E249" i="8"/>
  <c r="D248" i="8"/>
  <c r="E248" i="8"/>
  <c r="D247" i="8"/>
  <c r="E247" i="8"/>
  <c r="D246" i="8"/>
  <c r="E246" i="8"/>
  <c r="D245" i="8"/>
  <c r="E245" i="8"/>
  <c r="D244" i="8"/>
  <c r="E244" i="8"/>
  <c r="D243" i="8"/>
  <c r="E243" i="8"/>
  <c r="D242" i="8"/>
  <c r="E242" i="8"/>
  <c r="D241" i="8"/>
  <c r="E241" i="8"/>
  <c r="D240" i="8"/>
  <c r="E240" i="8"/>
  <c r="D239" i="8"/>
  <c r="E239" i="8"/>
  <c r="D238" i="8"/>
  <c r="E238" i="8"/>
  <c r="D237" i="8"/>
  <c r="E237" i="8"/>
  <c r="D236" i="8"/>
  <c r="E236" i="8"/>
  <c r="D235" i="8"/>
  <c r="E235" i="8"/>
  <c r="D234" i="8"/>
  <c r="E234" i="8"/>
  <c r="D233" i="8"/>
  <c r="E233" i="8"/>
  <c r="D232" i="8"/>
  <c r="E232" i="8"/>
  <c r="D231" i="8"/>
  <c r="E231" i="8"/>
  <c r="D230" i="8"/>
  <c r="E230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0" i="8"/>
  <c r="D108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7" i="8"/>
  <c r="D78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8" i="8"/>
  <c r="D57" i="8"/>
  <c r="D56" i="8"/>
  <c r="D55" i="8"/>
  <c r="D54" i="8"/>
  <c r="D53" i="8"/>
  <c r="D52" i="8"/>
  <c r="D51" i="8"/>
  <c r="D50" i="8"/>
  <c r="D49" i="8"/>
  <c r="D47" i="8"/>
  <c r="D48" i="8"/>
  <c r="D46" i="8"/>
  <c r="D45" i="8"/>
  <c r="D44" i="8"/>
  <c r="D43" i="8"/>
  <c r="D42" i="8"/>
  <c r="D41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Q112" i="8"/>
  <c r="I218" i="8"/>
  <c r="I217" i="8"/>
  <c r="Q109" i="8"/>
  <c r="R109" i="8"/>
  <c r="Q107" i="8"/>
  <c r="R107" i="8"/>
  <c r="Q106" i="8"/>
  <c r="R106" i="8"/>
  <c r="Q105" i="8"/>
  <c r="R105" i="8"/>
  <c r="I257" i="8"/>
  <c r="M257" i="8" s="1"/>
  <c r="I256" i="8"/>
  <c r="M256" i="8" s="1"/>
  <c r="I255" i="8"/>
  <c r="M255" i="8" s="1"/>
  <c r="I254" i="8"/>
  <c r="M254" i="8" s="1"/>
  <c r="I253" i="8"/>
  <c r="M253" i="8" s="1"/>
  <c r="I252" i="8"/>
  <c r="M252" i="8" s="1"/>
  <c r="I251" i="8"/>
  <c r="M251" i="8" s="1"/>
  <c r="I250" i="8"/>
  <c r="M250" i="8" s="1"/>
  <c r="I249" i="8"/>
  <c r="M249" i="8" s="1"/>
  <c r="I248" i="8"/>
  <c r="M248" i="8" s="1"/>
  <c r="I247" i="8"/>
  <c r="M247" i="8" s="1"/>
  <c r="I246" i="8"/>
  <c r="M246" i="8" s="1"/>
  <c r="I245" i="8"/>
  <c r="M245" i="8" s="1"/>
  <c r="I244" i="8"/>
  <c r="M244" i="8" s="1"/>
  <c r="I243" i="8"/>
  <c r="M243" i="8" s="1"/>
  <c r="I242" i="8"/>
  <c r="M242" i="8" s="1"/>
  <c r="I241" i="8"/>
  <c r="M241" i="8" s="1"/>
  <c r="I240" i="8"/>
  <c r="M240" i="8" s="1"/>
  <c r="I239" i="8"/>
  <c r="M239" i="8" s="1"/>
  <c r="I238" i="8"/>
  <c r="M238" i="8" s="1"/>
  <c r="I237" i="8"/>
  <c r="I236" i="8"/>
  <c r="I235" i="8"/>
  <c r="I234" i="8"/>
  <c r="I233" i="8"/>
  <c r="I232" i="8"/>
  <c r="I231" i="8"/>
  <c r="I230" i="8"/>
  <c r="I229" i="8"/>
  <c r="I228" i="8"/>
  <c r="I227" i="8"/>
  <c r="I226" i="8"/>
  <c r="I225" i="8"/>
  <c r="I224" i="8"/>
  <c r="I223" i="8"/>
  <c r="I222" i="8"/>
  <c r="I221" i="8"/>
  <c r="I220" i="8"/>
  <c r="I219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0" i="8"/>
  <c r="I108" i="8"/>
  <c r="I104" i="8"/>
  <c r="I103" i="8"/>
  <c r="I102" i="8"/>
  <c r="I101" i="8"/>
  <c r="I100" i="8"/>
  <c r="I99" i="8"/>
  <c r="M99" i="8" s="1"/>
  <c r="I98" i="8"/>
  <c r="M98" i="8" s="1"/>
  <c r="I97" i="8"/>
  <c r="M97" i="8" s="1"/>
  <c r="I96" i="8"/>
  <c r="M96" i="8" s="1"/>
  <c r="I95" i="8"/>
  <c r="M95" i="8" s="1"/>
  <c r="I94" i="8"/>
  <c r="M94" i="8" s="1"/>
  <c r="I93" i="8"/>
  <c r="M93" i="8" s="1"/>
  <c r="I92" i="8"/>
  <c r="M92" i="8" s="1"/>
  <c r="I91" i="8"/>
  <c r="M91" i="8" s="1"/>
  <c r="I90" i="8"/>
  <c r="M90" i="8" s="1"/>
  <c r="I89" i="8"/>
  <c r="M89" i="8" s="1"/>
  <c r="I88" i="8"/>
  <c r="M88" i="8" s="1"/>
  <c r="I87" i="8"/>
  <c r="M87" i="8" s="1"/>
  <c r="I86" i="8"/>
  <c r="M86" i="8" s="1"/>
  <c r="I85" i="8"/>
  <c r="M85" i="8" s="1"/>
  <c r="I84" i="8"/>
  <c r="M84" i="8" s="1"/>
  <c r="I83" i="8"/>
  <c r="M83" i="8" s="1"/>
  <c r="I82" i="8"/>
  <c r="M82" i="8" s="1"/>
  <c r="I81" i="8"/>
  <c r="M81" i="8" s="1"/>
  <c r="I80" i="8"/>
  <c r="M80" i="8" s="1"/>
  <c r="I79" i="8"/>
  <c r="M79" i="8" s="1"/>
  <c r="I77" i="8"/>
  <c r="M77" i="8" s="1"/>
  <c r="I78" i="8"/>
  <c r="M78" i="8" s="1"/>
  <c r="I76" i="8"/>
  <c r="M76" i="8" s="1"/>
  <c r="I75" i="8"/>
  <c r="M75" i="8" s="1"/>
  <c r="I74" i="8"/>
  <c r="M74" i="8" s="1"/>
  <c r="I73" i="8"/>
  <c r="M73" i="8" s="1"/>
  <c r="I72" i="8"/>
  <c r="M72" i="8" s="1"/>
  <c r="I71" i="8"/>
  <c r="M71" i="8" s="1"/>
  <c r="I70" i="8"/>
  <c r="M70" i="8" s="1"/>
  <c r="I69" i="8"/>
  <c r="M69" i="8" s="1"/>
  <c r="I68" i="8"/>
  <c r="M68" i="8" s="1"/>
  <c r="I67" i="8"/>
  <c r="M67" i="8" s="1"/>
  <c r="I66" i="8"/>
  <c r="M66" i="8" s="1"/>
  <c r="I65" i="8"/>
  <c r="M65" i="8" s="1"/>
  <c r="C191" i="8"/>
  <c r="D191" i="8"/>
  <c r="C40" i="8"/>
  <c r="D40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0" i="8"/>
  <c r="C108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7" i="8"/>
  <c r="C78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7" i="8"/>
  <c r="C48" i="8"/>
  <c r="I40" i="8"/>
  <c r="M40" i="8" s="1"/>
  <c r="C46" i="8"/>
  <c r="C45" i="8"/>
  <c r="C44" i="8"/>
  <c r="C43" i="8"/>
  <c r="C42" i="8"/>
  <c r="C41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P59" i="8"/>
  <c r="O59" i="8"/>
  <c r="O257" i="8"/>
  <c r="N257" i="8"/>
  <c r="P257" i="8"/>
  <c r="P256" i="8"/>
  <c r="N256" i="8"/>
  <c r="O256" i="8"/>
  <c r="N255" i="8"/>
  <c r="O255" i="8"/>
  <c r="P255" i="8"/>
  <c r="O254" i="8"/>
  <c r="N254" i="8"/>
  <c r="P254" i="8"/>
  <c r="O253" i="8"/>
  <c r="P253" i="8"/>
  <c r="N253" i="8"/>
  <c r="N252" i="8"/>
  <c r="O252" i="8"/>
  <c r="P252" i="8"/>
  <c r="P251" i="8"/>
  <c r="N251" i="8"/>
  <c r="O251" i="8"/>
  <c r="N250" i="8"/>
  <c r="O250" i="8"/>
  <c r="P250" i="8"/>
  <c r="P249" i="8"/>
  <c r="O249" i="8"/>
  <c r="N249" i="8"/>
  <c r="O248" i="8"/>
  <c r="P248" i="8"/>
  <c r="N248" i="8"/>
  <c r="N247" i="8"/>
  <c r="O247" i="8"/>
  <c r="P247" i="8"/>
  <c r="N246" i="8"/>
  <c r="P246" i="8"/>
  <c r="O246" i="8"/>
  <c r="N245" i="8"/>
  <c r="P245" i="8"/>
  <c r="O245" i="8"/>
  <c r="O244" i="8"/>
  <c r="N244" i="8"/>
  <c r="P244" i="8"/>
  <c r="N243" i="8"/>
  <c r="P243" i="8"/>
  <c r="O243" i="8"/>
  <c r="P242" i="8"/>
  <c r="O242" i="8"/>
  <c r="N242" i="8"/>
  <c r="P241" i="8"/>
  <c r="O241" i="8"/>
  <c r="N241" i="8"/>
  <c r="N240" i="8"/>
  <c r="O240" i="8"/>
  <c r="P240" i="8"/>
  <c r="P239" i="8"/>
  <c r="O239" i="8"/>
  <c r="N239" i="8"/>
  <c r="N238" i="8"/>
  <c r="O238" i="8"/>
  <c r="P238" i="8"/>
  <c r="P237" i="8"/>
  <c r="O237" i="8"/>
  <c r="N237" i="8"/>
  <c r="M237" i="8"/>
  <c r="P236" i="8"/>
  <c r="O236" i="8"/>
  <c r="N236" i="8"/>
  <c r="M236" i="8"/>
  <c r="M235" i="8"/>
  <c r="P235" i="8"/>
  <c r="O235" i="8"/>
  <c r="N235" i="8"/>
  <c r="N234" i="8"/>
  <c r="O234" i="8"/>
  <c r="P234" i="8"/>
  <c r="M234" i="8"/>
  <c r="N233" i="8"/>
  <c r="O233" i="8"/>
  <c r="P233" i="8"/>
  <c r="M233" i="8"/>
  <c r="N232" i="8"/>
  <c r="O232" i="8"/>
  <c r="P232" i="8"/>
  <c r="M232" i="8"/>
  <c r="M231" i="8"/>
  <c r="N231" i="8"/>
  <c r="O231" i="8"/>
  <c r="P231" i="8"/>
  <c r="P230" i="8"/>
  <c r="O230" i="8"/>
  <c r="N230" i="8"/>
  <c r="M230" i="8"/>
  <c r="P229" i="8"/>
  <c r="O229" i="8"/>
  <c r="M229" i="8"/>
  <c r="N229" i="8"/>
  <c r="M228" i="8"/>
  <c r="N228" i="8"/>
  <c r="O228" i="8"/>
  <c r="P228" i="8"/>
  <c r="M227" i="8"/>
  <c r="N227" i="8"/>
  <c r="O227" i="8"/>
  <c r="P227" i="8"/>
  <c r="M226" i="8"/>
  <c r="O226" i="8"/>
  <c r="P226" i="8"/>
  <c r="N226" i="8"/>
  <c r="P225" i="8"/>
  <c r="O225" i="8"/>
  <c r="N225" i="8"/>
  <c r="M225" i="8"/>
  <c r="P224" i="8"/>
  <c r="O224" i="8"/>
  <c r="N224" i="8"/>
  <c r="M224" i="8"/>
  <c r="P223" i="8"/>
  <c r="O223" i="8"/>
  <c r="N223" i="8"/>
  <c r="M223" i="8"/>
  <c r="P222" i="8"/>
  <c r="O222" i="8"/>
  <c r="N222" i="8"/>
  <c r="M222" i="8"/>
  <c r="N221" i="8"/>
  <c r="O221" i="8"/>
  <c r="P221" i="8"/>
  <c r="M221" i="8"/>
  <c r="M220" i="8"/>
  <c r="N220" i="8"/>
  <c r="O220" i="8"/>
  <c r="P220" i="8"/>
  <c r="O219" i="8"/>
  <c r="M219" i="8"/>
  <c r="N219" i="8"/>
  <c r="P219" i="8"/>
  <c r="N218" i="8"/>
  <c r="O218" i="8"/>
  <c r="P218" i="8"/>
  <c r="M218" i="8"/>
  <c r="N217" i="8"/>
  <c r="O217" i="8"/>
  <c r="P217" i="8"/>
  <c r="M217" i="8"/>
  <c r="N216" i="8"/>
  <c r="M216" i="8"/>
  <c r="O216" i="8"/>
  <c r="P216" i="8"/>
  <c r="P215" i="8"/>
  <c r="N215" i="8"/>
  <c r="O215" i="8"/>
  <c r="M215" i="8"/>
  <c r="P214" i="8"/>
  <c r="O214" i="8"/>
  <c r="M214" i="8"/>
  <c r="N214" i="8"/>
  <c r="O213" i="8"/>
  <c r="M213" i="8"/>
  <c r="P213" i="8"/>
  <c r="N213" i="8"/>
  <c r="P212" i="8"/>
  <c r="O212" i="8"/>
  <c r="M212" i="8"/>
  <c r="N212" i="8"/>
  <c r="P211" i="8"/>
  <c r="O211" i="8"/>
  <c r="M211" i="8"/>
  <c r="N211" i="8"/>
  <c r="O210" i="8"/>
  <c r="M210" i="8"/>
  <c r="N210" i="8"/>
  <c r="P210" i="8"/>
  <c r="N209" i="8"/>
  <c r="O209" i="8"/>
  <c r="M209" i="8"/>
  <c r="P209" i="8"/>
  <c r="M208" i="8"/>
  <c r="O208" i="8"/>
  <c r="N208" i="8"/>
  <c r="P208" i="8"/>
  <c r="M207" i="8"/>
  <c r="P207" i="8"/>
  <c r="O207" i="8"/>
  <c r="N207" i="8"/>
  <c r="P206" i="8"/>
  <c r="O206" i="8"/>
  <c r="N206" i="8"/>
  <c r="M206" i="8"/>
  <c r="M205" i="8"/>
  <c r="N205" i="8"/>
  <c r="O205" i="8"/>
  <c r="P205" i="8"/>
  <c r="M204" i="8"/>
  <c r="N204" i="8"/>
  <c r="P204" i="8"/>
  <c r="O204" i="8"/>
  <c r="P203" i="8"/>
  <c r="O203" i="8"/>
  <c r="N203" i="8"/>
  <c r="M203" i="8"/>
  <c r="M202" i="8"/>
  <c r="O202" i="8"/>
  <c r="P202" i="8"/>
  <c r="N202" i="8"/>
  <c r="N201" i="8"/>
  <c r="M201" i="8"/>
  <c r="O201" i="8"/>
  <c r="P201" i="8"/>
  <c r="N200" i="8"/>
  <c r="P200" i="8"/>
  <c r="O200" i="8"/>
  <c r="M200" i="8"/>
  <c r="N199" i="8"/>
  <c r="O199" i="8"/>
  <c r="M199" i="8"/>
  <c r="P199" i="8"/>
  <c r="N198" i="8"/>
  <c r="P198" i="8"/>
  <c r="M198" i="8"/>
  <c r="O198" i="8"/>
  <c r="O197" i="8"/>
  <c r="M197" i="8"/>
  <c r="N197" i="8"/>
  <c r="P197" i="8"/>
  <c r="P196" i="8"/>
  <c r="N196" i="8"/>
  <c r="M196" i="8"/>
  <c r="O196" i="8"/>
  <c r="P195" i="8"/>
  <c r="M195" i="8"/>
  <c r="O195" i="8"/>
  <c r="N195" i="8"/>
  <c r="P194" i="8"/>
  <c r="O194" i="8"/>
  <c r="N194" i="8"/>
  <c r="M194" i="8"/>
  <c r="P193" i="8"/>
  <c r="N193" i="8"/>
  <c r="M193" i="8"/>
  <c r="O193" i="8"/>
  <c r="N192" i="8"/>
  <c r="O192" i="8"/>
  <c r="M192" i="8"/>
  <c r="P192" i="8"/>
  <c r="O191" i="8"/>
  <c r="N191" i="8"/>
  <c r="M191" i="8"/>
  <c r="P191" i="8"/>
  <c r="P190" i="8"/>
  <c r="O190" i="8"/>
  <c r="M190" i="8"/>
  <c r="N190" i="8"/>
  <c r="O189" i="8"/>
  <c r="P189" i="8"/>
  <c r="M189" i="8"/>
  <c r="N189" i="8"/>
  <c r="M188" i="8"/>
  <c r="O188" i="8"/>
  <c r="P188" i="8"/>
  <c r="N188" i="8"/>
  <c r="O187" i="8"/>
  <c r="M187" i="8"/>
  <c r="P187" i="8"/>
  <c r="N187" i="8"/>
  <c r="M186" i="8"/>
  <c r="O186" i="8"/>
  <c r="P186" i="8"/>
  <c r="N186" i="8"/>
  <c r="P185" i="8"/>
  <c r="O185" i="8"/>
  <c r="M185" i="8"/>
  <c r="N185" i="8"/>
  <c r="N184" i="8"/>
  <c r="P184" i="8"/>
  <c r="O184" i="8"/>
  <c r="M184" i="8"/>
  <c r="O183" i="8"/>
  <c r="M183" i="8"/>
  <c r="N183" i="8"/>
  <c r="P183" i="8"/>
  <c r="M182" i="8"/>
  <c r="O182" i="8"/>
  <c r="N182" i="8"/>
  <c r="P182" i="8"/>
  <c r="O181" i="8"/>
  <c r="N181" i="8"/>
  <c r="M181" i="8"/>
  <c r="P181" i="8"/>
  <c r="P180" i="8"/>
  <c r="M180" i="8"/>
  <c r="O180" i="8"/>
  <c r="N180" i="8"/>
  <c r="N179" i="8"/>
  <c r="M179" i="8"/>
  <c r="P179" i="8"/>
  <c r="O179" i="8"/>
  <c r="N178" i="8"/>
  <c r="P178" i="8"/>
  <c r="O178" i="8"/>
  <c r="M178" i="8"/>
  <c r="N176" i="8"/>
  <c r="M176" i="8"/>
  <c r="P176" i="8"/>
  <c r="O176" i="8"/>
  <c r="M175" i="8"/>
  <c r="N175" i="8"/>
  <c r="O175" i="8"/>
  <c r="P175" i="8"/>
  <c r="O174" i="8"/>
  <c r="M174" i="8"/>
  <c r="N174" i="8"/>
  <c r="P174" i="8"/>
  <c r="N173" i="8"/>
  <c r="P173" i="8"/>
  <c r="O173" i="8"/>
  <c r="M173" i="8"/>
  <c r="M172" i="8"/>
  <c r="P172" i="8"/>
  <c r="O172" i="8"/>
  <c r="N172" i="8"/>
  <c r="M171" i="8"/>
  <c r="P171" i="8"/>
  <c r="O171" i="8"/>
  <c r="N171" i="8"/>
  <c r="M170" i="8"/>
  <c r="P170" i="8"/>
  <c r="O170" i="8"/>
  <c r="N170" i="8"/>
  <c r="M169" i="8"/>
  <c r="P169" i="8"/>
  <c r="O169" i="8"/>
  <c r="N169" i="8"/>
  <c r="P168" i="8"/>
  <c r="M168" i="8"/>
  <c r="N168" i="8"/>
  <c r="O168" i="8"/>
  <c r="N167" i="8"/>
  <c r="O167" i="8"/>
  <c r="P167" i="8"/>
  <c r="M167" i="8"/>
  <c r="P166" i="8"/>
  <c r="N166" i="8"/>
  <c r="M166" i="8"/>
  <c r="O166" i="8"/>
  <c r="P165" i="8"/>
  <c r="O165" i="8"/>
  <c r="N165" i="8"/>
  <c r="M165" i="8"/>
  <c r="M164" i="8"/>
  <c r="P164" i="8"/>
  <c r="O164" i="8"/>
  <c r="N164" i="8"/>
  <c r="M163" i="8"/>
  <c r="N163" i="8"/>
  <c r="P163" i="8"/>
  <c r="O163" i="8"/>
  <c r="P162" i="8"/>
  <c r="O162" i="8"/>
  <c r="N162" i="8"/>
  <c r="M162" i="8"/>
  <c r="O161" i="8"/>
  <c r="M161" i="8"/>
  <c r="P161" i="8"/>
  <c r="N161" i="8"/>
  <c r="M160" i="8"/>
  <c r="N160" i="8"/>
  <c r="O160" i="8"/>
  <c r="P159" i="8"/>
  <c r="N159" i="8"/>
  <c r="M159" i="8"/>
  <c r="O159" i="8"/>
  <c r="P158" i="8"/>
  <c r="M158" i="8"/>
  <c r="N158" i="8"/>
  <c r="O158" i="8"/>
  <c r="M157" i="8"/>
  <c r="N157" i="8"/>
  <c r="O157" i="8"/>
  <c r="P157" i="8"/>
  <c r="M156" i="8"/>
  <c r="N156" i="8"/>
  <c r="O156" i="8"/>
  <c r="P156" i="8"/>
  <c r="N155" i="8"/>
  <c r="M155" i="8"/>
  <c r="O155" i="8"/>
  <c r="P155" i="8"/>
  <c r="N154" i="8"/>
  <c r="M154" i="8"/>
  <c r="O154" i="8"/>
  <c r="P154" i="8"/>
  <c r="M153" i="8"/>
  <c r="N153" i="8"/>
  <c r="O153" i="8"/>
  <c r="P153" i="8"/>
  <c r="M152" i="8"/>
  <c r="P152" i="8"/>
  <c r="O152" i="8"/>
  <c r="N152" i="8"/>
  <c r="N151" i="8"/>
  <c r="O151" i="8"/>
  <c r="M151" i="8"/>
  <c r="P151" i="8"/>
  <c r="P150" i="8"/>
  <c r="O150" i="8"/>
  <c r="N150" i="8"/>
  <c r="M150" i="8"/>
  <c r="N149" i="8"/>
  <c r="M149" i="8"/>
  <c r="P149" i="8"/>
  <c r="O149" i="8"/>
  <c r="O148" i="8"/>
  <c r="P148" i="8"/>
  <c r="M148" i="8"/>
  <c r="N148" i="8"/>
  <c r="M147" i="8"/>
  <c r="N147" i="8"/>
  <c r="O147" i="8"/>
  <c r="P147" i="8"/>
  <c r="M146" i="8"/>
  <c r="N146" i="8"/>
  <c r="O146" i="8"/>
  <c r="P146" i="8"/>
  <c r="O145" i="8"/>
  <c r="N145" i="8"/>
  <c r="M145" i="8"/>
  <c r="P145" i="8"/>
  <c r="P144" i="8"/>
  <c r="N144" i="8"/>
  <c r="M144" i="8"/>
  <c r="O144" i="8"/>
  <c r="P143" i="8"/>
  <c r="O143" i="8"/>
  <c r="N143" i="8"/>
  <c r="M143" i="8"/>
  <c r="P142" i="8"/>
  <c r="O142" i="8"/>
  <c r="M142" i="8"/>
  <c r="N142" i="8"/>
  <c r="M141" i="8"/>
  <c r="N141" i="8"/>
  <c r="O141" i="8"/>
  <c r="P141" i="8"/>
  <c r="N140" i="8"/>
  <c r="M140" i="8"/>
  <c r="O140" i="8"/>
  <c r="P140" i="8"/>
  <c r="M139" i="8"/>
  <c r="N139" i="8"/>
  <c r="O139" i="8"/>
  <c r="P139" i="8"/>
  <c r="M138" i="8"/>
  <c r="N138" i="8"/>
  <c r="O138" i="8"/>
  <c r="P138" i="8"/>
  <c r="M137" i="8"/>
  <c r="P137" i="8"/>
  <c r="O137" i="8"/>
  <c r="N137" i="8"/>
  <c r="N136" i="8"/>
  <c r="O136" i="8"/>
  <c r="P136" i="8"/>
  <c r="M136" i="8"/>
  <c r="O135" i="8"/>
  <c r="N135" i="8"/>
  <c r="M135" i="8"/>
  <c r="P135" i="8"/>
  <c r="P134" i="8"/>
  <c r="O134" i="8"/>
  <c r="N134" i="8"/>
  <c r="M134" i="8"/>
  <c r="P133" i="8"/>
  <c r="O133" i="8"/>
  <c r="N133" i="8"/>
  <c r="M133" i="8"/>
  <c r="N132" i="8"/>
  <c r="P132" i="8"/>
  <c r="M132" i="8"/>
  <c r="O132" i="8"/>
  <c r="P131" i="8"/>
  <c r="O131" i="8"/>
  <c r="N131" i="8"/>
  <c r="M131" i="8"/>
  <c r="P130" i="8"/>
  <c r="N130" i="8"/>
  <c r="M130" i="8"/>
  <c r="O130" i="8"/>
  <c r="P129" i="8"/>
  <c r="N129" i="8"/>
  <c r="M129" i="8"/>
  <c r="O129" i="8"/>
  <c r="O128" i="8"/>
  <c r="N128" i="8"/>
  <c r="M128" i="8"/>
  <c r="P128" i="8"/>
  <c r="M127" i="8"/>
  <c r="P127" i="8"/>
  <c r="O127" i="8"/>
  <c r="N127" i="8"/>
  <c r="P126" i="8"/>
  <c r="O126" i="8"/>
  <c r="N126" i="8"/>
  <c r="M126" i="8"/>
  <c r="M125" i="8"/>
  <c r="P125" i="8"/>
  <c r="O125" i="8"/>
  <c r="N125" i="8"/>
  <c r="M124" i="8"/>
  <c r="N124" i="8"/>
  <c r="O124" i="8"/>
  <c r="P124" i="8"/>
  <c r="M123" i="8"/>
  <c r="N123" i="8"/>
  <c r="O123" i="8"/>
  <c r="P123" i="8"/>
  <c r="P122" i="8"/>
  <c r="O122" i="8"/>
  <c r="N122" i="8"/>
  <c r="M122" i="8"/>
  <c r="P121" i="8"/>
  <c r="O121" i="8"/>
  <c r="N121" i="8"/>
  <c r="M121" i="8"/>
  <c r="P120" i="8"/>
  <c r="O120" i="8"/>
  <c r="N120" i="8"/>
  <c r="M120" i="8"/>
  <c r="M119" i="8"/>
  <c r="N119" i="8"/>
  <c r="O119" i="8"/>
  <c r="P119" i="8"/>
  <c r="M118" i="8"/>
  <c r="N118" i="8"/>
  <c r="P118" i="8"/>
  <c r="O118" i="8"/>
  <c r="M117" i="8"/>
  <c r="N117" i="8"/>
  <c r="O117" i="8"/>
  <c r="P117" i="8"/>
  <c r="O116" i="8"/>
  <c r="N116" i="8"/>
  <c r="M116" i="8"/>
  <c r="P116" i="8"/>
  <c r="N115" i="8"/>
  <c r="P115" i="8"/>
  <c r="O115" i="8"/>
  <c r="M115" i="8"/>
  <c r="N114" i="8"/>
  <c r="M114" i="8"/>
  <c r="O114" i="8"/>
  <c r="P114" i="8"/>
  <c r="P113" i="8"/>
  <c r="O113" i="8"/>
  <c r="N113" i="8"/>
  <c r="M113" i="8"/>
  <c r="M110" i="8"/>
  <c r="N110" i="8"/>
  <c r="O110" i="8"/>
  <c r="P110" i="8"/>
  <c r="P108" i="8"/>
  <c r="O108" i="8"/>
  <c r="N108" i="8"/>
  <c r="M108" i="8"/>
  <c r="P104" i="8"/>
  <c r="O104" i="8"/>
  <c r="N104" i="8"/>
  <c r="M104" i="8"/>
  <c r="M103" i="8"/>
  <c r="N103" i="8"/>
  <c r="P103" i="8"/>
  <c r="O103" i="8"/>
  <c r="M102" i="8"/>
  <c r="N102" i="8"/>
  <c r="O102" i="8"/>
  <c r="P102" i="8"/>
  <c r="N101" i="8"/>
  <c r="M101" i="8"/>
  <c r="O101" i="8"/>
  <c r="P101" i="8"/>
  <c r="M100" i="8"/>
  <c r="P100" i="8"/>
  <c r="O100" i="8"/>
  <c r="N100" i="8"/>
  <c r="N99" i="8"/>
  <c r="P99" i="8"/>
  <c r="O99" i="8"/>
  <c r="N98" i="8"/>
  <c r="O98" i="8"/>
  <c r="P98" i="8"/>
  <c r="P97" i="8"/>
  <c r="O97" i="8"/>
  <c r="N97" i="8"/>
  <c r="P96" i="8"/>
  <c r="O96" i="8"/>
  <c r="N96" i="8"/>
  <c r="P95" i="8"/>
  <c r="O95" i="8"/>
  <c r="N95" i="8"/>
  <c r="O94" i="8"/>
  <c r="P94" i="8"/>
  <c r="N94" i="8"/>
  <c r="N93" i="8"/>
  <c r="O93" i="8"/>
  <c r="P93" i="8"/>
  <c r="N92" i="8"/>
  <c r="O92" i="8"/>
  <c r="P92" i="8"/>
  <c r="O91" i="8"/>
  <c r="P91" i="8"/>
  <c r="N91" i="8"/>
  <c r="O90" i="8"/>
  <c r="P90" i="8"/>
  <c r="N90" i="8"/>
  <c r="N89" i="8"/>
  <c r="P89" i="8"/>
  <c r="O89" i="8"/>
  <c r="O88" i="8"/>
  <c r="P88" i="8"/>
  <c r="N88" i="8"/>
  <c r="N87" i="8"/>
  <c r="O87" i="8"/>
  <c r="P87" i="8"/>
  <c r="P86" i="8"/>
  <c r="O86" i="8"/>
  <c r="N86" i="8"/>
  <c r="N85" i="8"/>
  <c r="P85" i="8"/>
  <c r="O85" i="8"/>
  <c r="O84" i="8"/>
  <c r="N84" i="8"/>
  <c r="P84" i="8"/>
  <c r="P83" i="8"/>
  <c r="O83" i="8"/>
  <c r="N83" i="8"/>
  <c r="P82" i="8"/>
  <c r="O82" i="8"/>
  <c r="N82" i="8"/>
  <c r="N81" i="8"/>
  <c r="P81" i="8"/>
  <c r="O81" i="8"/>
  <c r="P80" i="8"/>
  <c r="O80" i="8"/>
  <c r="N80" i="8"/>
  <c r="O79" i="8"/>
  <c r="P79" i="8"/>
  <c r="N79" i="8"/>
  <c r="N77" i="8"/>
  <c r="P77" i="8"/>
  <c r="O77" i="8"/>
  <c r="N78" i="8"/>
  <c r="O78" i="8"/>
  <c r="P78" i="8"/>
  <c r="P76" i="8"/>
  <c r="O76" i="8"/>
  <c r="N76" i="8"/>
  <c r="P75" i="8"/>
  <c r="O75" i="8"/>
  <c r="N75" i="8"/>
  <c r="P74" i="8"/>
  <c r="O74" i="8"/>
  <c r="N74" i="8"/>
  <c r="P73" i="8"/>
  <c r="O73" i="8"/>
  <c r="N73" i="8"/>
  <c r="P72" i="8"/>
  <c r="O72" i="8"/>
  <c r="N72" i="8"/>
  <c r="P71" i="8"/>
  <c r="O71" i="8"/>
  <c r="N71" i="8"/>
  <c r="N70" i="8"/>
  <c r="P70" i="8"/>
  <c r="O70" i="8"/>
  <c r="N69" i="8"/>
  <c r="O69" i="8"/>
  <c r="P69" i="8"/>
  <c r="N68" i="8"/>
  <c r="O68" i="8"/>
  <c r="P68" i="8"/>
  <c r="P67" i="8"/>
  <c r="N67" i="8"/>
  <c r="O67" i="8"/>
  <c r="N66" i="8"/>
  <c r="P66" i="8"/>
  <c r="O66" i="8"/>
  <c r="N65" i="8"/>
  <c r="P65" i="8"/>
  <c r="O65" i="8"/>
  <c r="P64" i="8"/>
  <c r="N64" i="8"/>
  <c r="M64" i="8"/>
  <c r="O64" i="8"/>
  <c r="P63" i="8"/>
  <c r="O63" i="8"/>
  <c r="N63" i="8"/>
  <c r="M63" i="8"/>
  <c r="P62" i="8"/>
  <c r="O62" i="8"/>
  <c r="N62" i="8"/>
  <c r="M62" i="8"/>
  <c r="M61" i="8"/>
  <c r="N61" i="8"/>
  <c r="P61" i="8"/>
  <c r="O61" i="8"/>
  <c r="O60" i="8"/>
  <c r="N60" i="8"/>
  <c r="M60" i="8"/>
  <c r="P60" i="8"/>
  <c r="M59" i="8"/>
  <c r="N59" i="8"/>
  <c r="O58" i="8"/>
  <c r="P58" i="8"/>
  <c r="N58" i="8"/>
  <c r="M58" i="8"/>
  <c r="P57" i="8"/>
  <c r="O57" i="8"/>
  <c r="N57" i="8"/>
  <c r="M57" i="8"/>
  <c r="P56" i="8"/>
  <c r="O56" i="8"/>
  <c r="N56" i="8"/>
  <c r="M56" i="8"/>
  <c r="M55" i="8"/>
  <c r="O55" i="8"/>
  <c r="N55" i="8"/>
  <c r="P55" i="8"/>
  <c r="N54" i="8"/>
  <c r="O54" i="8"/>
  <c r="P54" i="8"/>
  <c r="M54" i="8"/>
  <c r="M53" i="8"/>
  <c r="P53" i="8"/>
  <c r="O53" i="8"/>
  <c r="N53" i="8"/>
  <c r="P52" i="8"/>
  <c r="O52" i="8"/>
  <c r="N52" i="8"/>
  <c r="M52" i="8"/>
  <c r="P51" i="8"/>
  <c r="O51" i="8"/>
  <c r="N51" i="8"/>
  <c r="M51" i="8"/>
  <c r="P50" i="8"/>
  <c r="O50" i="8"/>
  <c r="N50" i="8"/>
  <c r="M50" i="8"/>
  <c r="P49" i="8"/>
  <c r="O49" i="8"/>
  <c r="N49" i="8"/>
  <c r="M49" i="8"/>
  <c r="O47" i="8"/>
  <c r="N47" i="8"/>
  <c r="M47" i="8"/>
  <c r="P47" i="8"/>
  <c r="P48" i="8"/>
  <c r="O48" i="8"/>
  <c r="N48" i="8"/>
  <c r="P40" i="8"/>
  <c r="O40" i="8"/>
  <c r="N40" i="8"/>
  <c r="P46" i="8"/>
  <c r="O46" i="8"/>
  <c r="N46" i="8"/>
  <c r="M46" i="8"/>
  <c r="P45" i="8"/>
  <c r="O45" i="8"/>
  <c r="N45" i="8"/>
  <c r="M45" i="8"/>
  <c r="M44" i="8"/>
  <c r="P44" i="8"/>
  <c r="O44" i="8"/>
  <c r="N44" i="8"/>
  <c r="M43" i="8"/>
  <c r="N43" i="8"/>
  <c r="O43" i="8"/>
  <c r="P43" i="8"/>
  <c r="O42" i="8"/>
  <c r="P42" i="8"/>
  <c r="N42" i="8"/>
  <c r="M42" i="8"/>
  <c r="P41" i="8"/>
  <c r="O41" i="8"/>
  <c r="N41" i="8"/>
  <c r="M41" i="8"/>
  <c r="P39" i="8"/>
  <c r="O39" i="8"/>
  <c r="N39" i="8"/>
  <c r="M39" i="8"/>
  <c r="M38" i="8"/>
  <c r="N38" i="8"/>
  <c r="O38" i="8"/>
  <c r="P38" i="8"/>
  <c r="M37" i="8"/>
  <c r="O37" i="8"/>
  <c r="P37" i="8"/>
  <c r="N37" i="8"/>
  <c r="M36" i="8"/>
  <c r="P36" i="8"/>
  <c r="O36" i="8"/>
  <c r="N36" i="8"/>
  <c r="O35" i="8"/>
  <c r="N35" i="8"/>
  <c r="M35" i="8"/>
  <c r="P35" i="8"/>
  <c r="N34" i="8"/>
  <c r="P34" i="8"/>
  <c r="M34" i="8"/>
  <c r="O34" i="8"/>
  <c r="O33" i="8"/>
  <c r="N33" i="8"/>
  <c r="M33" i="8"/>
  <c r="P33" i="8"/>
  <c r="M32" i="8"/>
  <c r="P32" i="8"/>
  <c r="O32" i="8"/>
  <c r="N32" i="8"/>
  <c r="N31" i="8"/>
  <c r="M31" i="8"/>
  <c r="O31" i="8"/>
  <c r="P31" i="8"/>
  <c r="O30" i="8"/>
  <c r="N30" i="8"/>
  <c r="M30" i="8"/>
  <c r="P30" i="8"/>
  <c r="P29" i="8"/>
  <c r="O29" i="8"/>
  <c r="N29" i="8"/>
  <c r="M29" i="8"/>
  <c r="M28" i="8"/>
  <c r="P28" i="8"/>
  <c r="O28" i="8"/>
  <c r="N28" i="8"/>
  <c r="P27" i="8"/>
  <c r="O27" i="8"/>
  <c r="N27" i="8"/>
  <c r="M27" i="8"/>
  <c r="P26" i="8"/>
  <c r="O26" i="8"/>
  <c r="N26" i="8"/>
  <c r="M26" i="8"/>
  <c r="P25" i="8"/>
  <c r="O25" i="8"/>
  <c r="N25" i="8"/>
  <c r="M25" i="8"/>
  <c r="P24" i="8"/>
  <c r="O24" i="8"/>
  <c r="N24" i="8"/>
  <c r="M24" i="8"/>
  <c r="M23" i="8"/>
  <c r="N23" i="8"/>
  <c r="O23" i="8"/>
  <c r="P23" i="8"/>
  <c r="P22" i="8"/>
  <c r="O22" i="8"/>
  <c r="N22" i="8"/>
  <c r="M22" i="8"/>
  <c r="N21" i="8"/>
  <c r="P21" i="8"/>
  <c r="O21" i="8"/>
  <c r="M21" i="8"/>
  <c r="P20" i="8"/>
  <c r="O20" i="8"/>
  <c r="M20" i="8"/>
  <c r="N20" i="8"/>
  <c r="M19" i="8"/>
  <c r="N19" i="8"/>
  <c r="O19" i="8"/>
  <c r="P19" i="8"/>
  <c r="N18" i="8"/>
  <c r="O18" i="8"/>
  <c r="P18" i="8"/>
  <c r="M18" i="8"/>
  <c r="N17" i="8"/>
  <c r="O17" i="8"/>
  <c r="P17" i="8"/>
  <c r="M17" i="8"/>
  <c r="M16" i="8"/>
  <c r="N16" i="8"/>
  <c r="O16" i="8"/>
  <c r="P16" i="8"/>
  <c r="P15" i="8"/>
  <c r="M15" i="8"/>
  <c r="N15" i="8"/>
  <c r="O15" i="8"/>
  <c r="O14" i="8"/>
  <c r="P14" i="8"/>
  <c r="M14" i="8"/>
  <c r="N14" i="8"/>
  <c r="O13" i="8"/>
  <c r="P13" i="8"/>
  <c r="M13" i="8"/>
  <c r="N13" i="8"/>
  <c r="N12" i="8"/>
  <c r="M12" i="8"/>
  <c r="P12" i="8"/>
  <c r="O12" i="8"/>
  <c r="P11" i="8"/>
  <c r="O11" i="8"/>
  <c r="N11" i="8"/>
  <c r="M11" i="8"/>
  <c r="M10" i="8"/>
  <c r="P10" i="8"/>
  <c r="O10" i="8"/>
  <c r="N10" i="8"/>
  <c r="M9" i="8"/>
  <c r="N9" i="8"/>
  <c r="O9" i="8"/>
  <c r="P9" i="8"/>
  <c r="O8" i="8"/>
  <c r="N8" i="8"/>
  <c r="M8" i="8"/>
  <c r="P8" i="8"/>
  <c r="P7" i="8"/>
  <c r="O7" i="8"/>
  <c r="N7" i="8"/>
  <c r="M7" i="8"/>
  <c r="P6" i="8"/>
  <c r="O6" i="8"/>
  <c r="N6" i="8"/>
  <c r="M6" i="8"/>
  <c r="O5" i="8"/>
  <c r="N5" i="8"/>
  <c r="M5" i="8"/>
  <c r="P5" i="8"/>
  <c r="M4" i="8"/>
  <c r="N4" i="8"/>
  <c r="P4" i="8"/>
  <c r="O4" i="8"/>
  <c r="P3" i="8"/>
  <c r="O3" i="8"/>
  <c r="M3" i="8"/>
  <c r="N3" i="8"/>
  <c r="O2" i="8"/>
  <c r="N2" i="8"/>
  <c r="M2" i="8"/>
  <c r="P2" i="8"/>
  <c r="N257" i="9" l="1"/>
  <c r="O257" i="9"/>
  <c r="N256" i="9"/>
  <c r="O256" i="9"/>
  <c r="N255" i="9"/>
  <c r="O255" i="9"/>
  <c r="N254" i="9"/>
  <c r="O254" i="9"/>
  <c r="N253" i="9"/>
  <c r="O253" i="9"/>
  <c r="N252" i="9"/>
  <c r="O252" i="9"/>
  <c r="N251" i="9"/>
  <c r="O251" i="9"/>
  <c r="N250" i="9"/>
  <c r="O250" i="9"/>
  <c r="N249" i="9"/>
  <c r="O249" i="9"/>
  <c r="N248" i="9"/>
  <c r="O248" i="9"/>
  <c r="N247" i="9"/>
  <c r="O247" i="9"/>
  <c r="N246" i="9"/>
  <c r="O246" i="9"/>
  <c r="N245" i="9"/>
  <c r="O245" i="9"/>
  <c r="N244" i="9"/>
  <c r="O244" i="9"/>
  <c r="N243" i="9"/>
  <c r="O243" i="9"/>
  <c r="N242" i="9"/>
  <c r="O242" i="9"/>
  <c r="N241" i="9"/>
  <c r="O241" i="9"/>
  <c r="O240" i="9"/>
  <c r="N240" i="9"/>
  <c r="N239" i="9"/>
  <c r="O239" i="9"/>
  <c r="N238" i="9"/>
  <c r="O238" i="9"/>
  <c r="N237" i="9"/>
  <c r="O237" i="9"/>
  <c r="N236" i="9"/>
  <c r="O236" i="9"/>
  <c r="N235" i="9"/>
  <c r="O235" i="9"/>
  <c r="O234" i="9"/>
  <c r="N234" i="9"/>
  <c r="O233" i="9"/>
  <c r="N233" i="9"/>
  <c r="N232" i="9"/>
  <c r="O232" i="9"/>
  <c r="O231" i="9"/>
  <c r="N231" i="9"/>
  <c r="N230" i="9"/>
  <c r="O230" i="9"/>
  <c r="N229" i="9"/>
  <c r="O229" i="9"/>
  <c r="N228" i="9"/>
  <c r="O228" i="9"/>
  <c r="N227" i="9"/>
  <c r="O227" i="9"/>
  <c r="N226" i="9"/>
  <c r="O226" i="9"/>
  <c r="N225" i="9"/>
  <c r="O225" i="9"/>
  <c r="N224" i="9"/>
  <c r="O224" i="9"/>
  <c r="N223" i="9"/>
  <c r="O223" i="9"/>
  <c r="N222" i="9"/>
  <c r="O222" i="9"/>
  <c r="O221" i="9"/>
  <c r="N221" i="9"/>
  <c r="O220" i="9"/>
  <c r="N220" i="9"/>
  <c r="O219" i="9"/>
  <c r="N219" i="9"/>
  <c r="O218" i="9"/>
  <c r="N218" i="9"/>
  <c r="O217" i="9"/>
  <c r="N217" i="9"/>
  <c r="N216" i="9"/>
  <c r="O216" i="9"/>
  <c r="N215" i="9"/>
  <c r="O215" i="9"/>
  <c r="N214" i="9"/>
  <c r="O214" i="9"/>
  <c r="N213" i="9"/>
  <c r="O213" i="9"/>
  <c r="N212" i="9"/>
  <c r="O212" i="9"/>
  <c r="N211" i="9"/>
  <c r="O211" i="9"/>
  <c r="N210" i="9"/>
  <c r="O210" i="9"/>
  <c r="N209" i="9"/>
  <c r="O209" i="9"/>
  <c r="N208" i="9"/>
  <c r="O208" i="9"/>
  <c r="N207" i="9"/>
  <c r="O207" i="9"/>
  <c r="N206" i="9"/>
  <c r="O206" i="9"/>
  <c r="N205" i="9"/>
  <c r="O205" i="9"/>
  <c r="N204" i="9"/>
  <c r="O204" i="9"/>
  <c r="N203" i="9"/>
  <c r="O203" i="9"/>
  <c r="N202" i="9"/>
  <c r="O202" i="9"/>
  <c r="N201" i="9"/>
  <c r="O201" i="9"/>
  <c r="N200" i="9"/>
  <c r="O200" i="9"/>
  <c r="O199" i="9"/>
  <c r="N199" i="9"/>
  <c r="N198" i="9"/>
  <c r="O198" i="9"/>
  <c r="N197" i="9"/>
  <c r="O197" i="9"/>
  <c r="N196" i="9"/>
  <c r="O196" i="9"/>
  <c r="N195" i="9"/>
  <c r="O195" i="9"/>
  <c r="N194" i="9"/>
  <c r="O194" i="9"/>
  <c r="O193" i="9"/>
  <c r="N193" i="9"/>
  <c r="N192" i="9"/>
  <c r="O192" i="9"/>
  <c r="N191" i="9"/>
  <c r="O191" i="9"/>
  <c r="N190" i="9"/>
  <c r="O190" i="9"/>
  <c r="N189" i="9"/>
  <c r="O189" i="9"/>
  <c r="O188" i="9"/>
  <c r="N188" i="9"/>
  <c r="N187" i="9"/>
  <c r="O187" i="9"/>
  <c r="N186" i="9"/>
  <c r="O186" i="9"/>
  <c r="O185" i="9"/>
  <c r="N185" i="9"/>
  <c r="N184" i="9"/>
  <c r="O184" i="9"/>
  <c r="N183" i="9"/>
  <c r="O183" i="9"/>
  <c r="N182" i="9"/>
  <c r="O182" i="9"/>
  <c r="N181" i="9"/>
  <c r="O181" i="9"/>
  <c r="N180" i="9"/>
  <c r="O180" i="9"/>
  <c r="N179" i="9"/>
  <c r="O179" i="9"/>
  <c r="O178" i="9"/>
  <c r="N178" i="9"/>
  <c r="N177" i="9"/>
  <c r="O177" i="9"/>
  <c r="N176" i="9"/>
  <c r="O176" i="9"/>
  <c r="N175" i="9"/>
  <c r="O175" i="9"/>
  <c r="O174" i="9"/>
  <c r="N174" i="9"/>
  <c r="N173" i="9"/>
  <c r="O173" i="9"/>
  <c r="N172" i="9"/>
  <c r="O172" i="9"/>
  <c r="N171" i="9"/>
  <c r="O171" i="9"/>
  <c r="N170" i="9"/>
  <c r="O170" i="9"/>
  <c r="N169" i="9"/>
  <c r="O169" i="9"/>
  <c r="N168" i="9"/>
  <c r="O168" i="9"/>
  <c r="N167" i="9"/>
  <c r="O167" i="9"/>
  <c r="N166" i="9"/>
  <c r="O166" i="9"/>
  <c r="O165" i="9"/>
  <c r="N165" i="9"/>
  <c r="O164" i="9"/>
  <c r="N164" i="9"/>
  <c r="N163" i="9"/>
  <c r="O163" i="9"/>
  <c r="N162" i="9"/>
  <c r="O162" i="9"/>
  <c r="O161" i="9"/>
  <c r="N161" i="9"/>
  <c r="O160" i="9"/>
  <c r="N160" i="9"/>
  <c r="N159" i="9"/>
  <c r="O159" i="9"/>
  <c r="N158" i="9"/>
  <c r="O158" i="9"/>
  <c r="O157" i="9"/>
  <c r="N157" i="9"/>
  <c r="N156" i="9"/>
  <c r="O156" i="9"/>
  <c r="N155" i="9"/>
  <c r="O155" i="9"/>
  <c r="N154" i="9"/>
  <c r="O154" i="9"/>
  <c r="O153" i="9"/>
  <c r="N153" i="9"/>
  <c r="N152" i="9"/>
  <c r="O152" i="9"/>
  <c r="O151" i="9"/>
  <c r="N151" i="9"/>
  <c r="N150" i="9"/>
  <c r="O150" i="9"/>
  <c r="N149" i="9"/>
  <c r="O149" i="9"/>
  <c r="N148" i="9"/>
  <c r="O148" i="9"/>
  <c r="O147" i="9"/>
  <c r="N147" i="9"/>
  <c r="N146" i="9"/>
  <c r="O146" i="9"/>
  <c r="N145" i="9"/>
  <c r="O145" i="9"/>
  <c r="N144" i="9"/>
  <c r="O144" i="9"/>
  <c r="N143" i="9"/>
  <c r="O143" i="9"/>
  <c r="O142" i="9"/>
  <c r="N142" i="9"/>
  <c r="O141" i="9"/>
  <c r="N141" i="9"/>
  <c r="N140" i="9"/>
  <c r="O140" i="9"/>
  <c r="O139" i="9"/>
  <c r="N139" i="9"/>
  <c r="N138" i="9"/>
  <c r="O138" i="9"/>
  <c r="N137" i="9"/>
  <c r="O137" i="9"/>
  <c r="N136" i="9"/>
  <c r="O136" i="9"/>
  <c r="N135" i="9"/>
  <c r="O135" i="9"/>
  <c r="N134" i="9"/>
  <c r="O134" i="9"/>
  <c r="N133" i="9"/>
  <c r="O133" i="9"/>
  <c r="N132" i="9"/>
  <c r="O132" i="9"/>
  <c r="N131" i="9"/>
  <c r="O131" i="9"/>
  <c r="N130" i="9"/>
  <c r="O130" i="9"/>
  <c r="N129" i="9"/>
  <c r="O129" i="9"/>
  <c r="N128" i="9"/>
  <c r="O128" i="9"/>
  <c r="N127" i="9"/>
  <c r="O127" i="9"/>
  <c r="N126" i="9"/>
  <c r="O126" i="9"/>
  <c r="N125" i="9"/>
  <c r="O125" i="9"/>
  <c r="N124" i="9"/>
  <c r="O124" i="9"/>
  <c r="N123" i="9"/>
  <c r="O123" i="9"/>
  <c r="N122" i="9"/>
  <c r="O122" i="9"/>
  <c r="N121" i="9"/>
  <c r="O121" i="9"/>
  <c r="N120" i="9"/>
  <c r="O120" i="9"/>
  <c r="N119" i="9"/>
  <c r="O119" i="9"/>
  <c r="N118" i="9"/>
  <c r="O118" i="9"/>
  <c r="N117" i="9"/>
  <c r="O117" i="9"/>
  <c r="N116" i="9"/>
  <c r="O116" i="9"/>
  <c r="N115" i="9"/>
  <c r="O115" i="9"/>
  <c r="N114" i="9"/>
  <c r="O114" i="9"/>
  <c r="N113" i="9"/>
  <c r="O113" i="9"/>
  <c r="N112" i="9"/>
  <c r="O112" i="9"/>
  <c r="N111" i="9"/>
  <c r="O111" i="9"/>
  <c r="N110" i="9"/>
  <c r="O110" i="9"/>
  <c r="N109" i="9"/>
  <c r="O109" i="9"/>
  <c r="N108" i="9"/>
  <c r="O108" i="9"/>
  <c r="N107" i="9"/>
  <c r="O107" i="9"/>
  <c r="N106" i="9"/>
  <c r="O106" i="9"/>
  <c r="N105" i="9"/>
  <c r="O105" i="9"/>
  <c r="N104" i="9"/>
  <c r="O104" i="9"/>
  <c r="N103" i="9"/>
  <c r="O103" i="9"/>
  <c r="N102" i="9"/>
  <c r="O102" i="9"/>
  <c r="N101" i="9"/>
  <c r="O101" i="9"/>
  <c r="N100" i="9"/>
  <c r="O100" i="9"/>
  <c r="N99" i="9"/>
  <c r="O99" i="9"/>
  <c r="N98" i="9"/>
  <c r="O98" i="9"/>
  <c r="N97" i="9"/>
  <c r="O97" i="9"/>
  <c r="N96" i="9"/>
  <c r="O96" i="9"/>
  <c r="N95" i="9"/>
  <c r="O95" i="9"/>
  <c r="N94" i="9"/>
  <c r="O94" i="9"/>
  <c r="N93" i="9"/>
  <c r="O93" i="9"/>
  <c r="N92" i="9"/>
  <c r="O92" i="9"/>
  <c r="N91" i="9"/>
  <c r="O91" i="9"/>
  <c r="N90" i="9"/>
  <c r="O90" i="9"/>
  <c r="N89" i="9"/>
  <c r="O89" i="9"/>
  <c r="N88" i="9"/>
  <c r="O88" i="9"/>
  <c r="N87" i="9"/>
  <c r="O87" i="9"/>
  <c r="N86" i="9"/>
  <c r="O86" i="9"/>
  <c r="N85" i="9"/>
  <c r="O85" i="9"/>
  <c r="N84" i="9"/>
  <c r="O84" i="9"/>
  <c r="N83" i="9"/>
  <c r="O83" i="9"/>
  <c r="N82" i="9"/>
  <c r="O82" i="9"/>
  <c r="N81" i="9"/>
  <c r="O81" i="9"/>
  <c r="N80" i="9"/>
  <c r="O80" i="9"/>
  <c r="N79" i="9"/>
  <c r="O79" i="9"/>
  <c r="N78" i="9"/>
  <c r="O78" i="9"/>
  <c r="N77" i="9"/>
  <c r="O77" i="9"/>
  <c r="N76" i="9"/>
  <c r="O76" i="9"/>
  <c r="N75" i="9"/>
  <c r="O75" i="9"/>
  <c r="O74" i="9"/>
  <c r="N74" i="9"/>
  <c r="N73" i="9"/>
  <c r="O73" i="9"/>
  <c r="O72" i="9"/>
  <c r="N72" i="9"/>
  <c r="N71" i="9"/>
  <c r="O71" i="9"/>
  <c r="N70" i="9"/>
  <c r="O70" i="9"/>
  <c r="N69" i="9"/>
  <c r="O69" i="9"/>
  <c r="N68" i="9"/>
  <c r="O68" i="9"/>
  <c r="O67" i="9"/>
  <c r="N67" i="9"/>
  <c r="N66" i="9"/>
  <c r="O66" i="9"/>
  <c r="N65" i="9"/>
  <c r="O65" i="9"/>
  <c r="N64" i="9"/>
  <c r="O64" i="9"/>
  <c r="O63" i="9"/>
  <c r="N63" i="9"/>
  <c r="N62" i="9"/>
  <c r="O62" i="9"/>
  <c r="O61" i="9"/>
  <c r="N61" i="9"/>
  <c r="N60" i="9"/>
  <c r="O60" i="9"/>
  <c r="O59" i="9"/>
  <c r="N59" i="9"/>
  <c r="N58" i="9"/>
  <c r="O58" i="9"/>
  <c r="N57" i="9"/>
  <c r="O57" i="9"/>
  <c r="O56" i="9"/>
  <c r="N56" i="9"/>
  <c r="O55" i="9"/>
  <c r="N55" i="9"/>
  <c r="N54" i="9"/>
  <c r="O54" i="9"/>
  <c r="N53" i="9"/>
  <c r="O53" i="9"/>
  <c r="N52" i="9"/>
  <c r="O52" i="9"/>
  <c r="O51" i="9"/>
  <c r="N51" i="9"/>
  <c r="N50" i="9"/>
  <c r="O50" i="9"/>
  <c r="N49" i="9"/>
  <c r="O49" i="9"/>
  <c r="O48" i="9"/>
  <c r="N48" i="9"/>
  <c r="N47" i="9"/>
  <c r="O47" i="9"/>
  <c r="N46" i="9"/>
  <c r="O46" i="9"/>
  <c r="N45" i="9"/>
  <c r="O45" i="9"/>
  <c r="N44" i="9"/>
  <c r="O44" i="9"/>
  <c r="N43" i="9"/>
  <c r="O43" i="9"/>
  <c r="N42" i="9"/>
  <c r="O42" i="9"/>
  <c r="O41" i="9"/>
  <c r="N41" i="9"/>
  <c r="N40" i="9"/>
  <c r="O40" i="9"/>
  <c r="N39" i="9"/>
  <c r="O39" i="9"/>
  <c r="N38" i="9"/>
  <c r="O38" i="9"/>
  <c r="O37" i="9"/>
  <c r="N37" i="9"/>
  <c r="N36" i="9"/>
  <c r="O36" i="9"/>
  <c r="N35" i="9"/>
  <c r="O35" i="9"/>
  <c r="N34" i="9"/>
  <c r="O34" i="9"/>
  <c r="N33" i="9"/>
  <c r="O33" i="9"/>
  <c r="O32" i="9"/>
  <c r="N32" i="9"/>
  <c r="N31" i="9"/>
  <c r="O31" i="9"/>
  <c r="N30" i="9"/>
  <c r="O30" i="9"/>
  <c r="N29" i="9"/>
  <c r="O29" i="9"/>
  <c r="N28" i="9"/>
  <c r="O28" i="9"/>
  <c r="N27" i="9"/>
  <c r="O27" i="9"/>
  <c r="N26" i="9"/>
  <c r="O26" i="9"/>
  <c r="N25" i="9"/>
  <c r="O25" i="9"/>
  <c r="N24" i="9"/>
  <c r="O24" i="9"/>
  <c r="O23" i="9"/>
  <c r="N23" i="9"/>
  <c r="N22" i="9"/>
  <c r="O22" i="9"/>
  <c r="O21" i="9"/>
  <c r="N21" i="9"/>
  <c r="N20" i="9"/>
  <c r="O20" i="9"/>
  <c r="O19" i="9"/>
  <c r="N19" i="9"/>
  <c r="O18" i="9"/>
  <c r="N18" i="9"/>
  <c r="O17" i="9"/>
  <c r="N17" i="9"/>
  <c r="N16" i="9"/>
  <c r="O16" i="9"/>
  <c r="N15" i="9"/>
  <c r="O15" i="9"/>
  <c r="N14" i="9"/>
  <c r="O14" i="9"/>
  <c r="N13" i="9"/>
  <c r="O13" i="9"/>
  <c r="N12" i="9"/>
  <c r="O12" i="9"/>
  <c r="N11" i="9"/>
  <c r="O11" i="9"/>
  <c r="N10" i="9"/>
  <c r="O10" i="9"/>
  <c r="N9" i="9"/>
  <c r="O9" i="9"/>
  <c r="N8" i="9"/>
  <c r="O8" i="9"/>
  <c r="N7" i="9"/>
  <c r="O7" i="9"/>
  <c r="N6" i="9"/>
  <c r="O6" i="9"/>
  <c r="N5" i="9"/>
  <c r="O5" i="9"/>
  <c r="N4" i="9"/>
  <c r="O4" i="9"/>
  <c r="N3" i="9"/>
  <c r="O3" i="9"/>
  <c r="N2" i="9"/>
  <c r="O2" i="9"/>
  <c r="R59" i="8"/>
  <c r="Q59" i="8"/>
  <c r="Q257" i="8"/>
  <c r="R257" i="8"/>
  <c r="Q256" i="8"/>
  <c r="R256" i="8"/>
  <c r="Q255" i="8"/>
  <c r="R255" i="8"/>
  <c r="Q254" i="8"/>
  <c r="R254" i="8"/>
  <c r="Q253" i="8"/>
  <c r="R253" i="8"/>
  <c r="Q252" i="8"/>
  <c r="R252" i="8"/>
  <c r="Q251" i="8"/>
  <c r="R251" i="8"/>
  <c r="Q250" i="8"/>
  <c r="R250" i="8"/>
  <c r="Q249" i="8"/>
  <c r="R249" i="8"/>
  <c r="Q248" i="8"/>
  <c r="R248" i="8"/>
  <c r="Q247" i="8"/>
  <c r="R247" i="8"/>
  <c r="Q246" i="8"/>
  <c r="R246" i="8"/>
  <c r="Q245" i="8"/>
  <c r="R245" i="8"/>
  <c r="Q244" i="8"/>
  <c r="R244" i="8"/>
  <c r="Q243" i="8"/>
  <c r="R243" i="8"/>
  <c r="Q242" i="8"/>
  <c r="R242" i="8"/>
  <c r="Q241" i="8"/>
  <c r="R241" i="8"/>
  <c r="Q240" i="8"/>
  <c r="R240" i="8"/>
  <c r="Q239" i="8"/>
  <c r="R239" i="8"/>
  <c r="Q238" i="8"/>
  <c r="R238" i="8"/>
  <c r="Q237" i="8"/>
  <c r="R237" i="8"/>
  <c r="Q236" i="8"/>
  <c r="R236" i="8"/>
  <c r="Q235" i="8"/>
  <c r="R235" i="8"/>
  <c r="Q234" i="8"/>
  <c r="R234" i="8"/>
  <c r="Q233" i="8"/>
  <c r="R233" i="8"/>
  <c r="Q232" i="8"/>
  <c r="R232" i="8"/>
  <c r="Q231" i="8"/>
  <c r="R231" i="8"/>
  <c r="Q230" i="8"/>
  <c r="R230" i="8"/>
  <c r="Q229" i="8"/>
  <c r="R229" i="8"/>
  <c r="Q228" i="8"/>
  <c r="R228" i="8"/>
  <c r="Q227" i="8"/>
  <c r="R227" i="8"/>
  <c r="Q226" i="8"/>
  <c r="R226" i="8"/>
  <c r="Q225" i="8"/>
  <c r="R225" i="8"/>
  <c r="Q224" i="8"/>
  <c r="R224" i="8"/>
  <c r="Q223" i="8"/>
  <c r="R223" i="8"/>
  <c r="Q222" i="8"/>
  <c r="R222" i="8"/>
  <c r="Q221" i="8"/>
  <c r="R221" i="8"/>
  <c r="Q220" i="8"/>
  <c r="R220" i="8"/>
  <c r="Q219" i="8"/>
  <c r="R219" i="8"/>
  <c r="Q218" i="8"/>
  <c r="R218" i="8"/>
  <c r="R217" i="8"/>
  <c r="Q217" i="8"/>
  <c r="Q216" i="8"/>
  <c r="R216" i="8"/>
  <c r="Q215" i="8"/>
  <c r="R215" i="8"/>
  <c r="Q214" i="8"/>
  <c r="R214" i="8"/>
  <c r="R213" i="8"/>
  <c r="Q213" i="8"/>
  <c r="Q212" i="8"/>
  <c r="R212" i="8"/>
  <c r="Q211" i="8"/>
  <c r="R211" i="8"/>
  <c r="Q210" i="8"/>
  <c r="R210" i="8"/>
  <c r="Q209" i="8"/>
  <c r="R209" i="8"/>
  <c r="Q208" i="8"/>
  <c r="R208" i="8"/>
  <c r="R207" i="8"/>
  <c r="Q207" i="8"/>
  <c r="R206" i="8"/>
  <c r="Q206" i="8"/>
  <c r="R205" i="8"/>
  <c r="Q205" i="8"/>
  <c r="R204" i="8"/>
  <c r="Q204" i="8"/>
  <c r="R203" i="8"/>
  <c r="Q203" i="8"/>
  <c r="R202" i="8"/>
  <c r="Q202" i="8"/>
  <c r="Q201" i="8"/>
  <c r="R201" i="8"/>
  <c r="Q200" i="8"/>
  <c r="R200" i="8"/>
  <c r="R199" i="8"/>
  <c r="Q199" i="8"/>
  <c r="Q198" i="8"/>
  <c r="R198" i="8"/>
  <c r="Q197" i="8"/>
  <c r="R197" i="8"/>
  <c r="R196" i="8"/>
  <c r="Q196" i="8"/>
  <c r="Q195" i="8"/>
  <c r="R195" i="8"/>
  <c r="Q194" i="8"/>
  <c r="R194" i="8"/>
  <c r="Q193" i="8"/>
  <c r="R193" i="8"/>
  <c r="R192" i="8"/>
  <c r="Q192" i="8"/>
  <c r="Q191" i="8"/>
  <c r="R191" i="8"/>
  <c r="Q190" i="8"/>
  <c r="R190" i="8"/>
  <c r="R189" i="8"/>
  <c r="Q189" i="8"/>
  <c r="R188" i="8"/>
  <c r="Q188" i="8"/>
  <c r="Q187" i="8"/>
  <c r="R187" i="8"/>
  <c r="Q186" i="8"/>
  <c r="R186" i="8"/>
  <c r="Q185" i="8"/>
  <c r="R185" i="8"/>
  <c r="R184" i="8"/>
  <c r="Q184" i="8"/>
  <c r="Q183" i="8"/>
  <c r="R183" i="8"/>
  <c r="Q182" i="8"/>
  <c r="R182" i="8"/>
  <c r="R181" i="8"/>
  <c r="Q181" i="8"/>
  <c r="Q180" i="8"/>
  <c r="R180" i="8"/>
  <c r="Q179" i="8"/>
  <c r="R179" i="8"/>
  <c r="Q178" i="8"/>
  <c r="R178" i="8"/>
  <c r="Q176" i="8"/>
  <c r="R176" i="8"/>
  <c r="R175" i="8"/>
  <c r="Q175" i="8"/>
  <c r="Q174" i="8"/>
  <c r="R174" i="8"/>
  <c r="Q173" i="8"/>
  <c r="R173" i="8"/>
  <c r="R172" i="8"/>
  <c r="Q172" i="8"/>
  <c r="R171" i="8"/>
  <c r="Q171" i="8"/>
  <c r="Q170" i="8"/>
  <c r="R170" i="8"/>
  <c r="Q169" i="8"/>
  <c r="R169" i="8"/>
  <c r="Q168" i="8"/>
  <c r="R168" i="8"/>
  <c r="R167" i="8"/>
  <c r="Q167" i="8"/>
  <c r="R166" i="8"/>
  <c r="Q166" i="8"/>
  <c r="Q165" i="8"/>
  <c r="R165" i="8"/>
  <c r="R164" i="8"/>
  <c r="Q164" i="8"/>
  <c r="Q163" i="8"/>
  <c r="R163" i="8"/>
  <c r="R162" i="8"/>
  <c r="Q162" i="8"/>
  <c r="Q161" i="8"/>
  <c r="R161" i="8"/>
  <c r="Q160" i="8"/>
  <c r="R160" i="8"/>
  <c r="Q159" i="8"/>
  <c r="R159" i="8"/>
  <c r="Q158" i="8"/>
  <c r="R158" i="8"/>
  <c r="Q157" i="8"/>
  <c r="R157" i="8"/>
  <c r="Q156" i="8"/>
  <c r="R156" i="8"/>
  <c r="Q155" i="8"/>
  <c r="R155" i="8"/>
  <c r="Q154" i="8"/>
  <c r="R154" i="8"/>
  <c r="Q153" i="8"/>
  <c r="R153" i="8"/>
  <c r="Q152" i="8"/>
  <c r="R152" i="8"/>
  <c r="Q151" i="8"/>
  <c r="R151" i="8"/>
  <c r="Q150" i="8"/>
  <c r="R150" i="8"/>
  <c r="Q149" i="8"/>
  <c r="R149" i="8"/>
  <c r="Q148" i="8"/>
  <c r="R148" i="8"/>
  <c r="Q147" i="8"/>
  <c r="R147" i="8"/>
  <c r="Q146" i="8"/>
  <c r="R146" i="8"/>
  <c r="Q145" i="8"/>
  <c r="R145" i="8"/>
  <c r="Q144" i="8"/>
  <c r="R144" i="8"/>
  <c r="Q143" i="8"/>
  <c r="R143" i="8"/>
  <c r="Q142" i="8"/>
  <c r="R142" i="8"/>
  <c r="Q141" i="8"/>
  <c r="R141" i="8"/>
  <c r="Q140" i="8"/>
  <c r="R140" i="8"/>
  <c r="Q139" i="8"/>
  <c r="R139" i="8"/>
  <c r="Q138" i="8"/>
  <c r="R138" i="8"/>
  <c r="Q137" i="8"/>
  <c r="R137" i="8"/>
  <c r="Q136" i="8"/>
  <c r="R136" i="8"/>
  <c r="Q135" i="8"/>
  <c r="R135" i="8"/>
  <c r="Q134" i="8"/>
  <c r="R134" i="8"/>
  <c r="Q133" i="8"/>
  <c r="R133" i="8"/>
  <c r="Q132" i="8"/>
  <c r="R132" i="8"/>
  <c r="Q131" i="8"/>
  <c r="R131" i="8"/>
  <c r="Q130" i="8"/>
  <c r="R130" i="8"/>
  <c r="Q129" i="8"/>
  <c r="R129" i="8"/>
  <c r="Q128" i="8"/>
  <c r="R128" i="8"/>
  <c r="Q127" i="8"/>
  <c r="R127" i="8"/>
  <c r="Q126" i="8"/>
  <c r="R126" i="8"/>
  <c r="Q125" i="8"/>
  <c r="R125" i="8"/>
  <c r="Q124" i="8"/>
  <c r="R124" i="8"/>
  <c r="Q123" i="8"/>
  <c r="R123" i="8"/>
  <c r="Q122" i="8"/>
  <c r="R122" i="8"/>
  <c r="Q121" i="8"/>
  <c r="R121" i="8"/>
  <c r="Q120" i="8"/>
  <c r="R120" i="8"/>
  <c r="Q119" i="8"/>
  <c r="R119" i="8"/>
  <c r="Q118" i="8"/>
  <c r="R118" i="8"/>
  <c r="Q117" i="8"/>
  <c r="R117" i="8"/>
  <c r="Q116" i="8"/>
  <c r="R116" i="8"/>
  <c r="Q115" i="8"/>
  <c r="R115" i="8"/>
  <c r="Q114" i="8"/>
  <c r="R114" i="8"/>
  <c r="Q113" i="8"/>
  <c r="R113" i="8"/>
  <c r="Q110" i="8"/>
  <c r="R110" i="8"/>
  <c r="Q108" i="8"/>
  <c r="R108" i="8"/>
  <c r="Q104" i="8"/>
  <c r="R104" i="8"/>
  <c r="Q103" i="8"/>
  <c r="R103" i="8"/>
  <c r="Q102" i="8"/>
  <c r="R102" i="8"/>
  <c r="Q101" i="8"/>
  <c r="R101" i="8"/>
  <c r="Q100" i="8"/>
  <c r="R100" i="8"/>
  <c r="Q99" i="8"/>
  <c r="R99" i="8"/>
  <c r="Q98" i="8"/>
  <c r="R98" i="8"/>
  <c r="Q97" i="8"/>
  <c r="R97" i="8"/>
  <c r="Q96" i="8"/>
  <c r="R96" i="8"/>
  <c r="Q95" i="8"/>
  <c r="R95" i="8"/>
  <c r="Q94" i="8"/>
  <c r="R94" i="8"/>
  <c r="Q93" i="8"/>
  <c r="R93" i="8"/>
  <c r="Q92" i="8"/>
  <c r="R92" i="8"/>
  <c r="Q91" i="8"/>
  <c r="R91" i="8"/>
  <c r="Q90" i="8"/>
  <c r="R90" i="8"/>
  <c r="Q89" i="8"/>
  <c r="R89" i="8"/>
  <c r="Q88" i="8"/>
  <c r="R88" i="8"/>
  <c r="Q87" i="8"/>
  <c r="R87" i="8"/>
  <c r="Q86" i="8"/>
  <c r="R86" i="8"/>
  <c r="Q85" i="8"/>
  <c r="R85" i="8"/>
  <c r="Q84" i="8"/>
  <c r="R84" i="8"/>
  <c r="Q83" i="8"/>
  <c r="R83" i="8"/>
  <c r="Q82" i="8"/>
  <c r="R82" i="8"/>
  <c r="Q81" i="8"/>
  <c r="R81" i="8"/>
  <c r="Q80" i="8"/>
  <c r="R80" i="8"/>
  <c r="Q79" i="8"/>
  <c r="R79" i="8"/>
  <c r="Q77" i="8"/>
  <c r="R77" i="8"/>
  <c r="Q78" i="8"/>
  <c r="R78" i="8"/>
  <c r="Q76" i="8"/>
  <c r="R76" i="8"/>
  <c r="Q75" i="8"/>
  <c r="R75" i="8"/>
  <c r="Q74" i="8"/>
  <c r="R74" i="8"/>
  <c r="Q73" i="8"/>
  <c r="R73" i="8"/>
  <c r="Q72" i="8"/>
  <c r="R72" i="8"/>
  <c r="Q71" i="8"/>
  <c r="R71" i="8"/>
  <c r="Q70" i="8"/>
  <c r="R70" i="8"/>
  <c r="Q69" i="8"/>
  <c r="R69" i="8"/>
  <c r="Q68" i="8"/>
  <c r="R68" i="8"/>
  <c r="Q67" i="8"/>
  <c r="R67" i="8"/>
  <c r="Q66" i="8"/>
  <c r="R66" i="8"/>
  <c r="Q65" i="8"/>
  <c r="R65" i="8"/>
  <c r="Q64" i="8"/>
  <c r="R64" i="8"/>
  <c r="Q63" i="8"/>
  <c r="R63" i="8"/>
  <c r="Q62" i="8"/>
  <c r="R62" i="8"/>
  <c r="Q61" i="8"/>
  <c r="R61" i="8"/>
  <c r="R60" i="8"/>
  <c r="Q60" i="8"/>
  <c r="Q58" i="8"/>
  <c r="R58" i="8"/>
  <c r="Q57" i="8"/>
  <c r="R57" i="8"/>
  <c r="Q56" i="8"/>
  <c r="R56" i="8"/>
  <c r="Q55" i="8"/>
  <c r="R55" i="8"/>
  <c r="Q54" i="8"/>
  <c r="R54" i="8"/>
  <c r="Q53" i="8"/>
  <c r="R53" i="8"/>
  <c r="Q52" i="8"/>
  <c r="R52" i="8"/>
  <c r="Q51" i="8"/>
  <c r="R51" i="8"/>
  <c r="Q50" i="8"/>
  <c r="R50" i="8"/>
  <c r="Q49" i="8"/>
  <c r="R49" i="8"/>
  <c r="Q47" i="8"/>
  <c r="R47" i="8"/>
  <c r="Q48" i="8"/>
  <c r="R48" i="8"/>
  <c r="Q40" i="8"/>
  <c r="R40" i="8"/>
  <c r="Q46" i="8"/>
  <c r="R46" i="8"/>
  <c r="Q45" i="8"/>
  <c r="R45" i="8"/>
  <c r="Q44" i="8"/>
  <c r="R44" i="8"/>
  <c r="Q43" i="8"/>
  <c r="R43" i="8"/>
  <c r="Q42" i="8"/>
  <c r="R42" i="8"/>
  <c r="Q41" i="8"/>
  <c r="R41" i="8"/>
  <c r="Q39" i="8"/>
  <c r="R39" i="8"/>
  <c r="Q38" i="8"/>
  <c r="R38" i="8"/>
  <c r="Q37" i="8"/>
  <c r="R37" i="8"/>
  <c r="Q36" i="8"/>
  <c r="R36" i="8"/>
  <c r="Q35" i="8"/>
  <c r="R35" i="8"/>
  <c r="Q34" i="8"/>
  <c r="R34" i="8"/>
  <c r="Q33" i="8"/>
  <c r="R33" i="8"/>
  <c r="Q32" i="8"/>
  <c r="R32" i="8"/>
  <c r="Q31" i="8"/>
  <c r="R31" i="8"/>
  <c r="Q30" i="8"/>
  <c r="R30" i="8"/>
  <c r="Q29" i="8"/>
  <c r="R29" i="8"/>
  <c r="Q28" i="8"/>
  <c r="R28" i="8"/>
  <c r="Q27" i="8"/>
  <c r="R27" i="8"/>
  <c r="Q26" i="8"/>
  <c r="R26" i="8"/>
  <c r="Q25" i="8"/>
  <c r="R25" i="8"/>
  <c r="Q24" i="8"/>
  <c r="R24" i="8"/>
  <c r="Q23" i="8"/>
  <c r="R23" i="8"/>
  <c r="Q22" i="8"/>
  <c r="R22" i="8"/>
  <c r="Q21" i="8"/>
  <c r="R21" i="8"/>
  <c r="Q20" i="8"/>
  <c r="R20" i="8"/>
  <c r="Q19" i="8"/>
  <c r="R19" i="8"/>
  <c r="Q18" i="8"/>
  <c r="R18" i="8"/>
  <c r="Q17" i="8"/>
  <c r="R17" i="8"/>
  <c r="Q16" i="8"/>
  <c r="R16" i="8"/>
  <c r="Q15" i="8"/>
  <c r="R15" i="8"/>
  <c r="Q14" i="8"/>
  <c r="R14" i="8"/>
  <c r="Q13" i="8"/>
  <c r="R13" i="8"/>
  <c r="Q12" i="8"/>
  <c r="R12" i="8"/>
  <c r="Q11" i="8"/>
  <c r="R11" i="8"/>
  <c r="Q10" i="8"/>
  <c r="R10" i="8"/>
  <c r="Q9" i="8"/>
  <c r="R9" i="8"/>
  <c r="Q8" i="8"/>
  <c r="R8" i="8"/>
  <c r="Q7" i="8"/>
  <c r="R7" i="8"/>
  <c r="Q6" i="8"/>
  <c r="R6" i="8"/>
  <c r="Q5" i="8"/>
  <c r="R5" i="8"/>
  <c r="Q4" i="8"/>
  <c r="R4" i="8"/>
  <c r="Q3" i="8"/>
  <c r="R3" i="8"/>
  <c r="Q2" i="8"/>
  <c r="R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9A12C0-3B59-4A4A-A69F-3A3E42755B35}" keepAlive="1" name="Query - Ajoneuvorekisteri-Parse Modern XK Range-TieliikenneAvoinData_30_06_2026 csv" description="Connection to the 'Ajoneuvorekisteri-Parse Modern XK Range-TieliikenneAvoinData_30_06_2026 csv' query in the workbook." type="5" refreshedVersion="8" background="1" saveData="1">
    <dbPr connection="Provider=Microsoft.Mashup.OleDb.1;Data Source=$Workbook$;Location=&quot;Ajoneuvorekisteri-Parse Modern XK Range-TieliikenneAvoinData_30_06_2026 csv&quot;;Extended Properties=&quot;&quot;" command="SELECT * FROM [Ajoneuvorekisteri-Parse Modern XK Range-TieliikenneAvoinData_30_06_2026 csv]"/>
  </connection>
  <connection id="2" xr16:uid="{B1F75459-49E9-4A9F-8A49-96C6ECAD68D4}" keepAlive="1" name="Query - Table" description="Connection to the 'Table' query in the workbook." type="5" refreshedVersion="0" background="1">
    <dbPr connection="Provider=Microsoft.Mashup.OleDb.1;Data Source=$Workbook$;Location=Table;Extended Properties=&quot;&quot;" command="SELECT * FROM [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<sst xmlns="http://schemas.openxmlformats.org/spreadsheetml/2006/main" count="4204" uniqueCount="503">
  <si>
    <t>ajoneuvoluokka</t>
  </si>
  <si>
    <t>ensirekisterointipvm</t>
  </si>
  <si>
    <t>ajoneuvoryhma</t>
  </si>
  <si>
    <t>ajoneuvonkaytto</t>
  </si>
  <si>
    <t>variantti</t>
  </si>
  <si>
    <t>versio</t>
  </si>
  <si>
    <t>kayttoonottopvm</t>
  </si>
  <si>
    <t>vari</t>
  </si>
  <si>
    <t>ovienLukumaara</t>
  </si>
  <si>
    <t>korityyppi</t>
  </si>
  <si>
    <t>ohjaamotyyppi</t>
  </si>
  <si>
    <t>istumapaikkojenLkm</t>
  </si>
  <si>
    <t>omamassa</t>
  </si>
  <si>
    <t>teknSuurSallKokmassa</t>
  </si>
  <si>
    <t>tieliikSuurSallKokmassa</t>
  </si>
  <si>
    <t>ajonKokPituus</t>
  </si>
  <si>
    <t>ajonLeveys</t>
  </si>
  <si>
    <t>ajonKorkeus</t>
  </si>
  <si>
    <t>kayttovoima</t>
  </si>
  <si>
    <t>iskutilavuus</t>
  </si>
  <si>
    <t>suurinNettoteho</t>
  </si>
  <si>
    <t>sylintereidenLkm</t>
  </si>
  <si>
    <t>ahdin</t>
  </si>
  <si>
    <t>sahkohybridi</t>
  </si>
  <si>
    <t>sahkohybridinluokka</t>
  </si>
  <si>
    <t>merkkiSelvakielinen</t>
  </si>
  <si>
    <t>mallimerkinta</t>
  </si>
  <si>
    <t>vaihteisto</t>
  </si>
  <si>
    <t>vaihteidenLkm</t>
  </si>
  <si>
    <t>kaupallinenNimi</t>
  </si>
  <si>
    <t>voimanvalJaTehostamistapa</t>
  </si>
  <si>
    <t>tyyppihyvaksyntanro</t>
  </si>
  <si>
    <t>yksittaisKayttovoima</t>
  </si>
  <si>
    <t>kunta</t>
  </si>
  <si>
    <t>NEDC_Co2</t>
  </si>
  <si>
    <t>NEDC2_Co2</t>
  </si>
  <si>
    <t>WLTP_Co2</t>
  </si>
  <si>
    <t>WLTP2_Co2</t>
  </si>
  <si>
    <t>matkamittarilukema</t>
  </si>
  <si>
    <t>valmistenumero2</t>
  </si>
  <si>
    <t>jarnro</t>
  </si>
  <si>
    <t>M1</t>
  </si>
  <si>
    <t/>
  </si>
  <si>
    <t>MAE2</t>
  </si>
  <si>
    <t>4A01</t>
  </si>
  <si>
    <t>2</t>
  </si>
  <si>
    <t>AD</t>
  </si>
  <si>
    <t>209</t>
  </si>
  <si>
    <t>Jaguar</t>
  </si>
  <si>
    <t>COUPE XK8 4.0-AUTOMATIC-JGED/259</t>
  </si>
  <si>
    <t>XK</t>
  </si>
  <si>
    <t>e11*95/54*0061*00</t>
  </si>
  <si>
    <t>SAJJGAED4A</t>
  </si>
  <si>
    <t>KK</t>
  </si>
  <si>
    <t>401</t>
  </si>
  <si>
    <t>218</t>
  </si>
  <si>
    <t>COUPE XK 4.2 AUTOMATIC QQ6/275</t>
  </si>
  <si>
    <t>e11*2001/116*0272*01</t>
  </si>
  <si>
    <t>SAJAA43P07</t>
  </si>
  <si>
    <t>6</t>
  </si>
  <si>
    <t>2D CONVERTIBLE XK8 4.0-AUTOMATIC-JGAF/259</t>
  </si>
  <si>
    <t>SAJJGAFD4A</t>
  </si>
  <si>
    <t>LAC2</t>
  </si>
  <si>
    <t>4E04</t>
  </si>
  <si>
    <t>0</t>
  </si>
  <si>
    <t>267</t>
  </si>
  <si>
    <t>2D CONVERTIBLE XKR 4.0-AUTOMATIC-JGFF/259</t>
  </si>
  <si>
    <t>e11*95/54*0062*03</t>
  </si>
  <si>
    <t>SAJJGAFF4A</t>
  </si>
  <si>
    <t>XAB2</t>
  </si>
  <si>
    <t>4G16</t>
  </si>
  <si>
    <t>AE</t>
  </si>
  <si>
    <t>290</t>
  </si>
  <si>
    <t>2D CONVERTIBLE XKR 4.2-AUTOMATIC-42R/259</t>
  </si>
  <si>
    <t>e11*95/54*0062*06</t>
  </si>
  <si>
    <t>SAJAA42RX3</t>
  </si>
  <si>
    <t>5150101402</t>
  </si>
  <si>
    <t>COUPE XKR 4.0-AUTOMATIC-JGEF/259</t>
  </si>
  <si>
    <t>SAJJGAEF4A</t>
  </si>
  <si>
    <t>PAC2</t>
  </si>
  <si>
    <t>4E03</t>
  </si>
  <si>
    <t>JAGUAR (GB)</t>
  </si>
  <si>
    <t>e11*95/54*0061*04</t>
  </si>
  <si>
    <t>SAJAA41J1Y</t>
  </si>
  <si>
    <t>Y</t>
  </si>
  <si>
    <t>e11*95/54*0061*03</t>
  </si>
  <si>
    <t>2D CONVERTIBLE XK8 4.0-AUTOMATIC-JGFD/259</t>
  </si>
  <si>
    <t>SAJJGXFD4V</t>
  </si>
  <si>
    <t>1</t>
  </si>
  <si>
    <t>e11*95/54*0062*00</t>
  </si>
  <si>
    <t>FAB2</t>
  </si>
  <si>
    <t>4A09</t>
  </si>
  <si>
    <t>5</t>
  </si>
  <si>
    <t>COUPE XK8 4.0 AUTOMATIC-41N/259</t>
  </si>
  <si>
    <t>XK8</t>
  </si>
  <si>
    <t>e11*95/54*0061*05</t>
  </si>
  <si>
    <t>SAJAA41M11</t>
  </si>
  <si>
    <t>2D CONVERTIBLE XK8 4.0-AUTOMATIC-AA2E/259</t>
  </si>
  <si>
    <t>e11*95/54*0062*04</t>
  </si>
  <si>
    <t>SAJAA42EXY</t>
  </si>
  <si>
    <t>4A05</t>
  </si>
  <si>
    <t>4G15</t>
  </si>
  <si>
    <t>8</t>
  </si>
  <si>
    <t>COUPE XKR 4.2 AUTOMATIC-AA1R/259</t>
  </si>
  <si>
    <t>e11*95/54*0061*08</t>
  </si>
  <si>
    <t>SAJAA41R46</t>
  </si>
  <si>
    <t>e11*2001/116*0272*00</t>
  </si>
  <si>
    <t>KJ</t>
  </si>
  <si>
    <t>402</t>
  </si>
  <si>
    <t>2D CONVERTIBLE XK 4.2 AUTOMATIC QQ6/275</t>
  </si>
  <si>
    <t>SAJAA44PX7</t>
  </si>
  <si>
    <t>2D CONVERTIBLE XK8 4.0-AUTOMATIC-JGFX/259</t>
  </si>
  <si>
    <t>SAJJGFXD4V</t>
  </si>
  <si>
    <t>COUPE XK8 4.0 AUTOMATIC-JGED/259</t>
  </si>
  <si>
    <t>e11*95/54*0061*01</t>
  </si>
  <si>
    <t>e11*95/54*0061*02</t>
  </si>
  <si>
    <t>SAJAA44P57</t>
  </si>
  <si>
    <t>4A02</t>
  </si>
  <si>
    <t>SAJAA44P77</t>
  </si>
  <si>
    <t>XK8 CONVERTIBLE 4.0</t>
  </si>
  <si>
    <t>PA02</t>
  </si>
  <si>
    <t>5150101603</t>
  </si>
  <si>
    <t>VAB2</t>
  </si>
  <si>
    <t>4F14</t>
  </si>
  <si>
    <t>2D CONVERTIBLE XK8 4.2-AUTOMATIC-AA2P/259</t>
  </si>
  <si>
    <t>e11*95/54*0062*08</t>
  </si>
  <si>
    <t>SAJAA42P25</t>
  </si>
  <si>
    <t>5150101403</t>
  </si>
  <si>
    <t>SAJAA42J7Y</t>
  </si>
  <si>
    <t>4F 14</t>
  </si>
  <si>
    <t>2D CONVERTIBLE XK8 4.2-AUTOMATIC-42P/259</t>
  </si>
  <si>
    <t>e11*95/54*0062*09</t>
  </si>
  <si>
    <t>SAJAA42P16</t>
  </si>
  <si>
    <t>COUPE XKR 4.0-AUTOMATIC</t>
  </si>
  <si>
    <t>COUPE XKR 4.0-AUTOMATIC-AA1J/259</t>
  </si>
  <si>
    <t>SAJAA41J5Y</t>
  </si>
  <si>
    <t>COUPE XK8 4.0-AUTOMATIC-JGAE/259</t>
  </si>
  <si>
    <t>2D CONVERTIBLE XKR 4.0-AUTOMATIC-JGAF/259</t>
  </si>
  <si>
    <t>-</t>
  </si>
  <si>
    <t>COUPE XK8 4.0-AUTOMATIC-JGAED/259</t>
  </si>
  <si>
    <t>4E 03</t>
  </si>
  <si>
    <t>4F13</t>
  </si>
  <si>
    <t>COUPE XK8 4.2 AUTOMATIC-41P/259</t>
  </si>
  <si>
    <t>e11*95/54*0061*06</t>
  </si>
  <si>
    <t>SAJAA41P83</t>
  </si>
  <si>
    <t>2D CONVERTIBLE XK8 4.0-AUTOMATIC-JGX2/259</t>
  </si>
  <si>
    <t>SAJGX2040X</t>
  </si>
  <si>
    <t>SAJAA42P15</t>
  </si>
  <si>
    <t>e11*95/54*0062</t>
  </si>
  <si>
    <t>2D CONVERTIBLE XK8 4.0-AUTOMATIC-GX22/259</t>
  </si>
  <si>
    <t>SAJGX2244W</t>
  </si>
  <si>
    <t>QAB2</t>
  </si>
  <si>
    <t>4E11</t>
  </si>
  <si>
    <t>COUPE XKR 4.0 AUTOMATIC-41P/259</t>
  </si>
  <si>
    <t>SAJAA41N61</t>
  </si>
  <si>
    <t>TK</t>
  </si>
  <si>
    <t>306</t>
  </si>
  <si>
    <t>COUPE XKR 4.2 AUTOMATIC QQ6/275</t>
  </si>
  <si>
    <t>SAJAA43R87</t>
  </si>
  <si>
    <t>COUPE XKR 4.0-AUTOMATIC-JGAE/259</t>
  </si>
  <si>
    <t>TJ</t>
  </si>
  <si>
    <t>2D CONVERTIBLE XKR 4.2 AUTOMATIC QQ6/275</t>
  </si>
  <si>
    <t>SAJAA44R77</t>
  </si>
  <si>
    <t>4E07</t>
  </si>
  <si>
    <t>COUPE XKR 4.0-AUTOMATIC-41J/259</t>
  </si>
  <si>
    <t>XKR</t>
  </si>
  <si>
    <t>SAJAA41J2Y</t>
  </si>
  <si>
    <t>SAJAA41JXY</t>
  </si>
  <si>
    <t>SAJAA44P97</t>
  </si>
  <si>
    <t>XK Coup� (AD) 2ov 3996cm3 A</t>
  </si>
  <si>
    <t>SAJAA41M52</t>
  </si>
  <si>
    <t>XK Coup� (AD) 2ov 4190cm3 A</t>
  </si>
  <si>
    <t>SAJAA43P27</t>
  </si>
  <si>
    <t>9</t>
  </si>
  <si>
    <t>XKR COUPE Coup� (AD) 4190cm3</t>
  </si>
  <si>
    <t>XKR COUPE</t>
  </si>
  <si>
    <t>e11*2001/116*0272*02</t>
  </si>
  <si>
    <t>SAJAA43R88</t>
  </si>
  <si>
    <t>2D CONVERTIBLE XK8 4.0-AUTOMATIC-JGFD/259 Avoauto (AE) 2ov 3990cm3 A</t>
  </si>
  <si>
    <t>SAJGX2740V</t>
  </si>
  <si>
    <t>XK Coup� (AD) 4190cm3</t>
  </si>
  <si>
    <t>SAJAA43R57</t>
  </si>
  <si>
    <t>XK COUPE Coup� (AD) 4190cm3</t>
  </si>
  <si>
    <t>XK COUPE</t>
  </si>
  <si>
    <t>SAJAA43P78</t>
  </si>
  <si>
    <t>XK8 Coup� (AD) 2ov 3996cm3</t>
  </si>
  <si>
    <t>E11*95/54*0061</t>
  </si>
  <si>
    <t>SAJAA41E2Y</t>
  </si>
  <si>
    <t>XKR CONVERTIBLE Avoauto (AE) 2ov 4196cm3 A</t>
  </si>
  <si>
    <t>XKR CONVERTIBLE</t>
  </si>
  <si>
    <t>e11*2001/116*0272*03</t>
  </si>
  <si>
    <t>SAJAA44R58</t>
  </si>
  <si>
    <t>XK Avoauto (AE) 2ov 4190cm3</t>
  </si>
  <si>
    <t>SAJAA44P87</t>
  </si>
  <si>
    <t>XK Coup� (AD) 2ov 4196cm3 A</t>
  </si>
  <si>
    <t>SAJAA43P17</t>
  </si>
  <si>
    <t>51501016</t>
  </si>
  <si>
    <t>XK 8 Avoauto (AE) 2ov 3990cm3</t>
  </si>
  <si>
    <t>XK 8</t>
  </si>
  <si>
    <t>SAJAA41P86</t>
  </si>
  <si>
    <t>XKR Coup� (AD) 2ov 3999cm3 A</t>
  </si>
  <si>
    <t>XK8 Avoauto (AE) 2ov 3990cm3 A</t>
  </si>
  <si>
    <t>COUPE XKR 4.0 AUTOMATIC-41P/259 Coup� (AD) 2ov 3990cm3 A</t>
  </si>
  <si>
    <t>E11*95/54*0061*03</t>
  </si>
  <si>
    <t>4A10</t>
  </si>
  <si>
    <t>XK8 CONVERTIBLE Avoauto (AE) 2ov 3996cm3 A</t>
  </si>
  <si>
    <t>XK8 CONVERTIBLE</t>
  </si>
  <si>
    <t>e11*95/54*0062*05</t>
  </si>
  <si>
    <t>SAJAA42M71</t>
  </si>
  <si>
    <t>XK Coup� (AD) 2ov 3990cm3 A</t>
  </si>
  <si>
    <t>SAJAA44R69</t>
  </si>
  <si>
    <t>XKR COUPE Coup� (AD) 2ov 4196cm3 A</t>
  </si>
  <si>
    <t>SAJAA43RX8</t>
  </si>
  <si>
    <t>SAJAA43R48</t>
  </si>
  <si>
    <t>SAJAA43PX7</t>
  </si>
  <si>
    <t>XK8 Avoauto (AE) 2ov 3996cm3 A</t>
  </si>
  <si>
    <t>SAJJGXFE4W</t>
  </si>
  <si>
    <t>7</t>
  </si>
  <si>
    <t>XK8 COUPE Coup� (AD) 2ov 3996cm3</t>
  </si>
  <si>
    <t>XK8 COUPE</t>
  </si>
  <si>
    <t>XK Avoauto (AE) 2ov 4000cm3 A</t>
  </si>
  <si>
    <t>XK8  2ov 3990cm3 A</t>
  </si>
  <si>
    <t>SAJGX2747V</t>
  </si>
  <si>
    <t>2D CONVERTIBLE XK8 4.0-AUTOMATIC-DA42/259 Avoauto (AE) 2ov 3990cm3 A</t>
  </si>
  <si>
    <t>2D CONVERTIBLE XK8 4.0-AUTOMATIC-DA42/259</t>
  </si>
  <si>
    <t>SAJDA42C62</t>
  </si>
  <si>
    <t>XKR Cabriolet Avoauto (AE) 2ov 3996cm3 A</t>
  </si>
  <si>
    <t>XKR Cabriolet</t>
  </si>
  <si>
    <t>XK  Coup� (AD) 2ov 3996cm3 A</t>
  </si>
  <si>
    <t>SAJAA41E0Y</t>
  </si>
  <si>
    <t>257</t>
  </si>
  <si>
    <t>COUPE XKR 4.2 AUTOMATIC-AA1R/259 Coup� (AD) 2ov 3995cm3 A</t>
  </si>
  <si>
    <t>XK 8 Avoauto (AE) 2ov 3990cm3 A</t>
  </si>
  <si>
    <t>216</t>
  </si>
  <si>
    <t>XK8 Coup� (AD) 2ov 3996cm3 A</t>
  </si>
  <si>
    <t>SAJGX504XX</t>
  </si>
  <si>
    <t>XK Avoauto (AE) 2ov 4190cm3 A</t>
  </si>
  <si>
    <t>e11*95/54*0062*07</t>
  </si>
  <si>
    <t>SAJAA42P44</t>
  </si>
  <si>
    <t>2D CONVERTIBLE XK8 4.0-AUTOMATIC-GX22/259 Avoauto (AE) 2ov 3996cm3 A</t>
  </si>
  <si>
    <t>SAJGX2245W</t>
  </si>
  <si>
    <t>SAJAA44P47</t>
  </si>
  <si>
    <t>XK8 CONVERTIBLE Avoauto (AE) 2ov 3990cm3 A</t>
  </si>
  <si>
    <t>SAJGX2043X</t>
  </si>
  <si>
    <t>E11*2001/116*0272*03</t>
  </si>
  <si>
    <t>SAJAA43R28</t>
  </si>
  <si>
    <t>XKR Coup� (AD) 2ov 3996cm3 A</t>
  </si>
  <si>
    <t>E11*95/54*0061*02</t>
  </si>
  <si>
    <t>SAJAA41M71</t>
  </si>
  <si>
    <t>XJ</t>
  </si>
  <si>
    <t>283</t>
  </si>
  <si>
    <t>XK CONVERTIBLE Avoauto (AE) 2ov 5000cm3 A</t>
  </si>
  <si>
    <t>XK CONVERTIBLE</t>
  </si>
  <si>
    <t>e11*2001/116*0272*07</t>
  </si>
  <si>
    <t>SAJAA44P5B</t>
  </si>
  <si>
    <t>XK Avoauto (AE) 2ov 3996cm3 A</t>
  </si>
  <si>
    <t>SAJDA42C31</t>
  </si>
  <si>
    <t>2D CONVERTIBLE XK8 Avoauto (AE) 2ov 3996cm3</t>
  </si>
  <si>
    <t>2D CONVERTIBLE XK8</t>
  </si>
  <si>
    <t>SAJJGXFE4X</t>
  </si>
  <si>
    <t>XKR Coup� (AD) 2ov 3990cm3 A</t>
  </si>
  <si>
    <t>SAJAA41N82</t>
  </si>
  <si>
    <t>XK Avoauto (AE) 2ov 3990cm3</t>
  </si>
  <si>
    <t>SAJDA42C61</t>
  </si>
  <si>
    <t>213</t>
  </si>
  <si>
    <t>2D CONVERTIBLE XK8 4.0-AUTOMATIC-41N/259 Avoauto (AE) 2ov 3990cm3 A</t>
  </si>
  <si>
    <t>2D CONVERTIBLE XK8 4.0-AUTOMATIC-41N/259</t>
  </si>
  <si>
    <t>SAJDA42C41</t>
  </si>
  <si>
    <t>SAJGX2746V</t>
  </si>
  <si>
    <t>2D CONVERTIBLE XK8 4.0-AUTOMATIC-JGX  2ov 4000cm3</t>
  </si>
  <si>
    <t>2D CONVERTIBLE XK8 4.0-AUTOMATIC-JGX</t>
  </si>
  <si>
    <t>SAJGX2248W</t>
  </si>
  <si>
    <t>XK Avoauto (AE) 2ov 3990cm3 A</t>
  </si>
  <si>
    <t>219</t>
  </si>
  <si>
    <t>SAJAA42PX3</t>
  </si>
  <si>
    <t>SAJAA44R87</t>
  </si>
  <si>
    <t>2D CONVERTIBLE XKR  2ov 3996cm3</t>
  </si>
  <si>
    <t>SAJDA42C24</t>
  </si>
  <si>
    <t>SAJGX2246W</t>
  </si>
  <si>
    <t>XK Coup� (AD) 2ov 4190cm3</t>
  </si>
  <si>
    <t>SAJAA43P57</t>
  </si>
  <si>
    <t>SAJJA42C9Y</t>
  </si>
  <si>
    <t>SAJAA41E9Y</t>
  </si>
  <si>
    <t>4</t>
  </si>
  <si>
    <t>2D CONVERTIBLE XK8- 4,0 AUTOMATIC Avoauto (AE) 2ov 3996cm3 A</t>
  </si>
  <si>
    <t>2D CONVERTIBLE XK8- 4,0 AUTOMATIC</t>
  </si>
  <si>
    <t>2D CONVERTIBLE XKR 4.0-AUTOMATIC  2ov 3990cm3 A</t>
  </si>
  <si>
    <t>2D CONVERTIBLE XKR 4.0-AUTOMATIC</t>
  </si>
  <si>
    <t>SAJDA42B11</t>
  </si>
  <si>
    <t>SAJGX2742V</t>
  </si>
  <si>
    <t>SAJAA41R75</t>
  </si>
  <si>
    <t>4E 07</t>
  </si>
  <si>
    <t>2D CONVERTIBLE XKR 4.0-AUTOMATIC-42B/259 Avoauto (AE) 2ov 3990cm3 A</t>
  </si>
  <si>
    <t>2D CONVERTIBLE XKR 4.0-AUTOMATIC-42B/259</t>
  </si>
  <si>
    <t>SAJJA42B8Y</t>
  </si>
  <si>
    <t>4K</t>
  </si>
  <si>
    <t>403</t>
  </si>
  <si>
    <t>375</t>
  </si>
  <si>
    <t>XKR COUPE Coup� (AD) 2ov 5000cm3 A</t>
  </si>
  <si>
    <t>SAJAA45R8B</t>
  </si>
  <si>
    <t>XKR Avoauto (AE) 2ov 3990cm3 A</t>
  </si>
  <si>
    <t>SAJDA42B02</t>
  </si>
  <si>
    <t>SAJAA41R85</t>
  </si>
  <si>
    <t>SAJJA41C8Y</t>
  </si>
  <si>
    <t>XK8 Coup� (AD) 2ov 3990cm3 A</t>
  </si>
  <si>
    <t>SAJJGAED3A</t>
  </si>
  <si>
    <t>e11*95/54*0061</t>
  </si>
  <si>
    <t>SAJAA41E3Y</t>
  </si>
  <si>
    <t>XK 8 Coup� (AD) 2ov 3996cm3 A</t>
  </si>
  <si>
    <t>XK8 Avoauto (AE) 2ov 3994cm3 A</t>
  </si>
  <si>
    <t>Z</t>
  </si>
  <si>
    <t>XK8 CONVERTIBLE Avoauto (AE) 2ov 4196cm3 A</t>
  </si>
  <si>
    <t>SAJDA42C93</t>
  </si>
  <si>
    <t>XK8 COUPE Coup� (AD) 2ov 3996cm3 A</t>
  </si>
  <si>
    <t>XK8 Convertible Avoauto (AE) 2ov 3996cm3 A</t>
  </si>
  <si>
    <t>XK8 Convertible</t>
  </si>
  <si>
    <t>SAJGX2241W</t>
  </si>
  <si>
    <t>Jaguar XK8 4.0-AUTOMATIC Avoauto (AE) 2ov 3996cm3 A</t>
  </si>
  <si>
    <t>Jaguar XK8 4.0-AUTOMATIC</t>
  </si>
  <si>
    <t>SAJDA42B71</t>
  </si>
  <si>
    <t>XKR COUPE  2ov 4196cm3 A</t>
  </si>
  <si>
    <t>SAJAA43P47</t>
  </si>
  <si>
    <t>SAJAA44R37</t>
  </si>
  <si>
    <t>291</t>
  </si>
  <si>
    <t>XKR Avoauto (AE) 2ov 4196cm3 A</t>
  </si>
  <si>
    <t>SAJDA42B54</t>
  </si>
  <si>
    <t>SAJGX5747V</t>
  </si>
  <si>
    <t>SAJGX2047X</t>
  </si>
  <si>
    <t>4J</t>
  </si>
  <si>
    <t>XKR CONVERTIBLE Avoauto (AE) 2ov 5000cm3 A</t>
  </si>
  <si>
    <t>SAJAA44R9B</t>
  </si>
  <si>
    <t>XKR Avoauto (AE) 2ov 3996cm3 A</t>
  </si>
  <si>
    <t>SAJDA42B91</t>
  </si>
  <si>
    <t>XKR COUPE Coup� (AD) 2ov 3996cm3 A</t>
  </si>
  <si>
    <t>276</t>
  </si>
  <si>
    <t>XKR  Avoauto (AE) 2ov 3996cm3 A</t>
  </si>
  <si>
    <t>e11*95/54*03</t>
  </si>
  <si>
    <t>XK Coup� (AD) 2ov 3990cm3</t>
  </si>
  <si>
    <t>JAGUAR XK8 CONVERTIBLE Avoauto (AE) 2ov 4196cm3 A</t>
  </si>
  <si>
    <t>JAGUAR XK8 CONVERTIBLE</t>
  </si>
  <si>
    <t>SAJDA44B57</t>
  </si>
  <si>
    <t>SAJJA42C8Y</t>
  </si>
  <si>
    <t>XK8 Convertible Avoauto (AE) 2ov 4196cm3 A</t>
  </si>
  <si>
    <t>XK COUPE Coup� (AD) 2ov 4190cm3 A</t>
  </si>
  <si>
    <t>SAJAA43P87</t>
  </si>
  <si>
    <t>JAGUAR XK8 CONVERTIBLE Avoauto (AE) 2ov 3996cm3 A</t>
  </si>
  <si>
    <t>e11*95/54*0062*02</t>
  </si>
  <si>
    <t>SAJDA42C22</t>
  </si>
  <si>
    <t>SAJAA43P97</t>
  </si>
  <si>
    <t>XK 5.0 V8  CABRIOLET Avoauto (AE) 2ov 5000cm3 A</t>
  </si>
  <si>
    <t>XK 5.0 V8  CABRIOLET</t>
  </si>
  <si>
    <t>e11*2001/116*0272*15</t>
  </si>
  <si>
    <t>SAJAA44P5E</t>
  </si>
  <si>
    <t>4E12</t>
  </si>
  <si>
    <t>XKR CONVERTIBLE Avoauto (AE) 2ov 3990cm3 A</t>
  </si>
  <si>
    <t>SAJAA42N21</t>
  </si>
  <si>
    <t>JAGUAR XKR COUPE  2ov 3990cm3 A</t>
  </si>
  <si>
    <t>JAGUAR XKR COUPE</t>
  </si>
  <si>
    <t>SAJAA41J0Y</t>
  </si>
  <si>
    <t>XKR Cab 4.2l Coup� (AD) 2ov 4196cm3 A</t>
  </si>
  <si>
    <t>XKR Cab 4.2l</t>
  </si>
  <si>
    <t>e11*95/54*0061*09</t>
  </si>
  <si>
    <t>SAJAA42RX6</t>
  </si>
  <si>
    <t>SAJAA42P73</t>
  </si>
  <si>
    <t>XKR CONVERTIBLE Avoauto (AE) 2ov 4190cm3 A</t>
  </si>
  <si>
    <t>SAJAA44R88</t>
  </si>
  <si>
    <t>SAJAA43R97</t>
  </si>
  <si>
    <t>4 01</t>
  </si>
  <si>
    <t>218.9</t>
  </si>
  <si>
    <t>Jaguar XK Coupe Coup� (AD) 2ov 4196cm3 A</t>
  </si>
  <si>
    <t>Jaguar XK Coupe</t>
  </si>
  <si>
    <t>XK8 Convertible Avoauto (AE) 2ov 3990cm3 A</t>
  </si>
  <si>
    <t>SAJAA43P77</t>
  </si>
  <si>
    <t>XKR  2ov 4190cm3 A</t>
  </si>
  <si>
    <t>SAJDA41B93</t>
  </si>
  <si>
    <t>XKR Coup� (AD) 2ov 4190cm3</t>
  </si>
  <si>
    <t>SAJAA43R18</t>
  </si>
  <si>
    <t>294</t>
  </si>
  <si>
    <t>XKR Coupe Coup� (AD) 2ov 4196cm3 A</t>
  </si>
  <si>
    <t>XKR Coupe</t>
  </si>
  <si>
    <t>SAJWA43C67</t>
  </si>
  <si>
    <t>SAJAA45R5B</t>
  </si>
  <si>
    <t>XKR Convertible Avoauto (AE) 2ov 3996cm3 A</t>
  </si>
  <si>
    <t>XKR Convertible</t>
  </si>
  <si>
    <t>SAJAA42N41</t>
  </si>
  <si>
    <t>XK8 Avoauto (AE) 2ov A</t>
  </si>
  <si>
    <t>SAJGX2748V</t>
  </si>
  <si>
    <t>Jaguar Xkr Coup� (AD) 2ov 3990cm3 A</t>
  </si>
  <si>
    <t>Jaguar Xkr</t>
  </si>
  <si>
    <t>XKR Avoauto (AE) 2ov 3996cm3</t>
  </si>
  <si>
    <t>SAJAA44R67</t>
  </si>
  <si>
    <t>SAJAA43RX7</t>
  </si>
  <si>
    <t>XK8 Coupe Coup� (AD) 2ov 3990cm3 A</t>
  </si>
  <si>
    <t>XK8 Coupe</t>
  </si>
  <si>
    <t>SAJGX5240W</t>
  </si>
  <si>
    <t>XK8 Avoauto (AE) 2ov 4190cm3 A</t>
  </si>
  <si>
    <t>SAJDA42C54</t>
  </si>
  <si>
    <t>SAJGX5245W</t>
  </si>
  <si>
    <t>XK Avoauto (AE) 2ov 4196cm3 A</t>
  </si>
  <si>
    <t>SAJAA42R23</t>
  </si>
  <si>
    <t>XK COUPE Coup� (AD) 2ov 4196cm3 A</t>
  </si>
  <si>
    <t>SAJAA43P48</t>
  </si>
  <si>
    <t>SAJAA43P69</t>
  </si>
  <si>
    <t>SAJDA42C33</t>
  </si>
  <si>
    <t>SAJWA43C87</t>
  </si>
  <si>
    <t>5150101604</t>
  </si>
  <si>
    <t>2D CONVERTIBLE XKR 4.0-AUTOMATIC-42B/259 Avoauto (AE) 2ov 4196cm3 A</t>
  </si>
  <si>
    <t>SAJDA42B72</t>
  </si>
  <si>
    <t>XKR COUPE Coup� (AD) 2ov 4190cm3 A</t>
  </si>
  <si>
    <t>SAJAA43R67</t>
  </si>
  <si>
    <t>SAJAA42N11</t>
  </si>
  <si>
    <t>SAJDA42C36</t>
  </si>
  <si>
    <t>SAJAA43P68</t>
  </si>
  <si>
    <t>SAJJGNED4V</t>
  </si>
  <si>
    <t>310</t>
  </si>
  <si>
    <t>XKR Coup� (AD) 2ov 4196cm3 A</t>
  </si>
  <si>
    <t>SAJWA43CX8</t>
  </si>
  <si>
    <t>XK8 Avoauto (AE) 2ov</t>
  </si>
  <si>
    <t>SAJDA42B93</t>
  </si>
  <si>
    <t>XK8 COUPE Coup� (AD) 2ov 3990cm3</t>
  </si>
  <si>
    <t>SAJJGKED4A</t>
  </si>
  <si>
    <t>U/A</t>
  </si>
  <si>
    <t>Jaguar XK8 Umpi/avo 2ov 4000cm3 A</t>
  </si>
  <si>
    <t>Jaguar XK8</t>
  </si>
  <si>
    <t>SAJGX2049X</t>
  </si>
  <si>
    <t>XKR  2ov 4196cm3 A</t>
  </si>
  <si>
    <t>SAJWA44C38</t>
  </si>
  <si>
    <t>SAJAA41R45</t>
  </si>
  <si>
    <t>SAJAC42RX3</t>
  </si>
  <si>
    <t>SAJJA42CXY</t>
  </si>
  <si>
    <t>XKR Coup� (AD) 2ov 5000cm3 A</t>
  </si>
  <si>
    <t>SAJWA4FC5E</t>
  </si>
  <si>
    <t>SAJAC44R28</t>
  </si>
  <si>
    <t>313</t>
  </si>
  <si>
    <t>SAJWA46C39</t>
  </si>
  <si>
    <t>SAJAA44P67</t>
  </si>
  <si>
    <t>SAJGX2749V</t>
  </si>
  <si>
    <t>XKR COUPE Coup� (AD) 2ov 4190cm3</t>
  </si>
  <si>
    <t>SAJDA44B37</t>
  </si>
  <si>
    <t>XK Avoauto (AE) 2ov A</t>
  </si>
  <si>
    <t>SAJWA4EB0A</t>
  </si>
  <si>
    <t>XKR Coupe Coup� (AD) 2ov 3990cm3 A</t>
  </si>
  <si>
    <t>XK8 Coup� (AD) 2ov 4190cm3 A</t>
  </si>
  <si>
    <t>e11*95/54*0061*07</t>
  </si>
  <si>
    <t>SAJAA41PX4</t>
  </si>
  <si>
    <t>SAJAA44F47</t>
  </si>
  <si>
    <t>XK Avoauto (AE) 2ov 5000cm3 A</t>
  </si>
  <si>
    <t>SAJWA4GB5D</t>
  </si>
  <si>
    <t>260</t>
  </si>
  <si>
    <t>XKR 2 Dr. Sport Coupe Coup� (AD) 2ov 3996cm3 A</t>
  </si>
  <si>
    <t>XKR 2 Dr. Sport Coupe</t>
  </si>
  <si>
    <t>SAJAA44P37</t>
  </si>
  <si>
    <t>XK Avoauto (AE) 2ov 3996cm3</t>
  </si>
  <si>
    <t>SAJAA42M12</t>
  </si>
  <si>
    <t>SAJWA44C57</t>
  </si>
  <si>
    <t>SAJWA4GB5B</t>
  </si>
  <si>
    <t>SAJWA44B68</t>
  </si>
  <si>
    <t>XK Coup� (AD) 2ov 4200cm3 A</t>
  </si>
  <si>
    <t>SAJWA43C77</t>
  </si>
  <si>
    <t>SAJAA44P27</t>
  </si>
  <si>
    <t>SAJFA44B17</t>
  </si>
  <si>
    <t>Row Labels</t>
  </si>
  <si>
    <t>Grand Total</t>
  </si>
  <si>
    <t>Column Labels</t>
  </si>
  <si>
    <t>2008</t>
  </si>
  <si>
    <t>2012</t>
  </si>
  <si>
    <t>2005</t>
  </si>
  <si>
    <t>2007</t>
  </si>
  <si>
    <t>2013</t>
  </si>
  <si>
    <t>2011</t>
  </si>
  <si>
    <t>1997</t>
  </si>
  <si>
    <t>2003</t>
  </si>
  <si>
    <t>2014</t>
  </si>
  <si>
    <t>2006</t>
  </si>
  <si>
    <t>2004</t>
  </si>
  <si>
    <t>2010</t>
  </si>
  <si>
    <t>1998</t>
  </si>
  <si>
    <t>2009</t>
  </si>
  <si>
    <t>1999</t>
  </si>
  <si>
    <t>2001</t>
  </si>
  <si>
    <t>2002</t>
  </si>
  <si>
    <t>Käyttöönotto</t>
  </si>
  <si>
    <t>VIN</t>
  </si>
  <si>
    <t>Mallimerkintä</t>
  </si>
  <si>
    <t>Coupe</t>
  </si>
  <si>
    <t>Convertible</t>
  </si>
  <si>
    <t>Omamassa</t>
  </si>
  <si>
    <t>Unknown</t>
  </si>
  <si>
    <t>KOVuosi</t>
  </si>
  <si>
    <t>1996</t>
  </si>
  <si>
    <t>2000</t>
  </si>
  <si>
    <t>XK/XK8</t>
  </si>
  <si>
    <t>BodyType</t>
  </si>
  <si>
    <t>Sum of XK/XK8</t>
  </si>
  <si>
    <t>Total Sum of XK/XK8</t>
  </si>
  <si>
    <t>Total Sum of XKR</t>
  </si>
  <si>
    <t>Sum of XKR</t>
  </si>
  <si>
    <t>yht</t>
  </si>
  <si>
    <t>VINGen</t>
  </si>
  <si>
    <t>VINRange6</t>
  </si>
  <si>
    <t>VINGenNew</t>
  </si>
  <si>
    <t>VINGenX150</t>
  </si>
  <si>
    <t>VINClass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</si>
</sst>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i Lind" refreshedDate="46264.102535648148" createdVersion="8" refreshedVersion="8" minRefreshableVersion="3" recordCount="256" xr:uid="{CD0C4606-AA3A-4811-B578-6D03CA7F564E}">
  <cacheSource type="worksheet">
    <worksheetSource name="Table"/>
  </cacheSource>
  <cacheFields count="13">
    <cacheField name="jarnro" numFmtId="0">
      <sharedItems containsSemiMixedTypes="0" containsString="0" containsNumber="1" containsInteger="1" minValue="18635" maxValue="5164401"/>
    </cacheField>
    <cacheField name="VIN" numFmtId="0">
      <sharedItems/>
    </cacheField>
    <cacheField name="VINSerial" numFmtId="0">
      <sharedItems containsNonDate="0" containsString="0" containsBlank="1"/>
    </cacheField>
    <cacheField name="Käyttöönotto" numFmtId="0">
      <sharedItems containsSemiMixedTypes="0" containsString="0" containsNumber="1" containsInteger="1" minValue="19961018" maxValue="20140320"/>
    </cacheField>
    <cacheField name="KOVuosi" numFmtId="0">
      <sharedItems count="19">
        <s v="1997"/>
        <s v="2007"/>
        <s v="1999"/>
        <s v="2002"/>
        <s v="1998"/>
        <s v="2000"/>
        <s v="2001"/>
        <s v="2005"/>
        <s v="2006"/>
        <s v="1996"/>
        <s v="2004"/>
        <s v="2008"/>
        <s v="2009"/>
        <s v="2010"/>
        <s v="2003"/>
        <s v="2012"/>
        <s v="2011"/>
        <s v="2014"/>
        <s v="2013"/>
      </sharedItems>
    </cacheField>
    <cacheField name="Mallimerkintä" numFmtId="0">
      <sharedItems count="122">
        <s v="COUPE XK8 4.0-AUTOMATIC-JGED/259"/>
        <s v="2D CONVERTIBLE XK 4.2 AUTOMATIC QQ6/275"/>
        <s v="2D CONVERTIBLE XK8 4.0-AUTOMATIC-JGAF/259"/>
        <s v="2D CONVERTIBLE XKR 4.0-AUTOMATIC-JGFF/259"/>
        <s v="2D CONVERTIBLE XKR 4.2-AUTOMATIC-42R/259"/>
        <s v="COUPE XKR 4.0-AUTOMATIC-JGEF/259"/>
        <s v="2D CONVERTIBLE XK8 4.0-AUTOMATIC-JGFD/259"/>
        <s v="COUPE XK8 4.0 AUTOMATIC-41N/259"/>
        <s v="2D CONVERTIBLE XK8 4.0-AUTOMATIC-AA2E/259"/>
        <s v="COUPE XK8 4.2 AUTOMATIC-41P/259"/>
        <s v="COUPE XK 4.2 AUTOMATIC QQ6/275"/>
        <s v="2D CONVERTIBLE XK8 4.0-AUTOMATIC-JGFX/259"/>
        <s v="COUPE XK8 4.0 AUTOMATIC-JGED/259"/>
        <s v="XK Coup� (AD) 2ov 4190cm3 A"/>
        <s v="COUPE XKR 4.2 AUTOMATIC-AA1R/259"/>
        <s v="COUPE XKR 4.0-AUTOMATIC"/>
        <s v="COUPE XKR 4.0-AUTOMATIC-AA1J/259"/>
        <s v="COUPE XK8 4.0-AUTOMATIC-JGAE/259"/>
        <s v="2D CONVERTIBLE XKR 4.0-AUTOMATIC-JGAF/259"/>
        <s v="COUPE XK8 4.0-AUTOMATIC-JGAED/259"/>
        <s v="XKR Cab 4.2l Coup� (AD) 2ov 4196cm3 A"/>
        <s v="2D CONVERTIBLE XK8 4.0-AUTOMATIC-JGX2/259"/>
        <s v="XKR Coupe Coup� (AD) 2ov 4196cm3 A"/>
        <s v="2D CONVERTIBLE XK8 4.0-AUTOMATIC-GX22/259"/>
        <s v="COUPE XKR 4.0 AUTOMATIC-41P/259"/>
        <s v="JAGUAR XK8 CONVERTIBLE Avoauto (AE) 2ov 4196cm3 A"/>
        <s v="COUPE XKR 4.0-AUTOMATIC-JGAE/259"/>
        <s v="XK Avoauto (AE) 2ov 4190cm3 A"/>
        <s v="COUPE XKR 4.0-AUTOMATIC-41J/259"/>
        <s v="XK Coup� (AD) 2ov 3996cm3 A"/>
        <s v="2D CONVERTIBLE XK8 4.0-AUTOMATIC-JGFD/259 Avoauto (AE) 2ov 3990cm3 A"/>
        <s v="XK COUPE Coup� (AD) 4190cm3"/>
        <s v="XK8 Coup� (AD) 2ov 3996cm3"/>
        <s v="XKR CONVERTIBLE Avoauto (AE) 2ov 4196cm3 A"/>
        <s v="XK Avoauto (AE) 2ov 4190cm3"/>
        <s v="XK Coup� (AD) 2ov 4196cm3 A"/>
        <s v="XK 8 Avoauto (AE) 2ov 3990cm3"/>
        <s v="2D CONVERTIBLE XK8 4.2-AUTOMATIC-AA2P/259"/>
        <s v="XKR Coup� (AD) 2ov 3999cm3 A"/>
        <s v="XK8 Avoauto (AE) 2ov 3990cm3 A"/>
        <s v="COUPE XKR 4.0 AUTOMATIC-41P/259 Coup� (AD) 2ov 3990cm3 A"/>
        <s v="XK8 CONVERTIBLE Avoauto (AE) 2ov 3996cm3 A"/>
        <s v="XK Coup� (AD) 2ov 3990cm3 A"/>
        <s v="XK Coup� (AD) 4190cm3"/>
        <s v="XK8 Avoauto (AE) 2ov 3996cm3 A"/>
        <s v="XK8 COUPE Coup� (AD) 2ov 3996cm3"/>
        <s v="XK Avoauto (AE) 2ov 4000cm3 A"/>
        <s v="XK8  2ov 3990cm3 A"/>
        <s v="2D CONVERTIBLE XK8 4.0-AUTOMATIC-DA42/259 Avoauto (AE) 2ov 3990cm3 A"/>
        <s v="XKR Cabriolet Avoauto (AE) 2ov 3996cm3 A"/>
        <s v="XK  Coup� (AD) 2ov 3996cm3 A"/>
        <s v="COUPE XKR 4.2 AUTOMATIC-AA1R/259 Coup� (AD) 2ov 3995cm3 A"/>
        <s v="XK 8 Avoauto (AE) 2ov 3990cm3 A"/>
        <s v="XK8 Coup� (AD) 2ov 3996cm3 A"/>
        <s v="2D CONVERTIBLE XK8 4.2-AUTOMATIC-42P/259"/>
        <s v="2D CONVERTIBLE XK8 4.0-AUTOMATIC-GX22/259 Avoauto (AE) 2ov 3996cm3 A"/>
        <s v="XK8 CONVERTIBLE Avoauto (AE) 2ov 3990cm3 A"/>
        <s v="XKR Coup� (AD) 2ov 3996cm3 A"/>
        <s v="XK CONVERTIBLE Avoauto (AE) 2ov 5000cm3 A"/>
        <s v="XK Avoauto (AE) 2ov 3996cm3 A"/>
        <s v="2D CONVERTIBLE XK8 Avoauto (AE) 2ov 3996cm3"/>
        <s v="XKR Coup� (AD) 2ov 3990cm3 A"/>
        <s v="XK Avoauto (AE) 2ov 3990cm3"/>
        <s v="2D CONVERTIBLE XK8 4.0-AUTOMATIC-41N/259 Avoauto (AE) 2ov 3990cm3 A"/>
        <s v="2D CONVERTIBLE XK8 4.0-AUTOMATIC-JGX  2ov 4000cm3"/>
        <s v="XK Avoauto (AE) 2ov 3990cm3 A"/>
        <s v="2D CONVERTIBLE XKR  2ov 3996cm3"/>
        <s v="XK Coup� (AD) 2ov 4190cm3"/>
        <s v="2D CONVERTIBLE XK8- 4,0 AUTOMATIC Avoauto (AE) 2ov 3996cm3 A"/>
        <s v="2D CONVERTIBLE XKR 4.0-AUTOMATIC  2ov 3990cm3 A"/>
        <s v="2D CONVERTIBLE XKR 4.0-AUTOMATIC-42B/259 Avoauto (AE) 2ov 3990cm3 A"/>
        <s v="XKR COUPE Coup� (AD) 2ov 5000cm3 A"/>
        <s v="XKR Avoauto (AE) 2ov 3990cm3 A"/>
        <s v="XK8 Coup� (AD) 2ov 3990cm3 A"/>
        <s v="XK 8 Coup� (AD) 2ov 3996cm3 A"/>
        <s v="XK8 Avoauto (AE) 2ov 3994cm3 A"/>
        <s v="XK8 CONVERTIBLE Avoauto (AE) 2ov 4196cm3 A"/>
        <s v="XK8 COUPE Coup� (AD) 2ov 3996cm3 A"/>
        <s v="Jaguar XK8 4.0-AUTOMATIC Avoauto (AE) 2ov 3996cm3 A"/>
        <s v="2D CONVERTIBLE XKR 4.2 AUTOMATIC QQ6/275"/>
        <s v="XKR CONVERTIBLE Avoauto (AE) 2ov 5000cm3 A"/>
        <s v="XKR Avoauto (AE) 2ov 3996cm3 A"/>
        <s v="XKR COUPE Coup� (AD) 2ov 3996cm3 A"/>
        <s v="XKR  Avoauto (AE) 2ov 3996cm3 A"/>
        <s v="XK Coup� (AD) 2ov 3990cm3"/>
        <s v="XKR CONVERTIBLE Avoauto (AE) 2ov 4190cm3 A"/>
        <s v="JAGUAR XK8 CONVERTIBLE Avoauto (AE) 2ov 3996cm3 A"/>
        <s v="XK 5.0 V8  CABRIOLET Avoauto (AE) 2ov 5000cm3 A"/>
        <s v="XKR CONVERTIBLE Avoauto (AE) 2ov 3990cm3 A"/>
        <s v="JAGUAR XKR COUPE  2ov 3990cm3 A"/>
        <s v="XK8 Avoauto (AE) 2ov 4190cm3 A"/>
        <s v="Jaguar XK Coupe Coup� (AD) 2ov 4196cm3 A"/>
        <s v="XKR  2ov 4190cm3 A"/>
        <s v="XKR Coup� (AD) 2ov 4190cm3"/>
        <s v="XK COUPE Coup� (AD) 2ov 4190cm3 A"/>
        <s v="XKR Convertible Avoauto (AE) 2ov 3996cm3 A"/>
        <s v="XK8 Avoauto (AE) 2ov A"/>
        <s v="Jaguar Xkr Coup� (AD) 2ov 3990cm3 A"/>
        <s v="XKR Avoauto (AE) 2ov 3996cm3"/>
        <s v="XK COUPE Coup� (AD) 2ov 4196cm3 A"/>
        <s v="XK8 Coupe Coup� (AD) 2ov 3990cm3 A"/>
        <s v="XK Avoauto (AE) 2ov 4196cm3 A"/>
        <s v="XK Coup� (AD) 2ov 4200cm3 A"/>
        <s v="2D CONVERTIBLE XKR 4.0-AUTOMATIC-42B/259 Avoauto (AE) 2ov 4196cm3 A"/>
        <s v="COUPE XKR 4.2 AUTOMATIC QQ6/275"/>
        <s v="XKR Coup� (AD) 2ov 4196cm3 A"/>
        <s v="XK8 Avoauto (AE) 2ov"/>
        <s v="XK8 COUPE Coup� (AD) 2ov 3990cm3"/>
        <s v="Jaguar XK8 Umpi/avo 2ov 4000cm3 A"/>
        <s v="XKR  2ov 4196cm3 A"/>
        <s v="XKR Avoauto (AE) 2ov 4196cm3 A"/>
        <s v="XKR Coup� (AD) 2ov 5000cm3 A"/>
        <s v="XKR COUPE Coup� (AD) 4190cm3"/>
        <s v="XKR COUPE  2ov 4196cm3 A"/>
        <s v="XK Avoauto (AE) 2ov A"/>
        <s v="XKR Coupe Coup� (AD) 2ov 3990cm3 A"/>
        <s v="XK8 Coup� (AD) 2ov 4190cm3 A"/>
        <s v="XK Avoauto (AE) 2ov 5000cm3 A"/>
        <s v="XKR 2 Dr. Sport Coupe Coup� (AD) 2ov 3996cm3 A"/>
        <s v="XK Avoauto (AE) 2ov 3996cm3"/>
        <s v="XKR COUPE Coup� (AD) 2ov 4190cm3 A"/>
        <s v="XKR COUPE Coup� (AD) 2ov 4190cm3"/>
      </sharedItems>
    </cacheField>
    <cacheField name="Omamassa" numFmtId="0">
      <sharedItems containsSemiMixedTypes="0" containsString="0" containsNumber="1" containsInteger="1" minValue="1570" maxValue="1890"/>
    </cacheField>
    <cacheField name="XK/XK8" numFmtId="0">
      <sharedItems containsSemiMixedTypes="0" containsString="0" containsNumber="1" containsInteger="1" minValue="0" maxValue="1" count="2">
        <n v="1"/>
        <n v="0"/>
      </sharedItems>
    </cacheField>
    <cacheField name="XKR" numFmtId="0">
      <sharedItems containsSemiMixedTypes="0" containsString="0" containsNumber="1" containsInteger="1" minValue="0" maxValue="1" count="2">
        <n v="0"/>
        <n v="1"/>
      </sharedItems>
    </cacheField>
    <cacheField name="Coupe" numFmtId="0">
      <sharedItems containsSemiMixedTypes="0" containsString="0" containsNumber="1" containsInteger="1" minValue="0" maxValue="1" count="2">
        <n v="1"/>
        <n v="0"/>
      </sharedItems>
    </cacheField>
    <cacheField name="Convertible" numFmtId="0">
      <sharedItems containsSemiMixedTypes="0" containsString="0" containsNumber="1" containsInteger="1" minValue="0" maxValue="1" count="2">
        <n v="0"/>
        <n v="1"/>
      </sharedItems>
    </cacheField>
    <cacheField name="Unknown" numFmtId="0">
      <sharedItems containsSemiMixedTypes="0" containsString="0" containsNumber="1" containsInteger="1" minValue="0" maxValue="1"/>
    </cacheField>
    <cacheField name="BodyType" numFmtId="0">
      <sharedItems count="3">
        <s v="Coupe"/>
        <s v="Convertible"/>
        <s v="Unkno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">
  <r>
    <n v="18635"/>
    <s v="SAJJGAED4A"/>
    <m/>
    <n v="19970404"/>
    <x v="0"/>
    <x v="0"/>
    <n v="1720"/>
    <x v="0"/>
    <x v="0"/>
    <x v="0"/>
    <x v="0"/>
    <n v="0"/>
    <x v="0"/>
  </r>
  <r>
    <n v="78053"/>
    <s v="SAJAA44P57"/>
    <m/>
    <n v="20070116"/>
    <x v="1"/>
    <x v="1"/>
    <n v="1735"/>
    <x v="0"/>
    <x v="0"/>
    <x v="1"/>
    <x v="1"/>
    <n v="0"/>
    <x v="1"/>
  </r>
  <r>
    <n v="95136"/>
    <s v="SAJJGAFD4A"/>
    <m/>
    <n v="19971024"/>
    <x v="0"/>
    <x v="2"/>
    <n v="1720"/>
    <x v="0"/>
    <x v="0"/>
    <x v="1"/>
    <x v="1"/>
    <n v="0"/>
    <x v="1"/>
  </r>
  <r>
    <n v="97573"/>
    <s v="SAJJGAFF4A"/>
    <m/>
    <n v="19990427"/>
    <x v="2"/>
    <x v="3"/>
    <n v="1845"/>
    <x v="1"/>
    <x v="1"/>
    <x v="1"/>
    <x v="1"/>
    <n v="0"/>
    <x v="1"/>
  </r>
  <r>
    <n v="99569"/>
    <s v="SAJAA42RX3"/>
    <m/>
    <n v="20020905"/>
    <x v="3"/>
    <x v="4"/>
    <n v="1770"/>
    <x v="1"/>
    <x v="1"/>
    <x v="1"/>
    <x v="1"/>
    <n v="0"/>
    <x v="1"/>
  </r>
  <r>
    <n v="122779"/>
    <s v="SAJJGAEF4A"/>
    <m/>
    <n v="19980508"/>
    <x v="4"/>
    <x v="5"/>
    <n v="1735"/>
    <x v="1"/>
    <x v="1"/>
    <x v="0"/>
    <x v="0"/>
    <n v="0"/>
    <x v="0"/>
  </r>
  <r>
    <n v="155675"/>
    <s v="SAJAA41J1Y"/>
    <m/>
    <n v="20000111"/>
    <x v="5"/>
    <x v="5"/>
    <n v="1735"/>
    <x v="1"/>
    <x v="1"/>
    <x v="0"/>
    <x v="0"/>
    <n v="0"/>
    <x v="0"/>
  </r>
  <r>
    <n v="167621"/>
    <s v="SAJJGAED4A"/>
    <m/>
    <n v="19990225"/>
    <x v="2"/>
    <x v="0"/>
    <n v="1720"/>
    <x v="0"/>
    <x v="0"/>
    <x v="0"/>
    <x v="0"/>
    <n v="0"/>
    <x v="0"/>
  </r>
  <r>
    <n v="206383"/>
    <s v="SAJJGAED4A"/>
    <m/>
    <n v="19980107"/>
    <x v="4"/>
    <x v="0"/>
    <n v="1720"/>
    <x v="0"/>
    <x v="0"/>
    <x v="0"/>
    <x v="0"/>
    <n v="0"/>
    <x v="0"/>
  </r>
  <r>
    <n v="301741"/>
    <s v="SAJJGXFD4V"/>
    <m/>
    <n v="19970000"/>
    <x v="0"/>
    <x v="6"/>
    <n v="1850"/>
    <x v="0"/>
    <x v="0"/>
    <x v="1"/>
    <x v="1"/>
    <n v="0"/>
    <x v="1"/>
  </r>
  <r>
    <n v="337904"/>
    <s v="SAJJGAFD4A"/>
    <m/>
    <n v="19970628"/>
    <x v="0"/>
    <x v="2"/>
    <n v="1720"/>
    <x v="0"/>
    <x v="0"/>
    <x v="1"/>
    <x v="1"/>
    <n v="0"/>
    <x v="1"/>
  </r>
  <r>
    <n v="423185"/>
    <s v="SAJAA41M11"/>
    <m/>
    <n v="20010706"/>
    <x v="6"/>
    <x v="7"/>
    <n v="1690"/>
    <x v="0"/>
    <x v="0"/>
    <x v="0"/>
    <x v="0"/>
    <n v="0"/>
    <x v="0"/>
  </r>
  <r>
    <n v="471735"/>
    <s v="SAJAA42EXY"/>
    <m/>
    <n v="20000111"/>
    <x v="5"/>
    <x v="8"/>
    <n v="1780"/>
    <x v="0"/>
    <x v="0"/>
    <x v="1"/>
    <x v="1"/>
    <n v="0"/>
    <x v="1"/>
  </r>
  <r>
    <n v="532950"/>
    <s v="SAJJGAED4A"/>
    <m/>
    <n v="19990205"/>
    <x v="2"/>
    <x v="0"/>
    <n v="1720"/>
    <x v="0"/>
    <x v="0"/>
    <x v="0"/>
    <x v="0"/>
    <n v="0"/>
    <x v="0"/>
  </r>
  <r>
    <n v="535425"/>
    <s v="SAJAA41P83"/>
    <m/>
    <n v="20050520"/>
    <x v="7"/>
    <x v="9"/>
    <n v="1660"/>
    <x v="0"/>
    <x v="0"/>
    <x v="0"/>
    <x v="0"/>
    <n v="0"/>
    <x v="0"/>
  </r>
  <r>
    <n v="608373"/>
    <s v="SAJAA43P07"/>
    <m/>
    <n v="20060516"/>
    <x v="8"/>
    <x v="10"/>
    <n v="1720"/>
    <x v="0"/>
    <x v="0"/>
    <x v="0"/>
    <x v="0"/>
    <n v="0"/>
    <x v="0"/>
  </r>
  <r>
    <n v="608560"/>
    <s v="SAJAA44PX7"/>
    <m/>
    <n v="20061005"/>
    <x v="8"/>
    <x v="1"/>
    <n v="1735"/>
    <x v="0"/>
    <x v="0"/>
    <x v="1"/>
    <x v="1"/>
    <n v="0"/>
    <x v="1"/>
  </r>
  <r>
    <n v="627492"/>
    <s v="SAJJGAED4A"/>
    <m/>
    <n v="19970516"/>
    <x v="0"/>
    <x v="0"/>
    <n v="1720"/>
    <x v="0"/>
    <x v="0"/>
    <x v="0"/>
    <x v="0"/>
    <n v="0"/>
    <x v="0"/>
  </r>
  <r>
    <n v="689949"/>
    <s v="SAJJGAED4A"/>
    <m/>
    <n v="19970609"/>
    <x v="0"/>
    <x v="0"/>
    <n v="1720"/>
    <x v="0"/>
    <x v="0"/>
    <x v="0"/>
    <x v="0"/>
    <n v="0"/>
    <x v="0"/>
  </r>
  <r>
    <n v="709363"/>
    <s v="SAJJGAED4A"/>
    <m/>
    <n v="19970207"/>
    <x v="0"/>
    <x v="0"/>
    <n v="1720"/>
    <x v="0"/>
    <x v="0"/>
    <x v="0"/>
    <x v="0"/>
    <n v="0"/>
    <x v="0"/>
  </r>
  <r>
    <n v="755631"/>
    <s v="SAJJGFXD4V"/>
    <m/>
    <n v="19970000"/>
    <x v="0"/>
    <x v="11"/>
    <n v="1810"/>
    <x v="0"/>
    <x v="0"/>
    <x v="1"/>
    <x v="1"/>
    <n v="0"/>
    <x v="1"/>
  </r>
  <r>
    <n v="764375"/>
    <s v="SAJJGAED4A"/>
    <m/>
    <n v="19980330"/>
    <x v="4"/>
    <x v="12"/>
    <n v="1690"/>
    <x v="0"/>
    <x v="0"/>
    <x v="0"/>
    <x v="0"/>
    <n v="0"/>
    <x v="0"/>
  </r>
  <r>
    <n v="806386"/>
    <s v="SAJJGAED4A"/>
    <m/>
    <n v="19981223"/>
    <x v="4"/>
    <x v="0"/>
    <n v="1720"/>
    <x v="0"/>
    <x v="0"/>
    <x v="0"/>
    <x v="0"/>
    <n v="0"/>
    <x v="0"/>
  </r>
  <r>
    <n v="840818"/>
    <s v="SAJAA44P97"/>
    <m/>
    <n v="20070426"/>
    <x v="1"/>
    <x v="1"/>
    <n v="1735"/>
    <x v="0"/>
    <x v="0"/>
    <x v="1"/>
    <x v="1"/>
    <n v="0"/>
    <x v="1"/>
  </r>
  <r>
    <n v="906178"/>
    <s v="SAJJGAED4A"/>
    <m/>
    <n v="19991018"/>
    <x v="2"/>
    <x v="0"/>
    <n v="1690"/>
    <x v="0"/>
    <x v="0"/>
    <x v="0"/>
    <x v="0"/>
    <n v="0"/>
    <x v="0"/>
  </r>
  <r>
    <n v="928493"/>
    <s v="SAJJGAED4A"/>
    <m/>
    <n v="19970605"/>
    <x v="0"/>
    <x v="0"/>
    <n v="1720"/>
    <x v="0"/>
    <x v="0"/>
    <x v="0"/>
    <x v="0"/>
    <n v="0"/>
    <x v="0"/>
  </r>
  <r>
    <n v="957208"/>
    <s v="SAJJGAFD4A"/>
    <m/>
    <n v="19990621"/>
    <x v="2"/>
    <x v="6"/>
    <n v="1810"/>
    <x v="0"/>
    <x v="0"/>
    <x v="1"/>
    <x v="1"/>
    <n v="0"/>
    <x v="1"/>
  </r>
  <r>
    <n v="968479"/>
    <s v="SAJAA44P77"/>
    <m/>
    <n v="20060505"/>
    <x v="8"/>
    <x v="1"/>
    <n v="1735"/>
    <x v="0"/>
    <x v="0"/>
    <x v="1"/>
    <x v="1"/>
    <n v="0"/>
    <x v="1"/>
  </r>
  <r>
    <n v="968661"/>
    <s v="SAJJGXFD4V"/>
    <m/>
    <n v="19970625"/>
    <x v="0"/>
    <x v="6"/>
    <n v="1720"/>
    <x v="0"/>
    <x v="0"/>
    <x v="1"/>
    <x v="1"/>
    <n v="0"/>
    <x v="1"/>
  </r>
  <r>
    <n v="989686"/>
    <s v="SAJJGAFF4A"/>
    <m/>
    <n v="19990628"/>
    <x v="2"/>
    <x v="3"/>
    <n v="1845"/>
    <x v="1"/>
    <x v="1"/>
    <x v="1"/>
    <x v="1"/>
    <n v="0"/>
    <x v="1"/>
  </r>
  <r>
    <n v="1027041"/>
    <s v="SAJAA41P86"/>
    <m/>
    <n v="20051223"/>
    <x v="7"/>
    <x v="13"/>
    <n v="1735"/>
    <x v="0"/>
    <x v="0"/>
    <x v="0"/>
    <x v="0"/>
    <n v="0"/>
    <x v="0"/>
  </r>
  <r>
    <n v="1035687"/>
    <s v="SAJJGAED4A"/>
    <m/>
    <n v="19961018"/>
    <x v="9"/>
    <x v="0"/>
    <n v="1720"/>
    <x v="0"/>
    <x v="0"/>
    <x v="0"/>
    <x v="0"/>
    <n v="0"/>
    <x v="0"/>
  </r>
  <r>
    <n v="1074845"/>
    <s v="SAJJGAFD4A"/>
    <m/>
    <n v="19980508"/>
    <x v="4"/>
    <x v="6"/>
    <n v="1810"/>
    <x v="0"/>
    <x v="0"/>
    <x v="1"/>
    <x v="1"/>
    <n v="0"/>
    <x v="1"/>
  </r>
  <r>
    <n v="1099647"/>
    <s v="SAJJGAED4A"/>
    <m/>
    <n v="19970711"/>
    <x v="0"/>
    <x v="0"/>
    <n v="1690"/>
    <x v="0"/>
    <x v="0"/>
    <x v="0"/>
    <x v="0"/>
    <n v="0"/>
    <x v="0"/>
  </r>
  <r>
    <n v="1104915"/>
    <s v="SAJJGAFD4A"/>
    <m/>
    <n v="19990505"/>
    <x v="2"/>
    <x v="6"/>
    <n v="1810"/>
    <x v="0"/>
    <x v="0"/>
    <x v="1"/>
    <x v="1"/>
    <n v="0"/>
    <x v="1"/>
  </r>
  <r>
    <n v="1132388"/>
    <s v="SAJAA41R85"/>
    <m/>
    <n v="20050316"/>
    <x v="7"/>
    <x v="13"/>
    <n v="1660"/>
    <x v="0"/>
    <x v="0"/>
    <x v="0"/>
    <x v="0"/>
    <n v="0"/>
    <x v="0"/>
  </r>
  <r>
    <n v="1138992"/>
    <s v="SAJJGAED4A"/>
    <m/>
    <n v="19990528"/>
    <x v="2"/>
    <x v="0"/>
    <n v="1720"/>
    <x v="0"/>
    <x v="0"/>
    <x v="0"/>
    <x v="0"/>
    <n v="0"/>
    <x v="0"/>
  </r>
  <r>
    <n v="1227207"/>
    <s v="SAJAA42J7Y"/>
    <m/>
    <n v="20000105"/>
    <x v="5"/>
    <x v="3"/>
    <n v="1845"/>
    <x v="1"/>
    <x v="1"/>
    <x v="1"/>
    <x v="1"/>
    <n v="0"/>
    <x v="1"/>
  </r>
  <r>
    <n v="1229100"/>
    <s v="SAJAA41R46"/>
    <m/>
    <n v="20050330"/>
    <x v="7"/>
    <x v="14"/>
    <n v="1735"/>
    <x v="1"/>
    <x v="1"/>
    <x v="0"/>
    <x v="0"/>
    <n v="0"/>
    <x v="0"/>
  </r>
  <r>
    <n v="1236186"/>
    <s v="SAJAA44P57"/>
    <m/>
    <n v="20060621"/>
    <x v="8"/>
    <x v="1"/>
    <n v="1735"/>
    <x v="0"/>
    <x v="0"/>
    <x v="1"/>
    <x v="1"/>
    <n v="0"/>
    <x v="1"/>
  </r>
  <r>
    <n v="1239190"/>
    <s v="SAJJGAEF4A"/>
    <m/>
    <n v="19990415"/>
    <x v="2"/>
    <x v="5"/>
    <n v="1735"/>
    <x v="1"/>
    <x v="1"/>
    <x v="0"/>
    <x v="0"/>
    <n v="0"/>
    <x v="0"/>
  </r>
  <r>
    <n v="1271846"/>
    <s v="SAJJGAEF4A"/>
    <m/>
    <n v="19980522"/>
    <x v="4"/>
    <x v="15"/>
    <n v="1720"/>
    <x v="1"/>
    <x v="1"/>
    <x v="0"/>
    <x v="0"/>
    <n v="0"/>
    <x v="0"/>
  </r>
  <r>
    <n v="1292523"/>
    <s v="SAJJGAEF4A"/>
    <m/>
    <n v="19980820"/>
    <x v="4"/>
    <x v="5"/>
    <n v="1735"/>
    <x v="1"/>
    <x v="1"/>
    <x v="0"/>
    <x v="0"/>
    <n v="0"/>
    <x v="0"/>
  </r>
  <r>
    <n v="1300025"/>
    <s v="SAJAA41J5Y"/>
    <m/>
    <n v="20000106"/>
    <x v="5"/>
    <x v="16"/>
    <n v="1735"/>
    <x v="1"/>
    <x v="1"/>
    <x v="0"/>
    <x v="0"/>
    <n v="0"/>
    <x v="0"/>
  </r>
  <r>
    <n v="1306812"/>
    <s v="SAJJGAED4A"/>
    <m/>
    <n v="19970617"/>
    <x v="0"/>
    <x v="17"/>
    <n v="1690"/>
    <x v="0"/>
    <x v="0"/>
    <x v="0"/>
    <x v="0"/>
    <n v="0"/>
    <x v="0"/>
  </r>
  <r>
    <n v="1308878"/>
    <s v="SAJJGAFF4A"/>
    <m/>
    <n v="19980703"/>
    <x v="4"/>
    <x v="18"/>
    <n v="1845"/>
    <x v="1"/>
    <x v="1"/>
    <x v="1"/>
    <x v="1"/>
    <n v="0"/>
    <x v="1"/>
  </r>
  <r>
    <n v="1330889"/>
    <s v="SAJJGAED4A"/>
    <m/>
    <n v="19970923"/>
    <x v="0"/>
    <x v="19"/>
    <n v="1690"/>
    <x v="0"/>
    <x v="0"/>
    <x v="0"/>
    <x v="0"/>
    <n v="0"/>
    <x v="0"/>
  </r>
  <r>
    <n v="1331363"/>
    <s v="SAJJGAEF4A"/>
    <m/>
    <n v="19990519"/>
    <x v="2"/>
    <x v="5"/>
    <n v="1735"/>
    <x v="1"/>
    <x v="1"/>
    <x v="0"/>
    <x v="0"/>
    <n v="0"/>
    <x v="0"/>
  </r>
  <r>
    <n v="1357119"/>
    <s v="SAJAA42RX6"/>
    <m/>
    <n v="20050602"/>
    <x v="7"/>
    <x v="20"/>
    <n v="1810"/>
    <x v="1"/>
    <x v="1"/>
    <x v="0"/>
    <x v="0"/>
    <n v="0"/>
    <x v="0"/>
  </r>
  <r>
    <n v="1385247"/>
    <s v="SAJJGAED4A"/>
    <m/>
    <n v="19970626"/>
    <x v="0"/>
    <x v="0"/>
    <n v="1720"/>
    <x v="0"/>
    <x v="0"/>
    <x v="0"/>
    <x v="0"/>
    <n v="0"/>
    <x v="0"/>
  </r>
  <r>
    <n v="1428353"/>
    <s v="SAJGX2040X"/>
    <m/>
    <n v="19990304"/>
    <x v="2"/>
    <x v="21"/>
    <n v="1720"/>
    <x v="0"/>
    <x v="0"/>
    <x v="1"/>
    <x v="1"/>
    <n v="0"/>
    <x v="1"/>
  </r>
  <r>
    <n v="1429725"/>
    <s v="SAJAA41R45"/>
    <m/>
    <n v="20040723"/>
    <x v="10"/>
    <x v="22"/>
    <n v="1735"/>
    <x v="1"/>
    <x v="1"/>
    <x v="0"/>
    <x v="0"/>
    <n v="0"/>
    <x v="0"/>
  </r>
  <r>
    <n v="1454117"/>
    <s v="SAJJGAFD4A"/>
    <m/>
    <n v="19980423"/>
    <x v="4"/>
    <x v="6"/>
    <n v="1780"/>
    <x v="0"/>
    <x v="0"/>
    <x v="1"/>
    <x v="1"/>
    <n v="0"/>
    <x v="1"/>
  </r>
  <r>
    <n v="1597003"/>
    <s v="SAJGX2244W"/>
    <m/>
    <n v="19980000"/>
    <x v="4"/>
    <x v="23"/>
    <n v="1840"/>
    <x v="0"/>
    <x v="0"/>
    <x v="1"/>
    <x v="1"/>
    <n v="0"/>
    <x v="1"/>
  </r>
  <r>
    <n v="1611584"/>
    <s v="SAJAA41N61"/>
    <m/>
    <n v="20010228"/>
    <x v="6"/>
    <x v="24"/>
    <n v="1715"/>
    <x v="1"/>
    <x v="1"/>
    <x v="0"/>
    <x v="0"/>
    <n v="0"/>
    <x v="0"/>
  </r>
  <r>
    <n v="1612618"/>
    <s v="SAJJGAED4A"/>
    <m/>
    <n v="19990506"/>
    <x v="2"/>
    <x v="0"/>
    <n v="1720"/>
    <x v="0"/>
    <x v="0"/>
    <x v="0"/>
    <x v="0"/>
    <n v="0"/>
    <x v="0"/>
  </r>
  <r>
    <n v="1642190"/>
    <s v="SAJDA44B57"/>
    <m/>
    <n v="20070701"/>
    <x v="1"/>
    <x v="25"/>
    <n v="1760"/>
    <x v="0"/>
    <x v="0"/>
    <x v="1"/>
    <x v="1"/>
    <n v="0"/>
    <x v="1"/>
  </r>
  <r>
    <n v="1644473"/>
    <s v="SAJJGAEF4A"/>
    <m/>
    <n v="19981117"/>
    <x v="4"/>
    <x v="26"/>
    <n v="1715"/>
    <x v="1"/>
    <x v="1"/>
    <x v="0"/>
    <x v="0"/>
    <n v="0"/>
    <x v="0"/>
  </r>
  <r>
    <n v="1645196"/>
    <s v="SAJAA44R67"/>
    <m/>
    <n v="20070913"/>
    <x v="1"/>
    <x v="27"/>
    <n v="1785"/>
    <x v="0"/>
    <x v="0"/>
    <x v="1"/>
    <x v="1"/>
    <n v="0"/>
    <x v="1"/>
  </r>
  <r>
    <n v="1663898"/>
    <s v="SAJJGAFD4A"/>
    <m/>
    <n v="19970326"/>
    <x v="0"/>
    <x v="2"/>
    <n v="1720"/>
    <x v="0"/>
    <x v="0"/>
    <x v="1"/>
    <x v="1"/>
    <n v="0"/>
    <x v="1"/>
  </r>
  <r>
    <n v="1680337"/>
    <s v="SAJJGAED4A"/>
    <m/>
    <n v="19980930"/>
    <x v="4"/>
    <x v="17"/>
    <n v="1690"/>
    <x v="0"/>
    <x v="0"/>
    <x v="0"/>
    <x v="0"/>
    <n v="0"/>
    <x v="0"/>
  </r>
  <r>
    <n v="1691274"/>
    <s v="SAJAA41J2Y"/>
    <m/>
    <n v="19990927"/>
    <x v="2"/>
    <x v="28"/>
    <n v="1735"/>
    <x v="1"/>
    <x v="1"/>
    <x v="0"/>
    <x v="0"/>
    <n v="0"/>
    <x v="0"/>
  </r>
  <r>
    <n v="1713499"/>
    <s v="SAJJGAFD4A"/>
    <m/>
    <n v="19990319"/>
    <x v="2"/>
    <x v="6"/>
    <n v="1810"/>
    <x v="0"/>
    <x v="0"/>
    <x v="1"/>
    <x v="1"/>
    <n v="0"/>
    <x v="1"/>
  </r>
  <r>
    <n v="1738693"/>
    <s v="SAJJGAED4A"/>
    <m/>
    <n v="19990716"/>
    <x v="2"/>
    <x v="0"/>
    <n v="1720"/>
    <x v="0"/>
    <x v="0"/>
    <x v="0"/>
    <x v="0"/>
    <n v="0"/>
    <x v="0"/>
  </r>
  <r>
    <n v="1739317"/>
    <s v="SAJAA41JXY"/>
    <m/>
    <n v="20000511"/>
    <x v="5"/>
    <x v="24"/>
    <n v="1715"/>
    <x v="1"/>
    <x v="1"/>
    <x v="0"/>
    <x v="0"/>
    <n v="0"/>
    <x v="0"/>
  </r>
  <r>
    <n v="1740752"/>
    <s v="SAJJGAEF4A"/>
    <m/>
    <n v="19990818"/>
    <x v="2"/>
    <x v="5"/>
    <n v="1735"/>
    <x v="1"/>
    <x v="1"/>
    <x v="0"/>
    <x v="0"/>
    <n v="0"/>
    <x v="0"/>
  </r>
  <r>
    <n v="1778447"/>
    <s v="SAJJGAED4A"/>
    <m/>
    <n v="19970708"/>
    <x v="0"/>
    <x v="19"/>
    <n v="1690"/>
    <x v="0"/>
    <x v="0"/>
    <x v="0"/>
    <x v="0"/>
    <n v="0"/>
    <x v="0"/>
  </r>
  <r>
    <n v="1879806"/>
    <s v="SAJDA44B37"/>
    <m/>
    <n v="20070101"/>
    <x v="1"/>
    <x v="27"/>
    <n v="1735"/>
    <x v="0"/>
    <x v="0"/>
    <x v="1"/>
    <x v="1"/>
    <n v="0"/>
    <x v="1"/>
  </r>
  <r>
    <n v="1931247"/>
    <s v="SAJAA41M52"/>
    <m/>
    <n v="20010827"/>
    <x v="6"/>
    <x v="29"/>
    <n v="1690"/>
    <x v="0"/>
    <x v="0"/>
    <x v="0"/>
    <x v="0"/>
    <n v="0"/>
    <x v="0"/>
  </r>
  <r>
    <n v="1942934"/>
    <s v="SAJAA43P27"/>
    <m/>
    <n v="20060629"/>
    <x v="8"/>
    <x v="13"/>
    <n v="1720"/>
    <x v="0"/>
    <x v="0"/>
    <x v="0"/>
    <x v="0"/>
    <n v="0"/>
    <x v="0"/>
  </r>
  <r>
    <n v="1943688"/>
    <s v="SAJAA44F47"/>
    <m/>
    <n v="20070000"/>
    <x v="1"/>
    <x v="27"/>
    <n v="1815"/>
    <x v="0"/>
    <x v="0"/>
    <x v="1"/>
    <x v="1"/>
    <n v="0"/>
    <x v="1"/>
  </r>
  <r>
    <n v="1946841"/>
    <s v="SAJGX2740V"/>
    <m/>
    <n v="19970000"/>
    <x v="0"/>
    <x v="30"/>
    <n v="1720"/>
    <x v="0"/>
    <x v="0"/>
    <x v="1"/>
    <x v="1"/>
    <n v="0"/>
    <x v="1"/>
  </r>
  <r>
    <n v="1949855"/>
    <s v="SAJFA44B17"/>
    <m/>
    <n v="20070000"/>
    <x v="1"/>
    <x v="27"/>
    <n v="1735"/>
    <x v="0"/>
    <x v="0"/>
    <x v="1"/>
    <x v="1"/>
    <n v="0"/>
    <x v="1"/>
  </r>
  <r>
    <n v="1973359"/>
    <s v="SAJAA43P78"/>
    <m/>
    <n v="20080229"/>
    <x v="11"/>
    <x v="31"/>
    <n v="1720"/>
    <x v="0"/>
    <x v="0"/>
    <x v="0"/>
    <x v="0"/>
    <n v="0"/>
    <x v="0"/>
  </r>
  <r>
    <n v="1974202"/>
    <s v="SAJAA41E2Y"/>
    <m/>
    <n v="20000107"/>
    <x v="5"/>
    <x v="32"/>
    <n v="1690"/>
    <x v="0"/>
    <x v="0"/>
    <x v="0"/>
    <x v="0"/>
    <n v="0"/>
    <x v="0"/>
  </r>
  <r>
    <n v="1988252"/>
    <s v="SAJAA44R58"/>
    <m/>
    <n v="20080320"/>
    <x v="11"/>
    <x v="33"/>
    <n v="1785"/>
    <x v="1"/>
    <x v="1"/>
    <x v="1"/>
    <x v="1"/>
    <n v="0"/>
    <x v="1"/>
  </r>
  <r>
    <n v="1989661"/>
    <s v="SAJAA44P87"/>
    <m/>
    <n v="20080314"/>
    <x v="11"/>
    <x v="34"/>
    <n v="1735"/>
    <x v="0"/>
    <x v="0"/>
    <x v="1"/>
    <x v="1"/>
    <n v="0"/>
    <x v="1"/>
  </r>
  <r>
    <n v="2042807"/>
    <s v="SAJAA43P17"/>
    <m/>
    <n v="20060629"/>
    <x v="8"/>
    <x v="35"/>
    <n v="1720"/>
    <x v="0"/>
    <x v="0"/>
    <x v="0"/>
    <x v="0"/>
    <n v="0"/>
    <x v="0"/>
  </r>
  <r>
    <n v="2059466"/>
    <s v="SAJGX2740V"/>
    <m/>
    <n v="19970415"/>
    <x v="0"/>
    <x v="36"/>
    <n v="1810"/>
    <x v="0"/>
    <x v="0"/>
    <x v="1"/>
    <x v="1"/>
    <n v="0"/>
    <x v="1"/>
  </r>
  <r>
    <n v="2062425"/>
    <s v="SAJAA42P25"/>
    <m/>
    <n v="20040528"/>
    <x v="10"/>
    <x v="37"/>
    <n v="1845"/>
    <x v="0"/>
    <x v="0"/>
    <x v="1"/>
    <x v="1"/>
    <n v="0"/>
    <x v="1"/>
  </r>
  <r>
    <n v="2062428"/>
    <s v="SAJJGAEF4A"/>
    <m/>
    <n v="19990101"/>
    <x v="2"/>
    <x v="38"/>
    <n v="1735"/>
    <x v="1"/>
    <x v="1"/>
    <x v="0"/>
    <x v="0"/>
    <n v="0"/>
    <x v="0"/>
  </r>
  <r>
    <n v="2064701"/>
    <s v="SAJJGAED4A"/>
    <m/>
    <n v="19970527"/>
    <x v="0"/>
    <x v="29"/>
    <n v="1720"/>
    <x v="0"/>
    <x v="0"/>
    <x v="0"/>
    <x v="0"/>
    <n v="0"/>
    <x v="0"/>
  </r>
  <r>
    <n v="2069881"/>
    <s v="SAJJGXFD4V"/>
    <m/>
    <n v="19970000"/>
    <x v="0"/>
    <x v="39"/>
    <n v="1825"/>
    <x v="0"/>
    <x v="0"/>
    <x v="1"/>
    <x v="1"/>
    <n v="0"/>
    <x v="1"/>
  </r>
  <r>
    <n v="2090552"/>
    <s v="SAJJGAEF4A"/>
    <m/>
    <n v="19990305"/>
    <x v="2"/>
    <x v="40"/>
    <n v="1715"/>
    <x v="1"/>
    <x v="1"/>
    <x v="0"/>
    <x v="0"/>
    <n v="0"/>
    <x v="0"/>
  </r>
  <r>
    <n v="2095455"/>
    <s v="SAJAA42M71"/>
    <m/>
    <n v="20020712"/>
    <x v="3"/>
    <x v="41"/>
    <n v="1780"/>
    <x v="0"/>
    <x v="0"/>
    <x v="1"/>
    <x v="1"/>
    <n v="0"/>
    <x v="1"/>
  </r>
  <r>
    <n v="2098581"/>
    <s v="SAJJGAED4A"/>
    <m/>
    <n v="19961219"/>
    <x v="9"/>
    <x v="42"/>
    <n v="1720"/>
    <x v="0"/>
    <x v="0"/>
    <x v="0"/>
    <x v="0"/>
    <n v="0"/>
    <x v="0"/>
  </r>
  <r>
    <n v="2143903"/>
    <s v="SAJAA44R69"/>
    <m/>
    <n v="20090312"/>
    <x v="12"/>
    <x v="33"/>
    <n v="1785"/>
    <x v="1"/>
    <x v="1"/>
    <x v="1"/>
    <x v="1"/>
    <n v="0"/>
    <x v="1"/>
  </r>
  <r>
    <n v="2158085"/>
    <s v="SAJAA43RX8"/>
    <m/>
    <n v="20090423"/>
    <x v="12"/>
    <x v="22"/>
    <n v="1770"/>
    <x v="1"/>
    <x v="1"/>
    <x v="0"/>
    <x v="0"/>
    <n v="0"/>
    <x v="0"/>
  </r>
  <r>
    <n v="2158087"/>
    <s v="SAJAA43R48"/>
    <m/>
    <n v="20090423"/>
    <x v="12"/>
    <x v="22"/>
    <n v="1770"/>
    <x v="1"/>
    <x v="1"/>
    <x v="0"/>
    <x v="0"/>
    <n v="0"/>
    <x v="0"/>
  </r>
  <r>
    <n v="2158088"/>
    <s v="SAJAA43PX7"/>
    <m/>
    <n v="20090423"/>
    <x v="12"/>
    <x v="43"/>
    <n v="1720"/>
    <x v="0"/>
    <x v="0"/>
    <x v="0"/>
    <x v="0"/>
    <n v="0"/>
    <x v="0"/>
  </r>
  <r>
    <n v="2163905"/>
    <s v="SAJJGXFE4W"/>
    <m/>
    <n v="19980717"/>
    <x v="4"/>
    <x v="44"/>
    <n v="1845"/>
    <x v="0"/>
    <x v="0"/>
    <x v="1"/>
    <x v="1"/>
    <n v="0"/>
    <x v="1"/>
  </r>
  <r>
    <n v="2189637"/>
    <s v="SAJJGAED4A"/>
    <m/>
    <n v="19990531"/>
    <x v="2"/>
    <x v="45"/>
    <n v="1690"/>
    <x v="0"/>
    <x v="0"/>
    <x v="0"/>
    <x v="0"/>
    <n v="0"/>
    <x v="0"/>
  </r>
  <r>
    <n v="2189712"/>
    <s v="SAJJGXFE4W"/>
    <m/>
    <n v="19980619"/>
    <x v="4"/>
    <x v="46"/>
    <n v="1845"/>
    <x v="0"/>
    <x v="0"/>
    <x v="1"/>
    <x v="1"/>
    <n v="0"/>
    <x v="1"/>
  </r>
  <r>
    <n v="2191738"/>
    <s v="SAJGX2747V"/>
    <m/>
    <n v="19970000"/>
    <x v="0"/>
    <x v="47"/>
    <n v="1778"/>
    <x v="0"/>
    <x v="0"/>
    <x v="1"/>
    <x v="0"/>
    <n v="1"/>
    <x v="2"/>
  </r>
  <r>
    <n v="2192116"/>
    <s v="SAJDA42C62"/>
    <m/>
    <n v="20011205"/>
    <x v="6"/>
    <x v="48"/>
    <n v="1840"/>
    <x v="0"/>
    <x v="0"/>
    <x v="1"/>
    <x v="1"/>
    <n v="0"/>
    <x v="1"/>
  </r>
  <r>
    <n v="2192182"/>
    <s v="SAJJGAFF4A"/>
    <m/>
    <n v="19990125"/>
    <x v="2"/>
    <x v="49"/>
    <n v="1680"/>
    <x v="1"/>
    <x v="1"/>
    <x v="1"/>
    <x v="1"/>
    <n v="0"/>
    <x v="1"/>
  </r>
  <r>
    <n v="2192254"/>
    <s v="SAJAA41E0Y"/>
    <m/>
    <n v="20000621"/>
    <x v="5"/>
    <x v="50"/>
    <n v="1715"/>
    <x v="0"/>
    <x v="0"/>
    <x v="0"/>
    <x v="0"/>
    <n v="0"/>
    <x v="0"/>
  </r>
  <r>
    <n v="2213387"/>
    <s v="SAJJGAEF4A"/>
    <m/>
    <n v="19990324"/>
    <x v="2"/>
    <x v="51"/>
    <n v="1725"/>
    <x v="1"/>
    <x v="1"/>
    <x v="0"/>
    <x v="0"/>
    <n v="0"/>
    <x v="0"/>
  </r>
  <r>
    <n v="2235691"/>
    <s v="SAJJGXFE4W"/>
    <m/>
    <n v="19980000"/>
    <x v="4"/>
    <x v="52"/>
    <n v="1720"/>
    <x v="0"/>
    <x v="0"/>
    <x v="1"/>
    <x v="1"/>
    <n v="0"/>
    <x v="1"/>
  </r>
  <r>
    <n v="2278798"/>
    <s v="SAJGX504XX"/>
    <m/>
    <n v="19990000"/>
    <x v="2"/>
    <x v="53"/>
    <n v="1682"/>
    <x v="0"/>
    <x v="0"/>
    <x v="0"/>
    <x v="0"/>
    <n v="0"/>
    <x v="0"/>
  </r>
  <r>
    <n v="2282216"/>
    <s v="SAJAA42P16"/>
    <m/>
    <n v="20050427"/>
    <x v="7"/>
    <x v="54"/>
    <n v="1845"/>
    <x v="0"/>
    <x v="0"/>
    <x v="1"/>
    <x v="1"/>
    <n v="0"/>
    <x v="1"/>
  </r>
  <r>
    <n v="2282295"/>
    <s v="SAJJGAEF4A"/>
    <m/>
    <n v="19990920"/>
    <x v="2"/>
    <x v="29"/>
    <n v="1715"/>
    <x v="0"/>
    <x v="0"/>
    <x v="0"/>
    <x v="0"/>
    <n v="0"/>
    <x v="0"/>
  </r>
  <r>
    <n v="2295845"/>
    <s v="SAJGX2245W"/>
    <m/>
    <n v="19971110"/>
    <x v="0"/>
    <x v="55"/>
    <n v="1780"/>
    <x v="0"/>
    <x v="0"/>
    <x v="1"/>
    <x v="1"/>
    <n v="0"/>
    <x v="1"/>
  </r>
  <r>
    <n v="2301018"/>
    <s v="SAJAA44P47"/>
    <m/>
    <n v="20060622"/>
    <x v="8"/>
    <x v="27"/>
    <n v="1735"/>
    <x v="0"/>
    <x v="0"/>
    <x v="1"/>
    <x v="1"/>
    <n v="0"/>
    <x v="1"/>
  </r>
  <r>
    <n v="2304342"/>
    <s v="SAJGX2043X"/>
    <m/>
    <n v="19990701"/>
    <x v="2"/>
    <x v="56"/>
    <n v="1780"/>
    <x v="0"/>
    <x v="0"/>
    <x v="1"/>
    <x v="1"/>
    <n v="0"/>
    <x v="1"/>
  </r>
  <r>
    <n v="2308012"/>
    <s v="SAJAA43R28"/>
    <m/>
    <n v="20080516"/>
    <x v="11"/>
    <x v="22"/>
    <n v="1770"/>
    <x v="1"/>
    <x v="1"/>
    <x v="0"/>
    <x v="0"/>
    <n v="0"/>
    <x v="0"/>
  </r>
  <r>
    <n v="2310534"/>
    <s v="SAJJGAEF4A"/>
    <m/>
    <n v="19980520"/>
    <x v="4"/>
    <x v="57"/>
    <n v="1715"/>
    <x v="1"/>
    <x v="1"/>
    <x v="0"/>
    <x v="0"/>
    <n v="0"/>
    <x v="0"/>
  </r>
  <r>
    <n v="2321043"/>
    <s v="SAJAA41M71"/>
    <m/>
    <n v="20020426"/>
    <x v="3"/>
    <x v="42"/>
    <n v="1690"/>
    <x v="0"/>
    <x v="0"/>
    <x v="0"/>
    <x v="0"/>
    <n v="0"/>
    <x v="0"/>
  </r>
  <r>
    <n v="2327372"/>
    <s v="SAJAA44P5B"/>
    <m/>
    <n v="20100624"/>
    <x v="13"/>
    <x v="58"/>
    <n v="1734"/>
    <x v="0"/>
    <x v="0"/>
    <x v="1"/>
    <x v="1"/>
    <n v="0"/>
    <x v="1"/>
  </r>
  <r>
    <n v="2348282"/>
    <s v="SAJDA42C31"/>
    <m/>
    <n v="20010000"/>
    <x v="6"/>
    <x v="59"/>
    <n v="1705"/>
    <x v="0"/>
    <x v="0"/>
    <x v="1"/>
    <x v="1"/>
    <n v="0"/>
    <x v="1"/>
  </r>
  <r>
    <n v="2353263"/>
    <s v="SAJJGXFE4X"/>
    <m/>
    <n v="19990701"/>
    <x v="2"/>
    <x v="60"/>
    <n v="1780"/>
    <x v="0"/>
    <x v="0"/>
    <x v="1"/>
    <x v="1"/>
    <n v="0"/>
    <x v="1"/>
  </r>
  <r>
    <n v="2354513"/>
    <s v="SAJAA41N82"/>
    <m/>
    <n v="20020524"/>
    <x v="3"/>
    <x v="61"/>
    <n v="1690"/>
    <x v="1"/>
    <x v="1"/>
    <x v="0"/>
    <x v="0"/>
    <n v="0"/>
    <x v="0"/>
  </r>
  <r>
    <n v="2378320"/>
    <s v="SAJJGAFF4A"/>
    <m/>
    <n v="19990709"/>
    <x v="2"/>
    <x v="62"/>
    <n v="1845"/>
    <x v="0"/>
    <x v="0"/>
    <x v="1"/>
    <x v="1"/>
    <n v="0"/>
    <x v="1"/>
  </r>
  <r>
    <n v="2384361"/>
    <s v="SAJDA42C61"/>
    <m/>
    <n v="20010301"/>
    <x v="6"/>
    <x v="44"/>
    <n v="1810"/>
    <x v="0"/>
    <x v="0"/>
    <x v="1"/>
    <x v="1"/>
    <n v="0"/>
    <x v="1"/>
  </r>
  <r>
    <n v="2394027"/>
    <s v="SAJDA42C41"/>
    <m/>
    <n v="20010000"/>
    <x v="6"/>
    <x v="63"/>
    <n v="1870"/>
    <x v="0"/>
    <x v="0"/>
    <x v="1"/>
    <x v="1"/>
    <n v="0"/>
    <x v="1"/>
  </r>
  <r>
    <n v="2402120"/>
    <s v="SAJGX2746V"/>
    <m/>
    <n v="19970101"/>
    <x v="0"/>
    <x v="21"/>
    <n v="1760"/>
    <x v="0"/>
    <x v="0"/>
    <x v="1"/>
    <x v="1"/>
    <n v="0"/>
    <x v="1"/>
  </r>
  <r>
    <n v="2453986"/>
    <s v="SAJGX2248W"/>
    <m/>
    <n v="19980319"/>
    <x v="4"/>
    <x v="64"/>
    <n v="1810"/>
    <x v="0"/>
    <x v="0"/>
    <x v="1"/>
    <x v="1"/>
    <n v="0"/>
    <x v="1"/>
  </r>
  <r>
    <n v="2469255"/>
    <s v="SAJJGXFE4W"/>
    <m/>
    <n v="19980701"/>
    <x v="4"/>
    <x v="65"/>
    <n v="1720"/>
    <x v="0"/>
    <x v="0"/>
    <x v="1"/>
    <x v="1"/>
    <n v="0"/>
    <x v="1"/>
  </r>
  <r>
    <n v="2476262"/>
    <s v="SAJAA42PX3"/>
    <m/>
    <n v="20021107"/>
    <x v="3"/>
    <x v="27"/>
    <n v="1770"/>
    <x v="0"/>
    <x v="0"/>
    <x v="1"/>
    <x v="1"/>
    <n v="0"/>
    <x v="1"/>
  </r>
  <r>
    <n v="2489110"/>
    <s v="SAJAA44R87"/>
    <m/>
    <n v="20061130"/>
    <x v="8"/>
    <x v="27"/>
    <n v="1785"/>
    <x v="0"/>
    <x v="0"/>
    <x v="1"/>
    <x v="1"/>
    <n v="0"/>
    <x v="1"/>
  </r>
  <r>
    <n v="2489995"/>
    <s v="SAJJGAFD4A"/>
    <m/>
    <n v="19990826"/>
    <x v="2"/>
    <x v="39"/>
    <n v="1810"/>
    <x v="0"/>
    <x v="0"/>
    <x v="1"/>
    <x v="1"/>
    <n v="0"/>
    <x v="1"/>
  </r>
  <r>
    <n v="2505460"/>
    <s v="SAJJGAFF4A"/>
    <m/>
    <n v="19981015"/>
    <x v="4"/>
    <x v="66"/>
    <n v="1825"/>
    <x v="1"/>
    <x v="1"/>
    <x v="1"/>
    <x v="1"/>
    <n v="0"/>
    <x v="1"/>
  </r>
  <r>
    <n v="2515753"/>
    <s v="SAJGX2043X"/>
    <m/>
    <n v="19990101"/>
    <x v="2"/>
    <x v="44"/>
    <n v="1690"/>
    <x v="0"/>
    <x v="0"/>
    <x v="1"/>
    <x v="1"/>
    <n v="0"/>
    <x v="1"/>
  </r>
  <r>
    <n v="2521265"/>
    <s v="SAJJGXFE4W"/>
    <m/>
    <n v="19980223"/>
    <x v="4"/>
    <x v="39"/>
    <n v="1795"/>
    <x v="0"/>
    <x v="0"/>
    <x v="1"/>
    <x v="1"/>
    <n v="0"/>
    <x v="1"/>
  </r>
  <r>
    <n v="2522809"/>
    <s v="SAJJGXFD4V"/>
    <m/>
    <n v="19970630"/>
    <x v="0"/>
    <x v="39"/>
    <n v="1720"/>
    <x v="0"/>
    <x v="0"/>
    <x v="1"/>
    <x v="1"/>
    <n v="0"/>
    <x v="1"/>
  </r>
  <r>
    <n v="2525146"/>
    <s v="SAJAA42P15"/>
    <m/>
    <n v="20040526"/>
    <x v="10"/>
    <x v="37"/>
    <n v="1845"/>
    <x v="0"/>
    <x v="0"/>
    <x v="1"/>
    <x v="1"/>
    <n v="0"/>
    <x v="1"/>
  </r>
  <r>
    <n v="2533258"/>
    <s v="SAJGX2246W"/>
    <m/>
    <n v="19980922"/>
    <x v="4"/>
    <x v="39"/>
    <n v="1820"/>
    <x v="0"/>
    <x v="0"/>
    <x v="1"/>
    <x v="1"/>
    <n v="0"/>
    <x v="1"/>
  </r>
  <r>
    <n v="2533914"/>
    <s v="SAJAA43P57"/>
    <m/>
    <n v="20060628"/>
    <x v="8"/>
    <x v="67"/>
    <n v="1720"/>
    <x v="0"/>
    <x v="0"/>
    <x v="0"/>
    <x v="0"/>
    <n v="0"/>
    <x v="0"/>
  </r>
  <r>
    <n v="2533996"/>
    <s v="SAJJGXFE4W"/>
    <m/>
    <n v="19980000"/>
    <x v="4"/>
    <x v="41"/>
    <n v="1780"/>
    <x v="0"/>
    <x v="0"/>
    <x v="1"/>
    <x v="1"/>
    <n v="0"/>
    <x v="1"/>
  </r>
  <r>
    <n v="2540915"/>
    <s v="SAJJA42C9Y"/>
    <m/>
    <n v="20000101"/>
    <x v="5"/>
    <x v="59"/>
    <n v="1780"/>
    <x v="0"/>
    <x v="0"/>
    <x v="1"/>
    <x v="1"/>
    <n v="0"/>
    <x v="1"/>
  </r>
  <r>
    <n v="2541443"/>
    <s v="SAJAA41E9Y"/>
    <m/>
    <n v="20000607"/>
    <x v="5"/>
    <x v="29"/>
    <n v="1720"/>
    <x v="0"/>
    <x v="0"/>
    <x v="0"/>
    <x v="0"/>
    <n v="0"/>
    <x v="0"/>
  </r>
  <r>
    <n v="2545851"/>
    <s v="SAJGX2246W"/>
    <m/>
    <n v="19980824"/>
    <x v="4"/>
    <x v="68"/>
    <n v="1770"/>
    <x v="0"/>
    <x v="0"/>
    <x v="1"/>
    <x v="1"/>
    <n v="0"/>
    <x v="1"/>
  </r>
  <r>
    <n v="2549515"/>
    <s v="SAJGX2040X"/>
    <m/>
    <n v="19990205"/>
    <x v="2"/>
    <x v="44"/>
    <n v="1780"/>
    <x v="0"/>
    <x v="0"/>
    <x v="1"/>
    <x v="1"/>
    <n v="0"/>
    <x v="1"/>
  </r>
  <r>
    <n v="2565287"/>
    <s v="SAJDA42B11"/>
    <m/>
    <n v="20010000"/>
    <x v="6"/>
    <x v="69"/>
    <n v="1825"/>
    <x v="1"/>
    <x v="1"/>
    <x v="1"/>
    <x v="1"/>
    <n v="0"/>
    <x v="1"/>
  </r>
  <r>
    <n v="2568375"/>
    <s v="SAJGX2742V"/>
    <m/>
    <n v="19970402"/>
    <x v="0"/>
    <x v="39"/>
    <n v="1720"/>
    <x v="0"/>
    <x v="0"/>
    <x v="1"/>
    <x v="1"/>
    <n v="0"/>
    <x v="1"/>
  </r>
  <r>
    <n v="2574919"/>
    <s v="SAJJGXFE4W"/>
    <m/>
    <n v="19980000"/>
    <x v="4"/>
    <x v="39"/>
    <n v="1810"/>
    <x v="0"/>
    <x v="0"/>
    <x v="1"/>
    <x v="1"/>
    <n v="0"/>
    <x v="1"/>
  </r>
  <r>
    <n v="2575757"/>
    <s v="SAJAA41R75"/>
    <m/>
    <n v="20031125"/>
    <x v="14"/>
    <x v="35"/>
    <n v="1735"/>
    <x v="0"/>
    <x v="0"/>
    <x v="0"/>
    <x v="0"/>
    <n v="0"/>
    <x v="0"/>
  </r>
  <r>
    <n v="2601464"/>
    <s v="SAJAA41J1Y"/>
    <m/>
    <n v="20000502"/>
    <x v="5"/>
    <x v="57"/>
    <n v="1715"/>
    <x v="1"/>
    <x v="1"/>
    <x v="0"/>
    <x v="0"/>
    <n v="0"/>
    <x v="0"/>
  </r>
  <r>
    <n v="2644851"/>
    <s v="SAJJA42B8Y"/>
    <m/>
    <n v="20000104"/>
    <x v="5"/>
    <x v="70"/>
    <n v="1825"/>
    <x v="1"/>
    <x v="1"/>
    <x v="1"/>
    <x v="1"/>
    <n v="0"/>
    <x v="1"/>
  </r>
  <r>
    <n v="2651562"/>
    <s v="SAJAA45R8B"/>
    <m/>
    <n v="20120301"/>
    <x v="15"/>
    <x v="71"/>
    <n v="1824"/>
    <x v="1"/>
    <x v="1"/>
    <x v="0"/>
    <x v="0"/>
    <n v="0"/>
    <x v="0"/>
  </r>
  <r>
    <n v="2655980"/>
    <s v="SAJDA42B02"/>
    <m/>
    <n v="20020000"/>
    <x v="3"/>
    <x v="72"/>
    <n v="1880"/>
    <x v="1"/>
    <x v="1"/>
    <x v="1"/>
    <x v="1"/>
    <n v="0"/>
    <x v="1"/>
  </r>
  <r>
    <n v="2665979"/>
    <s v="SAJAA42P44"/>
    <m/>
    <n v="20040503"/>
    <x v="10"/>
    <x v="27"/>
    <n v="1770"/>
    <x v="0"/>
    <x v="0"/>
    <x v="1"/>
    <x v="1"/>
    <n v="0"/>
    <x v="1"/>
  </r>
  <r>
    <n v="2668635"/>
    <s v="SAJJA41C8Y"/>
    <m/>
    <n v="20000127"/>
    <x v="5"/>
    <x v="29"/>
    <n v="1690"/>
    <x v="0"/>
    <x v="0"/>
    <x v="0"/>
    <x v="0"/>
    <n v="0"/>
    <x v="0"/>
  </r>
  <r>
    <n v="2669346"/>
    <s v="SAJJGAED3A"/>
    <m/>
    <n v="19980502"/>
    <x v="4"/>
    <x v="73"/>
    <n v="1720"/>
    <x v="0"/>
    <x v="0"/>
    <x v="0"/>
    <x v="0"/>
    <n v="0"/>
    <x v="0"/>
  </r>
  <r>
    <n v="2683121"/>
    <s v="SAJAA41E3Y"/>
    <m/>
    <n v="20000222"/>
    <x v="5"/>
    <x v="53"/>
    <n v="1630"/>
    <x v="0"/>
    <x v="0"/>
    <x v="0"/>
    <x v="0"/>
    <n v="0"/>
    <x v="0"/>
  </r>
  <r>
    <n v="2687833"/>
    <s v="SAJJGAED4A"/>
    <m/>
    <n v="19980521"/>
    <x v="4"/>
    <x v="74"/>
    <n v="1720"/>
    <x v="0"/>
    <x v="0"/>
    <x v="0"/>
    <x v="0"/>
    <n v="0"/>
    <x v="0"/>
  </r>
  <r>
    <n v="2691340"/>
    <s v="SAJGX2746V"/>
    <m/>
    <n v="19970101"/>
    <x v="0"/>
    <x v="75"/>
    <n v="1760"/>
    <x v="0"/>
    <x v="0"/>
    <x v="1"/>
    <x v="1"/>
    <n v="0"/>
    <x v="1"/>
  </r>
  <r>
    <n v="2695845"/>
    <s v="SAJGX2740V"/>
    <m/>
    <n v="19961113"/>
    <x v="9"/>
    <x v="39"/>
    <n v="1720"/>
    <x v="0"/>
    <x v="0"/>
    <x v="1"/>
    <x v="1"/>
    <n v="0"/>
    <x v="1"/>
  </r>
  <r>
    <n v="2701447"/>
    <s v="SAJAA43P27"/>
    <m/>
    <n v="20060831"/>
    <x v="8"/>
    <x v="35"/>
    <n v="1720"/>
    <x v="0"/>
    <x v="0"/>
    <x v="0"/>
    <x v="0"/>
    <n v="0"/>
    <x v="0"/>
  </r>
  <r>
    <n v="2702146"/>
    <s v="SAJDA42C93"/>
    <m/>
    <n v="20030101"/>
    <x v="14"/>
    <x v="76"/>
    <n v="1735"/>
    <x v="0"/>
    <x v="0"/>
    <x v="1"/>
    <x v="1"/>
    <n v="0"/>
    <x v="1"/>
  </r>
  <r>
    <n v="2702358"/>
    <s v="SAJJGAED4A"/>
    <m/>
    <n v="19980731"/>
    <x v="4"/>
    <x v="77"/>
    <n v="1690"/>
    <x v="0"/>
    <x v="0"/>
    <x v="0"/>
    <x v="0"/>
    <n v="0"/>
    <x v="0"/>
  </r>
  <r>
    <n v="2709928"/>
    <s v="SAJJGXFE4W"/>
    <m/>
    <n v="19980000"/>
    <x v="4"/>
    <x v="39"/>
    <n v="1780"/>
    <x v="0"/>
    <x v="0"/>
    <x v="1"/>
    <x v="1"/>
    <n v="0"/>
    <x v="1"/>
  </r>
  <r>
    <n v="2716513"/>
    <s v="SAJGX2241W"/>
    <m/>
    <n v="19970101"/>
    <x v="0"/>
    <x v="41"/>
    <n v="1780"/>
    <x v="0"/>
    <x v="0"/>
    <x v="1"/>
    <x v="1"/>
    <n v="0"/>
    <x v="1"/>
  </r>
  <r>
    <n v="2724149"/>
    <s v="SAJJGAFD4A"/>
    <m/>
    <n v="19981211"/>
    <x v="4"/>
    <x v="78"/>
    <n v="1780"/>
    <x v="0"/>
    <x v="0"/>
    <x v="1"/>
    <x v="1"/>
    <n v="0"/>
    <x v="1"/>
  </r>
  <r>
    <n v="2742153"/>
    <s v="SAJDA42B71"/>
    <m/>
    <n v="20010000"/>
    <x v="6"/>
    <x v="72"/>
    <n v="1860"/>
    <x v="1"/>
    <x v="1"/>
    <x v="1"/>
    <x v="1"/>
    <n v="0"/>
    <x v="1"/>
  </r>
  <r>
    <n v="2786464"/>
    <s v="SAJJGAED4A"/>
    <m/>
    <n v="19980000"/>
    <x v="4"/>
    <x v="29"/>
    <n v="1720"/>
    <x v="0"/>
    <x v="0"/>
    <x v="0"/>
    <x v="0"/>
    <n v="0"/>
    <x v="0"/>
  </r>
  <r>
    <n v="2806459"/>
    <s v="SAJAA44R77"/>
    <m/>
    <n v="20070619"/>
    <x v="1"/>
    <x v="79"/>
    <n v="1785"/>
    <x v="1"/>
    <x v="1"/>
    <x v="1"/>
    <x v="1"/>
    <n v="0"/>
    <x v="1"/>
  </r>
  <r>
    <n v="2836001"/>
    <s v="SAJJGXFE4X"/>
    <m/>
    <n v="19990000"/>
    <x v="2"/>
    <x v="47"/>
    <n v="1845"/>
    <x v="0"/>
    <x v="0"/>
    <x v="1"/>
    <x v="0"/>
    <n v="1"/>
    <x v="2"/>
  </r>
  <r>
    <n v="2837836"/>
    <s v="SAJAA44P77"/>
    <m/>
    <n v="20061013"/>
    <x v="8"/>
    <x v="27"/>
    <n v="1735"/>
    <x v="0"/>
    <x v="0"/>
    <x v="1"/>
    <x v="1"/>
    <n v="0"/>
    <x v="1"/>
  </r>
  <r>
    <n v="2840108"/>
    <s v="SAJAA43P47"/>
    <m/>
    <n v="20060330"/>
    <x v="8"/>
    <x v="13"/>
    <n v="1720"/>
    <x v="0"/>
    <x v="0"/>
    <x v="0"/>
    <x v="0"/>
    <n v="0"/>
    <x v="0"/>
  </r>
  <r>
    <n v="2847660"/>
    <s v="SAJAA44R37"/>
    <m/>
    <n v="20061130"/>
    <x v="8"/>
    <x v="27"/>
    <n v="1785"/>
    <x v="0"/>
    <x v="0"/>
    <x v="1"/>
    <x v="1"/>
    <n v="0"/>
    <x v="1"/>
  </r>
  <r>
    <n v="2856975"/>
    <s v="SAJAA44R87"/>
    <m/>
    <n v="20081016"/>
    <x v="11"/>
    <x v="27"/>
    <n v="1785"/>
    <x v="0"/>
    <x v="0"/>
    <x v="1"/>
    <x v="1"/>
    <n v="0"/>
    <x v="1"/>
  </r>
  <r>
    <n v="2869418"/>
    <s v="SAJDA42C24"/>
    <m/>
    <n v="20040000"/>
    <x v="10"/>
    <x v="27"/>
    <n v="1760"/>
    <x v="0"/>
    <x v="0"/>
    <x v="1"/>
    <x v="1"/>
    <n v="0"/>
    <x v="1"/>
  </r>
  <r>
    <n v="2874333"/>
    <s v="SAJGX5747V"/>
    <m/>
    <n v="19970000"/>
    <x v="0"/>
    <x v="53"/>
    <n v="1680"/>
    <x v="0"/>
    <x v="0"/>
    <x v="0"/>
    <x v="0"/>
    <n v="0"/>
    <x v="0"/>
  </r>
  <r>
    <n v="2876187"/>
    <s v="SAJGX2047X"/>
    <m/>
    <n v="19990000"/>
    <x v="2"/>
    <x v="44"/>
    <n v="1780"/>
    <x v="0"/>
    <x v="0"/>
    <x v="1"/>
    <x v="1"/>
    <n v="0"/>
    <x v="1"/>
  </r>
  <r>
    <n v="2895491"/>
    <s v="SAJJGAED4A"/>
    <m/>
    <n v="19990611"/>
    <x v="2"/>
    <x v="53"/>
    <n v="1720"/>
    <x v="0"/>
    <x v="0"/>
    <x v="0"/>
    <x v="0"/>
    <n v="0"/>
    <x v="0"/>
  </r>
  <r>
    <n v="2898030"/>
    <s v="SAJAA44R9B"/>
    <m/>
    <n v="20110104"/>
    <x v="16"/>
    <x v="80"/>
    <n v="1839"/>
    <x v="1"/>
    <x v="1"/>
    <x v="1"/>
    <x v="1"/>
    <n v="0"/>
    <x v="1"/>
  </r>
  <r>
    <n v="2914546"/>
    <s v="SAJJGAED4A"/>
    <m/>
    <n v="19970204"/>
    <x v="0"/>
    <x v="53"/>
    <n v="1720"/>
    <x v="0"/>
    <x v="0"/>
    <x v="0"/>
    <x v="0"/>
    <n v="0"/>
    <x v="0"/>
  </r>
  <r>
    <n v="2931159"/>
    <s v="SAJDA42B91"/>
    <m/>
    <n v="20010000"/>
    <x v="6"/>
    <x v="81"/>
    <n v="1860"/>
    <x v="1"/>
    <x v="1"/>
    <x v="1"/>
    <x v="1"/>
    <n v="0"/>
    <x v="1"/>
  </r>
  <r>
    <n v="2933695"/>
    <s v="SAJJGAEF4A"/>
    <m/>
    <n v="19990527"/>
    <x v="2"/>
    <x v="82"/>
    <n v="1735"/>
    <x v="1"/>
    <x v="1"/>
    <x v="0"/>
    <x v="0"/>
    <n v="0"/>
    <x v="0"/>
  </r>
  <r>
    <n v="2968213"/>
    <s v="SAJAA43P57"/>
    <m/>
    <n v="20061009"/>
    <x v="8"/>
    <x v="67"/>
    <n v="1720"/>
    <x v="0"/>
    <x v="0"/>
    <x v="0"/>
    <x v="0"/>
    <n v="0"/>
    <x v="0"/>
  </r>
  <r>
    <n v="2979132"/>
    <s v="SAJJGAFF4A"/>
    <m/>
    <n v="19990617"/>
    <x v="2"/>
    <x v="83"/>
    <n v="1825"/>
    <x v="1"/>
    <x v="1"/>
    <x v="1"/>
    <x v="1"/>
    <n v="0"/>
    <x v="1"/>
  </r>
  <r>
    <n v="3022323"/>
    <s v="SAJJGAED4A"/>
    <m/>
    <n v="19970616"/>
    <x v="0"/>
    <x v="84"/>
    <n v="1720"/>
    <x v="0"/>
    <x v="0"/>
    <x v="0"/>
    <x v="0"/>
    <n v="0"/>
    <x v="0"/>
  </r>
  <r>
    <n v="3032721"/>
    <s v="SAJAA44R88"/>
    <m/>
    <n v="20071001"/>
    <x v="1"/>
    <x v="85"/>
    <n v="1785"/>
    <x v="1"/>
    <x v="1"/>
    <x v="1"/>
    <x v="1"/>
    <n v="0"/>
    <x v="1"/>
  </r>
  <r>
    <n v="3039527"/>
    <s v="SAJJA42C8Y"/>
    <m/>
    <n v="19990901"/>
    <x v="2"/>
    <x v="41"/>
    <n v="1825"/>
    <x v="0"/>
    <x v="0"/>
    <x v="1"/>
    <x v="1"/>
    <n v="0"/>
    <x v="1"/>
  </r>
  <r>
    <n v="3044277"/>
    <s v="SAJDA42C24"/>
    <m/>
    <n v="20030915"/>
    <x v="14"/>
    <x v="76"/>
    <n v="1735"/>
    <x v="0"/>
    <x v="0"/>
    <x v="1"/>
    <x v="1"/>
    <n v="0"/>
    <x v="1"/>
  </r>
  <r>
    <n v="3052705"/>
    <s v="SAJAA44R58"/>
    <m/>
    <n v="20071203"/>
    <x v="1"/>
    <x v="33"/>
    <n v="1785"/>
    <x v="1"/>
    <x v="1"/>
    <x v="1"/>
    <x v="1"/>
    <n v="0"/>
    <x v="1"/>
  </r>
  <r>
    <n v="3053330"/>
    <s v="SAJJGAFD4A"/>
    <m/>
    <n v="19980831"/>
    <x v="4"/>
    <x v="86"/>
    <n v="1810"/>
    <x v="0"/>
    <x v="0"/>
    <x v="1"/>
    <x v="1"/>
    <n v="0"/>
    <x v="1"/>
  </r>
  <r>
    <n v="3100222"/>
    <s v="SAJDA42C22"/>
    <m/>
    <n v="20020000"/>
    <x v="3"/>
    <x v="41"/>
    <n v="1780"/>
    <x v="0"/>
    <x v="0"/>
    <x v="1"/>
    <x v="1"/>
    <n v="0"/>
    <x v="1"/>
  </r>
  <r>
    <n v="3157590"/>
    <s v="SAJAA43P97"/>
    <m/>
    <n v="20060721"/>
    <x v="8"/>
    <x v="13"/>
    <n v="1720"/>
    <x v="0"/>
    <x v="0"/>
    <x v="0"/>
    <x v="0"/>
    <n v="0"/>
    <x v="0"/>
  </r>
  <r>
    <n v="3169850"/>
    <s v="SAJAA44P5E"/>
    <m/>
    <n v="20140320"/>
    <x v="17"/>
    <x v="87"/>
    <n v="1734"/>
    <x v="0"/>
    <x v="0"/>
    <x v="1"/>
    <x v="1"/>
    <n v="0"/>
    <x v="1"/>
  </r>
  <r>
    <n v="3175710"/>
    <s v="SAJAA42N21"/>
    <m/>
    <n v="20010508"/>
    <x v="6"/>
    <x v="88"/>
    <n v="1825"/>
    <x v="1"/>
    <x v="1"/>
    <x v="1"/>
    <x v="1"/>
    <n v="0"/>
    <x v="1"/>
  </r>
  <r>
    <n v="3180599"/>
    <s v="SAJAA41J0Y"/>
    <m/>
    <n v="20000621"/>
    <x v="5"/>
    <x v="89"/>
    <n v="1715"/>
    <x v="1"/>
    <x v="1"/>
    <x v="0"/>
    <x v="0"/>
    <n v="0"/>
    <x v="0"/>
  </r>
  <r>
    <n v="3184244"/>
    <s v="SAJDA42C54"/>
    <m/>
    <n v="20040726"/>
    <x v="10"/>
    <x v="90"/>
    <n v="1770"/>
    <x v="0"/>
    <x v="0"/>
    <x v="1"/>
    <x v="1"/>
    <n v="0"/>
    <x v="1"/>
  </r>
  <r>
    <n v="3193433"/>
    <s v="SAJAA42P73"/>
    <m/>
    <n v="20030613"/>
    <x v="14"/>
    <x v="76"/>
    <n v="1770"/>
    <x v="0"/>
    <x v="0"/>
    <x v="1"/>
    <x v="1"/>
    <n v="0"/>
    <x v="1"/>
  </r>
  <r>
    <n v="3213919"/>
    <s v="SAJAA43P07"/>
    <m/>
    <n v="20070222"/>
    <x v="1"/>
    <x v="10"/>
    <n v="1720"/>
    <x v="0"/>
    <x v="0"/>
    <x v="0"/>
    <x v="0"/>
    <n v="0"/>
    <x v="0"/>
  </r>
  <r>
    <n v="3216666"/>
    <s v="SAJAA43P17"/>
    <m/>
    <n v="20060327"/>
    <x v="8"/>
    <x v="13"/>
    <n v="1720"/>
    <x v="0"/>
    <x v="0"/>
    <x v="0"/>
    <x v="0"/>
    <n v="0"/>
    <x v="0"/>
  </r>
  <r>
    <n v="3223068"/>
    <s v="SAJAA43R57"/>
    <m/>
    <n v="20071214"/>
    <x v="1"/>
    <x v="43"/>
    <n v="1770"/>
    <x v="0"/>
    <x v="0"/>
    <x v="0"/>
    <x v="0"/>
    <n v="0"/>
    <x v="0"/>
  </r>
  <r>
    <n v="3239059"/>
    <s v="SAJAA43P47"/>
    <m/>
    <n v="20060608"/>
    <x v="8"/>
    <x v="91"/>
    <n v="1720"/>
    <x v="0"/>
    <x v="0"/>
    <x v="0"/>
    <x v="0"/>
    <n v="0"/>
    <x v="0"/>
  </r>
  <r>
    <n v="3259973"/>
    <s v="SAJGX2241W"/>
    <m/>
    <n v="19980807"/>
    <x v="4"/>
    <x v="56"/>
    <n v="1825"/>
    <x v="0"/>
    <x v="0"/>
    <x v="1"/>
    <x v="1"/>
    <n v="0"/>
    <x v="1"/>
  </r>
  <r>
    <n v="3275914"/>
    <s v="SAJAA43P77"/>
    <m/>
    <n v="20061011"/>
    <x v="8"/>
    <x v="91"/>
    <n v="1720"/>
    <x v="0"/>
    <x v="0"/>
    <x v="0"/>
    <x v="0"/>
    <n v="0"/>
    <x v="0"/>
  </r>
  <r>
    <n v="3282884"/>
    <s v="SAJDA41B93"/>
    <m/>
    <n v="20030828"/>
    <x v="14"/>
    <x v="92"/>
    <n v="1735"/>
    <x v="1"/>
    <x v="1"/>
    <x v="1"/>
    <x v="0"/>
    <n v="1"/>
    <x v="2"/>
  </r>
  <r>
    <n v="3290322"/>
    <s v="SAJAA43R87"/>
    <m/>
    <n v="20061220"/>
    <x v="8"/>
    <x v="93"/>
    <n v="1770"/>
    <x v="1"/>
    <x v="1"/>
    <x v="0"/>
    <x v="0"/>
    <n v="0"/>
    <x v="0"/>
  </r>
  <r>
    <n v="3314916"/>
    <s v="SAJAA43R18"/>
    <m/>
    <n v="20080424"/>
    <x v="11"/>
    <x v="22"/>
    <n v="1770"/>
    <x v="1"/>
    <x v="1"/>
    <x v="0"/>
    <x v="0"/>
    <n v="0"/>
    <x v="0"/>
  </r>
  <r>
    <n v="3350827"/>
    <s v="SAJAA43P87"/>
    <m/>
    <n v="20070301"/>
    <x v="1"/>
    <x v="94"/>
    <n v="1720"/>
    <x v="0"/>
    <x v="0"/>
    <x v="0"/>
    <x v="0"/>
    <n v="0"/>
    <x v="0"/>
  </r>
  <r>
    <n v="3353579"/>
    <s v="SAJAA45R5B"/>
    <m/>
    <n v="20100915"/>
    <x v="13"/>
    <x v="71"/>
    <n v="1824"/>
    <x v="1"/>
    <x v="1"/>
    <x v="0"/>
    <x v="0"/>
    <n v="0"/>
    <x v="0"/>
  </r>
  <r>
    <n v="3353723"/>
    <s v="SAJAA42N41"/>
    <m/>
    <n v="20001228"/>
    <x v="5"/>
    <x v="95"/>
    <n v="1825"/>
    <x v="1"/>
    <x v="1"/>
    <x v="1"/>
    <x v="1"/>
    <n v="0"/>
    <x v="1"/>
  </r>
  <r>
    <n v="3358627"/>
    <s v="SAJAA43P47"/>
    <m/>
    <n v="20061030"/>
    <x v="8"/>
    <x v="13"/>
    <n v="1720"/>
    <x v="0"/>
    <x v="0"/>
    <x v="0"/>
    <x v="0"/>
    <n v="0"/>
    <x v="0"/>
  </r>
  <r>
    <n v="3359561"/>
    <s v="SAJGX2748V"/>
    <m/>
    <n v="19970000"/>
    <x v="0"/>
    <x v="96"/>
    <n v="1715"/>
    <x v="0"/>
    <x v="0"/>
    <x v="1"/>
    <x v="1"/>
    <n v="0"/>
    <x v="1"/>
  </r>
  <r>
    <n v="3366859"/>
    <s v="SAJJGAEF4A"/>
    <m/>
    <n v="19990331"/>
    <x v="2"/>
    <x v="97"/>
    <n v="1735"/>
    <x v="1"/>
    <x v="1"/>
    <x v="0"/>
    <x v="0"/>
    <n v="0"/>
    <x v="0"/>
  </r>
  <r>
    <n v="3392548"/>
    <s v="SAJDA42B02"/>
    <m/>
    <n v="20021226"/>
    <x v="3"/>
    <x v="98"/>
    <n v="1890"/>
    <x v="1"/>
    <x v="1"/>
    <x v="1"/>
    <x v="1"/>
    <n v="0"/>
    <x v="1"/>
  </r>
  <r>
    <n v="3394863"/>
    <s v="SAJAA43P57"/>
    <m/>
    <n v="20060622"/>
    <x v="8"/>
    <x v="13"/>
    <n v="1720"/>
    <x v="0"/>
    <x v="0"/>
    <x v="0"/>
    <x v="0"/>
    <n v="0"/>
    <x v="0"/>
  </r>
  <r>
    <n v="3400012"/>
    <s v="SAJAA43P77"/>
    <m/>
    <n v="20070427"/>
    <x v="1"/>
    <x v="94"/>
    <n v="1720"/>
    <x v="0"/>
    <x v="0"/>
    <x v="0"/>
    <x v="0"/>
    <n v="0"/>
    <x v="0"/>
  </r>
  <r>
    <n v="3406411"/>
    <s v="SAJAA43P48"/>
    <m/>
    <n v="20071001"/>
    <x v="1"/>
    <x v="99"/>
    <n v="1720"/>
    <x v="0"/>
    <x v="0"/>
    <x v="0"/>
    <x v="0"/>
    <n v="0"/>
    <x v="0"/>
  </r>
  <r>
    <n v="3408637"/>
    <s v="SAJAA43RX7"/>
    <m/>
    <n v="20061220"/>
    <x v="8"/>
    <x v="22"/>
    <n v="1770"/>
    <x v="1"/>
    <x v="1"/>
    <x v="0"/>
    <x v="0"/>
    <n v="0"/>
    <x v="0"/>
  </r>
  <r>
    <n v="3412011"/>
    <s v="SAJGX5240W"/>
    <m/>
    <n v="19980000"/>
    <x v="4"/>
    <x v="100"/>
    <n v="1720"/>
    <x v="0"/>
    <x v="0"/>
    <x v="0"/>
    <x v="0"/>
    <n v="0"/>
    <x v="0"/>
  </r>
  <r>
    <n v="3436871"/>
    <s v="SAJAA42RX3"/>
    <m/>
    <n v="20050627"/>
    <x v="7"/>
    <x v="4"/>
    <n v="1770"/>
    <x v="1"/>
    <x v="1"/>
    <x v="1"/>
    <x v="1"/>
    <n v="0"/>
    <x v="1"/>
  </r>
  <r>
    <n v="3442853"/>
    <s v="SAJGX2244W"/>
    <m/>
    <n v="19980000"/>
    <x v="4"/>
    <x v="44"/>
    <n v="1770"/>
    <x v="0"/>
    <x v="0"/>
    <x v="1"/>
    <x v="1"/>
    <n v="0"/>
    <x v="1"/>
  </r>
  <r>
    <n v="3475808"/>
    <s v="SAJGX5245W"/>
    <m/>
    <n v="19980000"/>
    <x v="4"/>
    <x v="73"/>
    <n v="1729"/>
    <x v="0"/>
    <x v="0"/>
    <x v="0"/>
    <x v="0"/>
    <n v="0"/>
    <x v="0"/>
  </r>
  <r>
    <n v="3545708"/>
    <s v="SAJAA42R23"/>
    <m/>
    <n v="20030404"/>
    <x v="14"/>
    <x v="101"/>
    <n v="1770"/>
    <x v="0"/>
    <x v="0"/>
    <x v="1"/>
    <x v="1"/>
    <n v="0"/>
    <x v="1"/>
  </r>
  <r>
    <n v="3549450"/>
    <s v="SAJAA43P07"/>
    <m/>
    <n v="20070601"/>
    <x v="1"/>
    <x v="13"/>
    <n v="1720"/>
    <x v="0"/>
    <x v="0"/>
    <x v="0"/>
    <x v="0"/>
    <n v="0"/>
    <x v="0"/>
  </r>
  <r>
    <n v="3555492"/>
    <s v="SAJAA43P69"/>
    <m/>
    <n v="20080924"/>
    <x v="11"/>
    <x v="99"/>
    <n v="1720"/>
    <x v="0"/>
    <x v="0"/>
    <x v="0"/>
    <x v="0"/>
    <n v="0"/>
    <x v="0"/>
  </r>
  <r>
    <n v="3567960"/>
    <s v="SAJAA43P78"/>
    <m/>
    <n v="20080930"/>
    <x v="11"/>
    <x v="99"/>
    <n v="1720"/>
    <x v="0"/>
    <x v="0"/>
    <x v="0"/>
    <x v="0"/>
    <n v="0"/>
    <x v="0"/>
  </r>
  <r>
    <n v="3573053"/>
    <s v="SAJDA42C33"/>
    <m/>
    <n v="20031123"/>
    <x v="14"/>
    <x v="76"/>
    <n v="1770"/>
    <x v="0"/>
    <x v="0"/>
    <x v="1"/>
    <x v="1"/>
    <n v="0"/>
    <x v="1"/>
  </r>
  <r>
    <n v="3590269"/>
    <s v="SAJWA43C77"/>
    <m/>
    <n v="20070000"/>
    <x v="1"/>
    <x v="102"/>
    <n v="1595"/>
    <x v="0"/>
    <x v="0"/>
    <x v="0"/>
    <x v="0"/>
    <n v="0"/>
    <x v="0"/>
  </r>
  <r>
    <n v="3593247"/>
    <s v="SAJDA42B72"/>
    <m/>
    <n v="20020000"/>
    <x v="3"/>
    <x v="103"/>
    <n v="1695"/>
    <x v="1"/>
    <x v="1"/>
    <x v="1"/>
    <x v="1"/>
    <n v="0"/>
    <x v="1"/>
  </r>
  <r>
    <n v="3601127"/>
    <s v="SAJAA43P77"/>
    <m/>
    <n v="20070516"/>
    <x v="1"/>
    <x v="35"/>
    <n v="1720"/>
    <x v="0"/>
    <x v="0"/>
    <x v="0"/>
    <x v="0"/>
    <n v="0"/>
    <x v="0"/>
  </r>
  <r>
    <n v="3621981"/>
    <s v="SAJAA42N11"/>
    <m/>
    <n v="20000911"/>
    <x v="5"/>
    <x v="81"/>
    <n v="1825"/>
    <x v="1"/>
    <x v="1"/>
    <x v="1"/>
    <x v="1"/>
    <n v="0"/>
    <x v="1"/>
  </r>
  <r>
    <n v="3629004"/>
    <s v="SAJDA42C36"/>
    <m/>
    <n v="20060101"/>
    <x v="8"/>
    <x v="76"/>
    <n v="1770"/>
    <x v="0"/>
    <x v="0"/>
    <x v="1"/>
    <x v="1"/>
    <n v="0"/>
    <x v="1"/>
  </r>
  <r>
    <n v="3692168"/>
    <s v="SAJAA43P68"/>
    <m/>
    <n v="20080218"/>
    <x v="11"/>
    <x v="91"/>
    <n v="1720"/>
    <x v="0"/>
    <x v="0"/>
    <x v="0"/>
    <x v="0"/>
    <n v="0"/>
    <x v="0"/>
  </r>
  <r>
    <n v="3710560"/>
    <s v="SAJAA43R87"/>
    <m/>
    <n v="20070208"/>
    <x v="1"/>
    <x v="104"/>
    <n v="1770"/>
    <x v="1"/>
    <x v="1"/>
    <x v="0"/>
    <x v="0"/>
    <n v="0"/>
    <x v="0"/>
  </r>
  <r>
    <n v="3727926"/>
    <s v="SAJJGNED4V"/>
    <m/>
    <n v="19970000"/>
    <x v="0"/>
    <x v="73"/>
    <n v="1735"/>
    <x v="0"/>
    <x v="0"/>
    <x v="0"/>
    <x v="0"/>
    <n v="0"/>
    <x v="0"/>
  </r>
  <r>
    <n v="3735485"/>
    <s v="SAJWA43CX8"/>
    <m/>
    <n v="20080000"/>
    <x v="11"/>
    <x v="105"/>
    <n v="1685"/>
    <x v="1"/>
    <x v="1"/>
    <x v="0"/>
    <x v="0"/>
    <n v="0"/>
    <x v="0"/>
  </r>
  <r>
    <n v="3744967"/>
    <s v="SAJDA42B93"/>
    <m/>
    <n v="20030000"/>
    <x v="14"/>
    <x v="106"/>
    <n v="1810"/>
    <x v="0"/>
    <x v="0"/>
    <x v="1"/>
    <x v="1"/>
    <n v="0"/>
    <x v="1"/>
  </r>
  <r>
    <n v="3777734"/>
    <s v="SAJJGAED4A"/>
    <m/>
    <n v="19970602"/>
    <x v="0"/>
    <x v="107"/>
    <n v="1690"/>
    <x v="0"/>
    <x v="0"/>
    <x v="0"/>
    <x v="0"/>
    <n v="0"/>
    <x v="0"/>
  </r>
  <r>
    <n v="3779971"/>
    <s v="SAJJGKED4A"/>
    <m/>
    <n v="19980410"/>
    <x v="4"/>
    <x v="42"/>
    <n v="1720"/>
    <x v="0"/>
    <x v="0"/>
    <x v="0"/>
    <x v="0"/>
    <n v="0"/>
    <x v="0"/>
  </r>
  <r>
    <n v="3784580"/>
    <s v="SAJJGAFD4A"/>
    <m/>
    <n v="19970721"/>
    <x v="0"/>
    <x v="108"/>
    <n v="1840"/>
    <x v="0"/>
    <x v="0"/>
    <x v="1"/>
    <x v="1"/>
    <n v="0"/>
    <x v="1"/>
  </r>
  <r>
    <n v="3794414"/>
    <s v="SAJGX2049X"/>
    <m/>
    <n v="19991231"/>
    <x v="2"/>
    <x v="65"/>
    <n v="1720"/>
    <x v="0"/>
    <x v="0"/>
    <x v="1"/>
    <x v="1"/>
    <n v="0"/>
    <x v="1"/>
  </r>
  <r>
    <n v="3815961"/>
    <s v="SAJWA44C38"/>
    <m/>
    <n v="20080407"/>
    <x v="11"/>
    <x v="109"/>
    <n v="1801"/>
    <x v="1"/>
    <x v="1"/>
    <x v="1"/>
    <x v="0"/>
    <n v="1"/>
    <x v="2"/>
  </r>
  <r>
    <n v="3949608"/>
    <s v="SAJDA42B54"/>
    <m/>
    <n v="20040101"/>
    <x v="10"/>
    <x v="110"/>
    <n v="1735"/>
    <x v="1"/>
    <x v="1"/>
    <x v="1"/>
    <x v="1"/>
    <n v="0"/>
    <x v="1"/>
  </r>
  <r>
    <n v="3969198"/>
    <s v="SAJAC42RX3"/>
    <m/>
    <n v="20021010"/>
    <x v="3"/>
    <x v="34"/>
    <n v="1770"/>
    <x v="0"/>
    <x v="0"/>
    <x v="1"/>
    <x v="1"/>
    <n v="0"/>
    <x v="1"/>
  </r>
  <r>
    <n v="4008992"/>
    <s v="SAJJA42CXY"/>
    <m/>
    <n v="20000000"/>
    <x v="5"/>
    <x v="65"/>
    <n v="1780"/>
    <x v="0"/>
    <x v="0"/>
    <x v="1"/>
    <x v="1"/>
    <n v="0"/>
    <x v="1"/>
  </r>
  <r>
    <n v="4078799"/>
    <s v="SAJWA4FC5E"/>
    <m/>
    <n v="20131212"/>
    <x v="18"/>
    <x v="111"/>
    <n v="1845"/>
    <x v="1"/>
    <x v="1"/>
    <x v="0"/>
    <x v="0"/>
    <n v="0"/>
    <x v="0"/>
  </r>
  <r>
    <n v="4093654"/>
    <s v="SAJAA43P68"/>
    <m/>
    <n v="20090409"/>
    <x v="12"/>
    <x v="99"/>
    <n v="1720"/>
    <x v="0"/>
    <x v="0"/>
    <x v="0"/>
    <x v="0"/>
    <n v="0"/>
    <x v="0"/>
  </r>
  <r>
    <n v="4108587"/>
    <s v="SAJAC44R28"/>
    <m/>
    <n v="20080331"/>
    <x v="11"/>
    <x v="33"/>
    <n v="1785"/>
    <x v="1"/>
    <x v="1"/>
    <x v="1"/>
    <x v="1"/>
    <n v="0"/>
    <x v="1"/>
  </r>
  <r>
    <n v="4122647"/>
    <s v="SAJWA46C39"/>
    <m/>
    <n v="20090000"/>
    <x v="12"/>
    <x v="110"/>
    <n v="1813"/>
    <x v="1"/>
    <x v="1"/>
    <x v="1"/>
    <x v="1"/>
    <n v="0"/>
    <x v="1"/>
  </r>
  <r>
    <n v="4125878"/>
    <s v="SAJAA43R88"/>
    <m/>
    <n v="20071210"/>
    <x v="1"/>
    <x v="112"/>
    <n v="1770"/>
    <x v="1"/>
    <x v="1"/>
    <x v="0"/>
    <x v="0"/>
    <n v="0"/>
    <x v="0"/>
  </r>
  <r>
    <n v="4126118"/>
    <s v="SAJAA44P67"/>
    <m/>
    <n v="20060622"/>
    <x v="8"/>
    <x v="27"/>
    <n v="1735"/>
    <x v="0"/>
    <x v="0"/>
    <x v="1"/>
    <x v="1"/>
    <n v="0"/>
    <x v="1"/>
  </r>
  <r>
    <n v="4172689"/>
    <s v="SAJGX2749V"/>
    <m/>
    <n v="19970000"/>
    <x v="0"/>
    <x v="59"/>
    <n v="1720"/>
    <x v="0"/>
    <x v="0"/>
    <x v="1"/>
    <x v="1"/>
    <n v="0"/>
    <x v="1"/>
  </r>
  <r>
    <n v="4195214"/>
    <s v="SAJAA43R87"/>
    <m/>
    <n v="20070205"/>
    <x v="1"/>
    <x v="113"/>
    <n v="1770"/>
    <x v="1"/>
    <x v="1"/>
    <x v="0"/>
    <x v="0"/>
    <n v="0"/>
    <x v="0"/>
  </r>
  <r>
    <n v="4236658"/>
    <s v="SAJAA43R97"/>
    <m/>
    <n v="20070529"/>
    <x v="1"/>
    <x v="22"/>
    <n v="1770"/>
    <x v="1"/>
    <x v="1"/>
    <x v="0"/>
    <x v="0"/>
    <n v="0"/>
    <x v="0"/>
  </r>
  <r>
    <n v="4244187"/>
    <s v="SAJWA4EB0A"/>
    <m/>
    <n v="20100101"/>
    <x v="13"/>
    <x v="114"/>
    <n v="1734"/>
    <x v="0"/>
    <x v="0"/>
    <x v="1"/>
    <x v="1"/>
    <n v="0"/>
    <x v="1"/>
  </r>
  <r>
    <n v="4250103"/>
    <s v="SAJAA41J5Y"/>
    <m/>
    <n v="20000316"/>
    <x v="5"/>
    <x v="115"/>
    <n v="1740"/>
    <x v="1"/>
    <x v="1"/>
    <x v="0"/>
    <x v="0"/>
    <n v="0"/>
    <x v="0"/>
  </r>
  <r>
    <n v="4251542"/>
    <s v="SAJAA41PX4"/>
    <m/>
    <n v="20031107"/>
    <x v="14"/>
    <x v="116"/>
    <n v="1660"/>
    <x v="0"/>
    <x v="0"/>
    <x v="0"/>
    <x v="0"/>
    <n v="0"/>
    <x v="0"/>
  </r>
  <r>
    <n v="4280591"/>
    <s v="SAJWA43C67"/>
    <m/>
    <n v="20070130"/>
    <x v="1"/>
    <x v="22"/>
    <n v="1760"/>
    <x v="1"/>
    <x v="1"/>
    <x v="0"/>
    <x v="0"/>
    <n v="0"/>
    <x v="0"/>
  </r>
  <r>
    <n v="4435768"/>
    <s v="SAJWA4GB5D"/>
    <m/>
    <n v="20121122"/>
    <x v="15"/>
    <x v="117"/>
    <n v="1802"/>
    <x v="0"/>
    <x v="0"/>
    <x v="1"/>
    <x v="1"/>
    <n v="0"/>
    <x v="1"/>
  </r>
  <r>
    <n v="4509882"/>
    <s v="SAJAA41J0Y"/>
    <m/>
    <n v="20000427"/>
    <x v="5"/>
    <x v="118"/>
    <n v="1570"/>
    <x v="1"/>
    <x v="1"/>
    <x v="0"/>
    <x v="0"/>
    <n v="0"/>
    <x v="0"/>
  </r>
  <r>
    <n v="4522055"/>
    <s v="SAJAA44P37"/>
    <m/>
    <n v="20060619"/>
    <x v="8"/>
    <x v="27"/>
    <n v="1735"/>
    <x v="0"/>
    <x v="0"/>
    <x v="1"/>
    <x v="1"/>
    <n v="0"/>
    <x v="1"/>
  </r>
  <r>
    <n v="4535342"/>
    <s v="SAJAA42M12"/>
    <m/>
    <n v="20030404"/>
    <x v="14"/>
    <x v="119"/>
    <n v="1849"/>
    <x v="0"/>
    <x v="0"/>
    <x v="1"/>
    <x v="1"/>
    <n v="0"/>
    <x v="1"/>
  </r>
  <r>
    <n v="4608297"/>
    <s v="SAJWA43C87"/>
    <m/>
    <n v="20070000"/>
    <x v="1"/>
    <x v="22"/>
    <n v="1770"/>
    <x v="1"/>
    <x v="1"/>
    <x v="0"/>
    <x v="0"/>
    <n v="0"/>
    <x v="0"/>
  </r>
  <r>
    <n v="4787436"/>
    <s v="SAJWA4GB5B"/>
    <m/>
    <n v="20110000"/>
    <x v="16"/>
    <x v="117"/>
    <n v="1865"/>
    <x v="0"/>
    <x v="0"/>
    <x v="1"/>
    <x v="1"/>
    <n v="0"/>
    <x v="1"/>
  </r>
  <r>
    <n v="4965347"/>
    <s v="SAJWA44B68"/>
    <m/>
    <n v="20080000"/>
    <x v="11"/>
    <x v="27"/>
    <n v="1735"/>
    <x v="0"/>
    <x v="0"/>
    <x v="1"/>
    <x v="1"/>
    <n v="0"/>
    <x v="1"/>
  </r>
  <r>
    <n v="5043868"/>
    <s v="SAJAA43R67"/>
    <m/>
    <n v="20071012"/>
    <x v="1"/>
    <x v="120"/>
    <n v="1770"/>
    <x v="1"/>
    <x v="1"/>
    <x v="0"/>
    <x v="0"/>
    <n v="0"/>
    <x v="0"/>
  </r>
  <r>
    <n v="5062875"/>
    <s v="SAJAA44P27"/>
    <m/>
    <n v="20060615"/>
    <x v="8"/>
    <x v="27"/>
    <n v="1735"/>
    <x v="0"/>
    <x v="0"/>
    <x v="1"/>
    <x v="1"/>
    <n v="0"/>
    <x v="1"/>
  </r>
  <r>
    <n v="5162537"/>
    <s v="SAJAA43R18"/>
    <m/>
    <n v="20071128"/>
    <x v="1"/>
    <x v="121"/>
    <n v="1770"/>
    <x v="1"/>
    <x v="1"/>
    <x v="0"/>
    <x v="0"/>
    <n v="0"/>
    <x v="0"/>
  </r>
  <r>
    <n v="5164401"/>
    <s v="SAJWA44C57"/>
    <m/>
    <n v="20070317"/>
    <x v="1"/>
    <x v="109"/>
    <n v="1800"/>
    <x v="1"/>
    <x v="1"/>
    <x v="1"/>
    <x v="0"/>
    <n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BCFBD-E3AE-4B26-A41C-F3320E01ED32}" name="PivotTable9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6:W18" firstHeaderRow="1" firstDataRow="2" firstDataCol="1"/>
  <pivotFields count="13">
    <pivotField showAll="0"/>
    <pivotField showAll="0"/>
    <pivotField showAll="0"/>
    <pivotField showAll="0"/>
    <pivotField axis="axisCol" showAll="0">
      <items count="20">
        <item x="9"/>
        <item x="0"/>
        <item x="4"/>
        <item x="2"/>
        <item x="5"/>
        <item x="6"/>
        <item x="3"/>
        <item x="14"/>
        <item x="10"/>
        <item x="7"/>
        <item x="8"/>
        <item x="1"/>
        <item x="11"/>
        <item x="12"/>
        <item x="13"/>
        <item x="16"/>
        <item x="15"/>
        <item x="18"/>
        <item x="17"/>
        <item t="default"/>
      </items>
    </pivotField>
    <pivotField showAll="0">
      <items count="123">
        <item x="1"/>
        <item x="68"/>
        <item x="63"/>
        <item x="8"/>
        <item x="48"/>
        <item x="23"/>
        <item x="55"/>
        <item x="2"/>
        <item x="6"/>
        <item x="30"/>
        <item x="11"/>
        <item x="64"/>
        <item x="21"/>
        <item x="54"/>
        <item x="37"/>
        <item x="60"/>
        <item x="66"/>
        <item x="69"/>
        <item x="70"/>
        <item x="103"/>
        <item x="18"/>
        <item x="3"/>
        <item x="79"/>
        <item x="4"/>
        <item x="10"/>
        <item x="7"/>
        <item x="12"/>
        <item x="17"/>
        <item x="19"/>
        <item x="0"/>
        <item x="9"/>
        <item x="24"/>
        <item x="40"/>
        <item x="15"/>
        <item x="28"/>
        <item x="16"/>
        <item x="26"/>
        <item x="5"/>
        <item x="104"/>
        <item x="14"/>
        <item x="51"/>
        <item x="91"/>
        <item x="78"/>
        <item x="86"/>
        <item x="25"/>
        <item x="108"/>
        <item x="97"/>
        <item x="89"/>
        <item x="50"/>
        <item x="87"/>
        <item x="36"/>
        <item x="52"/>
        <item x="74"/>
        <item x="62"/>
        <item x="65"/>
        <item x="119"/>
        <item x="59"/>
        <item x="46"/>
        <item x="34"/>
        <item x="27"/>
        <item x="101"/>
        <item x="117"/>
        <item x="114"/>
        <item x="58"/>
        <item x="84"/>
        <item x="42"/>
        <item x="29"/>
        <item x="67"/>
        <item x="13"/>
        <item x="35"/>
        <item x="102"/>
        <item x="43"/>
        <item x="94"/>
        <item x="99"/>
        <item x="31"/>
        <item x="47"/>
        <item x="106"/>
        <item x="39"/>
        <item x="75"/>
        <item x="44"/>
        <item x="90"/>
        <item x="96"/>
        <item x="56"/>
        <item x="41"/>
        <item x="76"/>
        <item x="73"/>
        <item x="32"/>
        <item x="53"/>
        <item x="116"/>
        <item x="107"/>
        <item x="100"/>
        <item x="45"/>
        <item x="77"/>
        <item x="92"/>
        <item x="109"/>
        <item x="83"/>
        <item x="118"/>
        <item x="72"/>
        <item x="98"/>
        <item x="81"/>
        <item x="110"/>
        <item x="20"/>
        <item x="49"/>
        <item x="88"/>
        <item x="95"/>
        <item x="85"/>
        <item x="33"/>
        <item x="80"/>
        <item x="61"/>
        <item x="57"/>
        <item x="38"/>
        <item x="93"/>
        <item x="105"/>
        <item x="111"/>
        <item x="113"/>
        <item x="115"/>
        <item x="82"/>
        <item x="121"/>
        <item x="120"/>
        <item x="22"/>
        <item x="71"/>
        <item x="112"/>
        <item t="default"/>
      </items>
    </pivotField>
    <pivotField showAll="0"/>
    <pivotField dataField="1" showAll="0" countASubtotal="1">
      <items count="3">
        <item x="1"/>
        <item x="0"/>
        <item t="countA"/>
      </items>
    </pivotField>
    <pivotField dataField="1" showAll="0" countASubtotal="1">
      <items count="3">
        <item x="0"/>
        <item x="1"/>
        <item t="countA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</pivotFields>
  <rowFields count="2">
    <field x="12"/>
    <field x="-2"/>
  </rowFields>
  <rowItems count="11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 t="grand">
      <x/>
    </i>
    <i t="grand" i="1">
      <x/>
    </i>
  </rowItems>
  <colFields count="1">
    <field x="4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2">
    <dataField name="Sum of XKR" fld="8" baseField="0" baseItem="0"/>
    <dataField name="Sum of XK/XK8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86FCBD-5D44-4F86-8A49-DE16203A8FF4}" autoFormatId="16" applyNumberFormats="0" applyBorderFormats="0" applyFontFormats="0" applyPatternFormats="0" applyAlignmentFormats="0" applyWidthHeightFormats="0">
  <queryTableRefresh nextId="42">
    <queryTableFields count="41">
      <queryTableField id="1" name="ajoneuvoluokka" tableColumnId="1"/>
      <queryTableField id="2" name="ensirekisterointipvm" tableColumnId="2"/>
      <queryTableField id="3" name="ajoneuvoryhma" tableColumnId="3"/>
      <queryTableField id="4" name="ajoneuvonkaytto" tableColumnId="4"/>
      <queryTableField id="5" name="variantti" tableColumnId="5"/>
      <queryTableField id="6" name="versio" tableColumnId="6"/>
      <queryTableField id="7" name="kayttoonottopvm" tableColumnId="7"/>
      <queryTableField id="8" name="vari" tableColumnId="8"/>
      <queryTableField id="9" name="ovienLukumaara" tableColumnId="9"/>
      <queryTableField id="10" name="korityyppi" tableColumnId="10"/>
      <queryTableField id="11" name="ohjaamotyyppi" tableColumnId="11"/>
      <queryTableField id="12" name="istumapaikkojenLkm" tableColumnId="12"/>
      <queryTableField id="13" name="omamassa" tableColumnId="13"/>
      <queryTableField id="14" name="teknSuurSallKokmassa" tableColumnId="14"/>
      <queryTableField id="15" name="tieliikSuurSallKokmassa" tableColumnId="15"/>
      <queryTableField id="16" name="ajonKokPituus" tableColumnId="16"/>
      <queryTableField id="17" name="ajonLeveys" tableColumnId="17"/>
      <queryTableField id="18" name="ajonKorkeus" tableColumnId="18"/>
      <queryTableField id="19" name="kayttovoima" tableColumnId="19"/>
      <queryTableField id="20" name="iskutilavuus" tableColumnId="20"/>
      <queryTableField id="21" name="suurinNettoteho" tableColumnId="21"/>
      <queryTableField id="22" name="sylintereidenLkm" tableColumnId="22"/>
      <queryTableField id="23" name="ahdin" tableColumnId="23"/>
      <queryTableField id="24" name="sahkohybridi" tableColumnId="24"/>
      <queryTableField id="25" name="sahkohybridinluokka" tableColumnId="25"/>
      <queryTableField id="26" name="merkkiSelvakielinen" tableColumnId="26"/>
      <queryTableField id="27" name="mallimerkinta" tableColumnId="27"/>
      <queryTableField id="28" name="vaihteisto" tableColumnId="28"/>
      <queryTableField id="29" name="vaihteidenLkm" tableColumnId="29"/>
      <queryTableField id="30" name="kaupallinenNimi" tableColumnId="30"/>
      <queryTableField id="31" name="voimanvalJaTehostamistapa" tableColumnId="31"/>
      <queryTableField id="32" name="tyyppihyvaksyntanro" tableColumnId="32"/>
      <queryTableField id="33" name="yksittaisKayttovoima" tableColumnId="33"/>
      <queryTableField id="34" name="kunta" tableColumnId="34"/>
      <queryTableField id="35" name="NEDC_Co2" tableColumnId="35"/>
      <queryTableField id="36" name="NEDC2_Co2" tableColumnId="36"/>
      <queryTableField id="37" name="WLTP_Co2" tableColumnId="37"/>
      <queryTableField id="38" name="WLTP2_Co2" tableColumnId="38"/>
      <queryTableField id="39" name="matkamittarilukema" tableColumnId="39"/>
      <queryTableField id="40" name="valmistenumero2" tableColumnId="40"/>
      <queryTableField id="41" name="jarnro" tableColumnId="41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4CB813-F199-4A73-95CB-D980308F59A7}" name="Table34" displayName="Table34" ref="A1:O257" totalsRowShown="0">
  <autoFilter ref="A1:O257" xr:uid="{11078BE5-D353-4598-9C8D-CD55F717772D}"/>
  <sortState xmlns:xlrd2="http://schemas.microsoft.com/office/spreadsheetml/2017/richdata2" ref="A2:O60">
    <sortCondition ref="C1:C257"/>
  </sortState>
  <tableColumns count="15">
    <tableColumn id="12" xr3:uid="{28DB89C7-4258-4EBE-8DD1-079EE78DB58E}" name="jarnro" dataDxfId="24">
      <calculatedColumnFormula>'Ajoneuvorekisteri-Parse Modern '!AO2</calculatedColumnFormula>
    </tableColumn>
    <tableColumn id="1" xr3:uid="{CB781C2A-7B29-4EFD-BF81-0BA46BA8CE22}" name="VIN" dataDxfId="23">
      <calculatedColumnFormula>'Ajoneuvorekisteri-Parse Modern '!AN2</calculatedColumnFormula>
    </tableColumn>
    <tableColumn id="18" xr3:uid="{32C845B8-03A3-44C9-8036-5B9437F03DEE}" name="VINClass" dataDxfId="22">
      <calculatedColumnFormula array="1">_xlfn.LET(_xlpm.v,UPPER(SUBSTITUTE(CLEAN(TRIM(B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calculatedColumnFormula>
    </tableColumn>
    <tableColumn id="16" xr3:uid="{98CD43FA-D431-45EF-B7F6-5AC3EACA7AE0}" name="VINRange6" dataDxfId="21">
      <calculatedColumnFormula array="1">_xlfn.LET(_xlpm.vin,SUBSTITUTE(CLEAN(TRIM(B2)),CHAR(160),""),_xlpm.rawDate,LEFT(TRIM(E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calculatedColumnFormula>
    </tableColumn>
    <tableColumn id="3" xr3:uid="{338B367D-CB2C-476C-98E5-22DC013B1A3C}" name="Käyttöönotto">
      <calculatedColumnFormula>'Ajoneuvorekisteri-Parse Modern '!G2</calculatedColumnFormula>
    </tableColumn>
    <tableColumn id="9" xr3:uid="{9536A520-3E62-4679-92C7-FA9BB340207C}" name="KOVuosi" dataDxfId="20">
      <calculatedColumnFormula>LEFT(Table34[[#This Row],[Käyttöönotto]],4)</calculatedColumnFormula>
    </tableColumn>
    <tableColumn id="4" xr3:uid="{9517FEBC-ECC5-405B-AAD6-B874A96C1C8E}" name="Mallimerkintä">
      <calculatedColumnFormula>'Ajoneuvorekisteri-Parse Modern '!AA2</calculatedColumnFormula>
    </tableColumn>
    <tableColumn id="17" xr3:uid="{AA2E1CE6-FF9B-437D-9353-7C3B1868FDFE}" name="tyyppihyvaksyntanro">
      <calculatedColumnFormula>Ajoneuvorekisteri_Parse_Modern_XK_Range_TieliikenneAvoinData_30_06_2026_csv[[#This Row],[tyyppihyvaksyntanro]]</calculatedColumnFormula>
    </tableColumn>
    <tableColumn id="5" xr3:uid="{9EF572AB-D231-4BE8-9BAB-B08C4AA54D38}" name="Omamassa">
      <calculatedColumnFormula>'Ajoneuvorekisteri-Parse Modern '!M2</calculatedColumnFormula>
    </tableColumn>
    <tableColumn id="11" xr3:uid="{6B0AE20D-71AD-414A-83EA-FC561215C96E}" name="XK/XK8" dataDxfId="19">
      <calculatedColumnFormula>IF(AND(
    OR(
        ISNUMBER(SEARCH("XK ", G2)),
        ISNUMBER(SEARCH("XK8", G2))
    ),
    F2 &gt; 2005
), 1, 0)</calculatedColumnFormula>
    </tableColumn>
    <tableColumn id="10" xr3:uid="{0733381A-7540-4F0D-AB65-E1CEEA63FF92}" name="XKR" dataDxfId="18">
      <calculatedColumnFormula>IF(OR(
    ISNUMBER(SEARCH("XKR", G2)),
), 1, 0)</calculatedColumnFormula>
    </tableColumn>
    <tableColumn id="6" xr3:uid="{4239EC53-6A07-48E8-9127-8272A03A9B68}" name="Coupe" dataDxfId="17">
      <calculatedColumnFormula>IF(OR(
    ISNUMBER(SEARCH("COUPE", G2)),
    ISNUMBER(SEARCH("COUPÉ", G2)),
    ISNUMBER(SEARCH("COUP�", G2))
), 1, 0)</calculatedColumnFormula>
    </tableColumn>
    <tableColumn id="7" xr3:uid="{38729767-B9EA-4BD5-B596-87C55995DAF0}" name="Convertible" dataDxfId="16">
      <calculatedColumnFormula>IF(OR(
    ISNUMBER(SEARCH("CONVERTIBLE",G2)),
    ISNUMBER(SEARCH("AVOAUTO",G2)),
    ISNUMBER(SEARCH("AVO",G2)),
    ISNUMBER(SEARCH("CABRIO",G2))
),1,0)</calculatedColumnFormula>
    </tableColumn>
    <tableColumn id="8" xr3:uid="{29893D22-989E-4AF0-BF71-87AA6C481345}" name="Unknown" dataDxfId="15">
      <calculatedColumnFormula>IF(AND(Table34[[#This Row],[Coupe]]&lt;&gt;1, Table34[[#This Row],[Convertible]]&lt;&gt;1), 1, 0)</calculatedColumnFormula>
    </tableColumn>
    <tableColumn id="13" xr3:uid="{4D1FE53D-FD36-4405-AC46-01198F0CD762}" name="BodyType" dataDxfId="14">
      <calculatedColumnFormula>IF(L2=1, "Coupe", IF(M2=1, "Convertible", "Unknown"))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C44946-2EBE-453C-B4D9-B75D3E06ED11}" name="Table3" displayName="Table3" ref="A1:R257" totalsRowShown="0">
  <autoFilter ref="A1:R257" xr:uid="{11078BE5-D353-4598-9C8D-CD55F717772D}"/>
  <sortState xmlns:xlrd2="http://schemas.microsoft.com/office/spreadsheetml/2017/richdata2" ref="A118:R176">
    <sortCondition ref="F1:F257"/>
  </sortState>
  <tableColumns count="18">
    <tableColumn id="12" xr3:uid="{A530AE5F-6B3E-476C-AF1C-5373D8B6C252}" name="jarnro" dataDxfId="13">
      <calculatedColumnFormula>'Ajoneuvorekisteri-Parse Modern '!AO2</calculatedColumnFormula>
    </tableColumn>
    <tableColumn id="1" xr3:uid="{01D2BB55-C50C-4B1E-A299-772A88E94474}" name="VIN" dataDxfId="12">
      <calculatedColumnFormula>'Ajoneuvorekisteri-Parse Modern '!AN2</calculatedColumnFormula>
    </tableColumn>
    <tableColumn id="14" xr3:uid="{994174E9-BA47-4450-ABC7-95561835CCAE}" name="VINGen" dataDxfId="11">
      <calculatedColumnFormula>_xlfn.LET(_xlpm.v,SUBSTITUTE(CLEAN(TRIM(B2)),CHAR(160),""),IF(AND(LEN(_xlpm.v)=10,LEFT(_xlpm.v,5)="SAJJG",OR(MID(_xlpm.v,7,1)="E",MID(_xlpm.v,7,1)="F"),OR(MID(_xlpm.v,8,1)="D",MID(_xlpm.v,8,1)="F"),OR(MID(_xlpm.v,9,1)="3",MID(_xlpm.v,9,1)="4"),MID(_xlpm.v,10,1)="A"),"X100_EARLY_NORMAL_AR (JDHT)",IF(AND(LEN(_xlpm.v)=10,LEFT(_xlpm.v,5)="SAJJG",MID(_xlpm.v,6,1)="A",OR(MID(_xlpm.v,7,1)="E",MID(_xlpm.v,7,1)="F"),MID(_xlpm.v,8,1)="D",OR(MID(_xlpm.v,9,1)="3",MID(_xlpm.v,9,1)="4"),OR(MID(_xlpm.v,10,1)="V",MID(_xlpm.v,10,1)="W",MID(_xlpm.v,10,1)="X")),"X100_NORMAL (JDHT)",IF(AND(LEN(_xlpm.v)=10,LEFT(_xlpm.v,5)="SAJJG",OR(MID(_xlpm.v,6,1)="A",MID(_xlpm.v,6,1)="K",MID(_xlpm.v,6,1)="N",MID(_xlpm.v,6,1)="X"),OR(MID(_xlpm.v,7,1)="E",MID(_xlpm.v,7,1)="F"),OR(MID(_xlpm.v,8,1)="D",MID(_xlpm.v,8,1)="F"),OR(MID(_xlpm.v,9,1)="3",MID(_xlpm.v,9,1)="4"),OR(MID(_xlpm.v,10,1)="V",MID(_xlpm.v,10,1)="W",MID(_xlpm.v,10,1)="X")),"X100_JLM20300",IF(AND(LEN(_xlpm.v)=10,LEFT(_xlpm.v,5)="SAJJG",OR(MID(_xlpm.v,6,1)="N",MID(_xlpm.v,6,1)="S",MID(_xlpm.v,6,1)="X"),OR(MID(_xlpm.v,7,1)="E",MID(_xlpm.v,7,1)="F"),OR(MID(_xlpm.v,8,1)="D",MID(_xlpm.v,8,1)="F"),OR(MID(_xlpm.v,9,1)="3",MID(_xlpm.v,9,1)="4"),OR(MID(_xlpm.v,10,1)="V",MID(_xlpm.v,10,1)="W",MID(_xlpm.v,10,1)="X")),"X100_JLM20301",IF(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(JLM20301_unique)","UNKNOWN: ["&amp;IF(LEN(_xlpm.v)&lt;&gt;10,"length="&amp;LEN(_xlpm.v),"")&amp;IF(AND(LEN(_xlpm.v)=10,LEFT(_xlpm.v,5)&lt;&gt;"SAJJG",LEFT(_xlpm.v,5)&lt;&gt;"SAJGX"),"prefix="&amp;LEFT(_xlpm.v,5),"")&amp;IF(AND(LEN(_xlpm.v)=10,LEFT(_xlpm.v,5)="SAJJG",NOT(OR(MID(_xlpm.v,7,1)="E",MID(_xlpm.v,7,1)="F"))),"7="&amp;MID(_xlpm.v,7,1),"")&amp;IF(AND(LEN(_xlpm.v)=10,LEFT(_xlpm.v,5)="SAJJG",NOT(OR(MID(_xlpm.v,8,1)="D",MID(_xlpm.v,8,1)="F"))),"8="&amp;MID(_xlpm.v,8,1),"")&amp;IF(AND(LEN(_xlpm.v)=10,LEFT(_xlpm.v,5)="SAJJG",NOT(OR(MID(_xlpm.v,9,1)="3",MID(_xlpm.v,9,1)="4"))),"9="&amp;MID(_xlpm.v,9,1),"")&amp;IF(AND(LEN(_xlpm.v)=10,LEFT(_xlpm.v,5)="SAJJG",NOT(OR(MID(_xlpm.v,10,1)="A",MID(_xlpm.v,10,1)="V",MID(_xlpm.v,10,1)="W",MID(_xlpm.v,10,1)="X"))),"10="&amp;MID(_xlpm.v,10,1),"")&amp;IF(AND(LEN(_xlpm.v)=10,LEFT(_xlpm.v,5)="SAJGX",NOT(OR(MID(_xlpm.v,6,1)="2",MID(_xlpm.v,6,1)="5"))),"6="&amp;MID(_xlpm.v,6,1),"")&amp;IF(AND(LEN(_xlpm.v)=10,LEFT(_xlpm.v,5)="SAJGX",NOT(OR(MID(_xlpm.v,7,1)="1",MID(_xlpm.v,7,1)="2",MID(_xlpm.v,7,1)="7"))),"7="&amp;MID(_xlpm.v,7,1),"")&amp;IF(AND(LEN(_xlpm.v)=10,LEFT(_xlpm.v,5)="SAJGX",OR(MID(_xlpm.v,7,1)="1",MID(_xlpm.v,7,1)="2",MID(_xlpm.v,7,1)="7"),MID(_xlpm.v,8,1)&lt;&gt;"4"),"8="&amp;MID(_xlpm.v,8,1),"")&amp;"]"))))))</calculatedColumnFormula>
    </tableColumn>
    <tableColumn id="2" xr3:uid="{B97ED05C-5D9B-48E4-8688-A02D6932C492}" name="VINGenNew" dataDxfId="10">
      <calculatedColumnFormula>_xlfn.LET(_xlpm.vinx,SUBSTITUTE(CLEAN(TRIM(B2)),CHAR(160),""),_xlpm.mkt,MID(_xlpm.vinx,4,1),_xlpm.trans,MID(_xlpm.vinx,5,1),_xlpm.body,MID(_xlpm.vinx,6,2),_xlpm.emis,MID(_xlpm.vinx,8,1),_xlpm.my,MID(_xlpm.vinx,10,1),IF(LEN(_xlpm.vinx)&lt;&gt;10,"UNKNOWN: [length="&amp;LEN(_xlpm.vinx)&amp;"]",IF(LEFT(_xlpm.vinx,3)&lt;&gt;"SAJ","UNKNOWN: [prefix="&amp;LEFT(_xlpm.vinx,3)&amp;"]",IF(NOT(ISNUMBER(FIND(_xlpm.mkt,"BFGXPRTYDEJW"))),"UNKNOWN: [4="&amp;_xlpm.mkt&amp;"]",IF(NOT(OR(_xlpm.trans="A",_xlpm.trans="B")),"UNKNOWN: [5="&amp;_xlpm.trans&amp;"]",IF(NOT(OR(_xlpm.body="41",_xlpm.body="42")),"UNKNOWN: [6-7="&amp;_xlpm.body&amp;"]",IF(OR(CODE(_xlpm.emis)&lt;65,CODE(_xlpm.emis)&gt;88),"UNKNOWN: [8="&amp;_xlpm.emis&amp;"]",IF(NOT(OR(_xlpm.my="X",_xlpm.my="Y",_xlpm.my="1",_xlpm.my="2",_xlpm.my="3",_xlpm.my="4",_xlpm.my="5",_xlpm.my="6",_xlpm.my="7",_xlpm.my="8",_xlpm.my="9")),"UNKNOWN: [10="&amp;_xlpm.my&amp;"]","XK8-XKR_"&amp;IF(_xlpm.body="41","COUPE","CONVERTIBLE")&amp;"_"&amp;IF(ISNUMBER(FIND(_xlpm.mkt,"DEJW")),"USA",IF(ISNUMBER(FIND(_xlpm.mkt,"BFGX")),"CANADA","MEXICO"))&amp;"_"&amp;IF(_xlpm.trans="A","AUTO_LHD","MANUAL_LHD")&amp;"_EMISSION_"&amp;_xlpm.emis&amp;"_"&amp;IF(_xlpm.my="X","1999",IF(_xlpm.my="Y","2000","20"&amp;_xlpm.my))&amp;"MY"))))))))</calculatedColumnFormula>
    </tableColumn>
    <tableColumn id="15" xr3:uid="{B95EE5E4-B85E-4A79-9911-3BD8D91C6A7C}" name="VINGenX150" dataDxfId="9">
      <calculatedColumnFormula>_xlfn.LET(_xlpm.vin,UPPER(SUBSTITUTE(CLEAN(TRIM(B2)),CHAR(160),"")),_xlpm.mkt,MID(_xlpm.vin,4,1),_xlpm.trn,MID(_xlpm.vin,5,1),_xlpm.body,MID(_xlpm.vin,6,2),_xlpm.ems,MID(_xlpm.vin,8,1),_xlpm.myc,MID(_xlpm.vin,10,1),IF(AND(LEN(_xlpm.vin)=10,LEFT(_xlpm.vin,3)="SAJ",OR(_xlpm.mkt="A",_xlpm.mkt="B",_xlpm.mkt="D",_xlpm.mkt="E",_xlpm.mkt="F",_xlpm.mkt="J",_xlpm.mkt="K",_xlpm.mkt="P",_xlpm.mkt="R",_xlpm.mkt="W",_xlpm.mkt="X",_xlpm.mkt="Y"),OR(_xlpm.trn="A",_xlpm.trn="C"),OR(_xlpm.body="43",_xlpm.body="4D",_xlpm.body="44",_xlpm.body="4E",_xlpm.body="45",_xlpm.body="4F",_xlpm.body="46",_xlpm.body="4G",_xlpm.body="47"),OR(_xlpm.ems="A",_xlpm.ems="B",_xlpm.ems="C",_xlpm.ems="D",_xlpm.ems="E",_xlpm.ems="F",_xlpm.ems="G",_xlpm.ems="K",_xlpm.ems="N",_xlpm.ems="P",_xlpm.ems="R",_xlpm.ems="S",_xlpm.ems="T",_xlpm.ems="U",_xlpm.ems="V",_xlpm.ems="W",_xlpm.ems="X",_xlpm.ems="Y",_xlpm.ems="1",_xlpm.ems="2",_xlpm.ems="3",_xlpm.ems="4"),OR(_xlpm.myc="7",_xlpm.myc="8",_xlpm.myc="9",_xlpm.myc="A",_xlpm.myc="B",_xlpm.myc="C",_xlpm.myc="D",_xlpm.myc="E")),"X150_"&amp;IF(_xlpm.myc="7","2007MY",IF(_xlpm.myc="8","2008MY",IF(_xlpm.myc="9","2009MY",IF(_xlpm.myc="A","2010MY",IF(_xlpm.myc="B","2011MY",IF(_xlpm.myc="C","2012MY",IF(_xlpm.myc="D","2013MY",IF(_xlpm.myc="E","2014MY","UNKNOWN")))))))),"UNKNOWN"))</calculatedColumnFormula>
    </tableColumn>
    <tableColumn id="18" xr3:uid="{006C2831-6376-4A76-964B-94D364AAA27D}" name="VINClass" dataDxfId="8">
      <calculatedColumnFormula>_xlfn.LET(_xlpm.v,UPPER(SUBSTITUTE(CLEAN(TRIM(B2)),CHAR(160),"")),_xlpm.mkt,MID(_xlpm.v,4,1),_xlpm.trans,MID(_xlpm.v,5,1),_xlpm.body,MID(_xlpm.v,6,2),_xlpm.emis,MID(_xlpm.v,8,1),_xlpm.my,MID(_xlpm.v,10,1),IF(LEN(_xlpm.v)&lt;&gt;10,"UNKNOWN",IF(AND(LEFT(_xlpm.v,5)="SAJJG",OR(MID(_xlpm.v,7,1)="E",MID(_xlpm.v,7,1)="F"),OR(MID(_xlpm.v,8,1)="D",MID(_xlpm.v,8,1)="F"),OR(MID(_xlpm.v,9,1)="3",MID(_xlpm.v,9,1)="4"),MID(_xlpm.v,10,1)="A"),"X100_EARLY_NORMAL_AR (JDHT)",IF(AND(LEFT(_xlpm.v,5)="SAJJG",MID(_xlpm.v,6,1)="A",OR(MID(_xlpm.v,7,1)="E",MID(_xlpm.v,7,1)="F"),MID(_xlpm.v,8,1)="D",OR(MID(_xlpm.v,9,1)="3",MID(_xlpm.v,9,1)="4"),OR(MID(_xlpm.v,10,1)="V",MID(_xlpm.v,10,1)="W",MID(_xlpm.v,10,1)="X")),"X100_NORMAL (JDHT)",IF(AND(LEFT(_xlpm.v,5)="SAJJG",OR(MID(_xlpm.v,6,1)="A",MID(_xlpm.v,6,1)="K",MID(_xlpm.v,6,1)="N",MID(_xlpm.v,6,1)="X"),OR(MID(_xlpm.v,7,1)="E",MID(_xlpm.v,7,1)="F"),OR(MID(_xlpm.v,8,1)="D",MID(_xlpm.v,8,1)="F"),OR(MID(_xlpm.v,9,1)="3",MID(_xlpm.v,9,1)="4"),OR(MID(_xlpm.v,10,1)="V",MID(_xlpm.v,10,1)="W",MID(_xlpm.v,10,1)="X")),"X100_JLM20300",IF(AND(LEFT(_xlpm.v,5)="SAJJG",OR(MID(_xlpm.v,6,1)="N",MID(_xlpm.v,6,1)="S",MID(_xlpm.v,6,1)="X"),OR(MID(_xlpm.v,7,1)="E",MID(_xlpm.v,7,1)="F"),OR(MID(_xlpm.v,8,1)="D",MID(_xlpm.v,8,1)="F"),OR(MID(_xlpm.v,9,1)="3",MID(_xlpm.v,9,1)="4"),OR(MID(_xlpm.v,10,1)="V",MID(_xlpm.v,10,1)="W",MID(_xlpm.v,10,1)="X")),"X100_JLM20301",IF(AND(LEFT(_xlpm.v,5)="SAJGX",OR(MID(_xlpm.v,6,1)="2",MID(_xlpm.v,6,1)="5"),OR(MID(_xlpm.v,7,1)="1",MID(_xlpm.v,7,1)="2",MID(_xlpm.v,7,1)="7"),MID(_xlpm.v,8,1)="4",OR(MID(_xlpm.v,10,1)="V",MID(_xlpm.v,10,1)="W",MID(_xlpm.v,10,1)="X")),"X100_AMERICAS_UNIQUE (JLM20301_unique)",IF(AND(LEFT(_xlpm.v,3)="SAJ",OR(_xlpm.mkt="B",_xlpm.mkt="F",_xlpm.mkt="G",_xlpm.mkt="X",_xlpm.mkt="P",_xlpm.mkt="R",_xlpm.mkt="T",_xlpm.mkt="Y",_xlpm.mkt="D",_xlpm.mkt="E",_xlpm.mkt="J",_xlpm.mkt="W"),OR(_xlpm.trans="A",_xlpm.trans="B"),OR(_xlpm.body="41",_xlpm.body="42"),CODE(_xlpm.emis)&gt;=65,CODE(_xlpm.emis)&lt;=88,OR(_xlpm.my="X",_xlpm.my="Y",_xlpm.my="1",_xlpm.my="2",_xlpm.my="3",_xlpm.my="4",_xlpm.my="5",_xlpm.my="6",_xlpm.my="7",_xlpm.my="8",_xlpm.my="9")),"XK8-XKR_"&amp;IF(_xlpm.body="41","COUPE","CONVERTIBLE")&amp;""&amp;IF(ISNUMBER(FIND(_xlpm.mkt,"DEJW")),"USA",IF(ISNUMBER(FIND(_xlpm.mkt,"BFGX")),"CANADA","MEXICO"))&amp;""&amp;IF(_xlpm.trans="A","AUTO_LHD","MANUAL_LHD")&amp;"EMISSION"&amp;_xlpm.emis&amp;""&amp;IF(_xlpm.my="X","1999",IF(_xlpm.my="Y","2000","20"&amp;_xlpm.my))&amp;"MY",IF(AND(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"&amp;IF(_xlpm.my="7","2007MY",IF(_xlpm.my="8","2008MY",IF(_xlpm.my="9","2009MY",IF(_xlpm.my="A","2010MY",IF(_xlpm.my="B","2011MY",IF(_xlpm.my="C","2012MY",IF(_xlpm.my="D","2013MY",IF(_xlpm.my="E","2014MY","UNKNOWN")))))))),"UNKNOWN")))))))))</calculatedColumnFormula>
    </tableColumn>
    <tableColumn id="16" xr3:uid="{3F6D57C5-7952-4C85-AC91-3B7268D92A78}" name="VINRange6" dataDxfId="7">
      <calculatedColumnFormula array="1">_xlfn.LET(_xlpm.vin,SUBSTITUTE(CLEAN(TRIM(B2)),CHAR(160),""),_xlpm.rawDate,LEFT(TRIM(H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calculatedColumnFormula>
    </tableColumn>
    <tableColumn id="3" xr3:uid="{34257CB5-B67A-47EB-BC80-451FEF0FD86C}" name="Käyttöönotto">
      <calculatedColumnFormula>'Ajoneuvorekisteri-Parse Modern '!G2</calculatedColumnFormula>
    </tableColumn>
    <tableColumn id="9" xr3:uid="{FA18F8E4-4F87-4319-B3F2-AE011E12530B}" name="KOVuosi" dataDxfId="6">
      <calculatedColumnFormula>LEFT(Table3[[#This Row],[Käyttöönotto]],4)</calculatedColumnFormula>
    </tableColumn>
    <tableColumn id="4" xr3:uid="{F668EBDD-761F-4A93-92B9-C539B1107BB0}" name="Mallimerkintä">
      <calculatedColumnFormula>'Ajoneuvorekisteri-Parse Modern '!AA2</calculatedColumnFormula>
    </tableColumn>
    <tableColumn id="17" xr3:uid="{A001BE9D-07A0-4094-A370-FA25BFC34338}" name="tyyppihyvaksyntanro">
      <calculatedColumnFormula>Ajoneuvorekisteri_Parse_Modern_XK_Range_TieliikenneAvoinData_30_06_2026_csv[[#This Row],[tyyppihyvaksyntanro]]</calculatedColumnFormula>
    </tableColumn>
    <tableColumn id="5" xr3:uid="{424F9476-E06F-400B-B60E-2A9D61269DC4}" name="Omamassa">
      <calculatedColumnFormula>'Ajoneuvorekisteri-Parse Modern '!M2</calculatedColumnFormula>
    </tableColumn>
    <tableColumn id="11" xr3:uid="{124077DD-4EB6-44C9-9B56-33DC4DE32E5D}" name="XK/XK8" dataDxfId="5">
      <calculatedColumnFormula>IF(AND(
    OR(
        ISNUMBER(SEARCH("XK ", J2)),
        ISNUMBER(SEARCH("XK8", J2))
    ),
    I2 &gt; 2005
), 1, 0)</calculatedColumnFormula>
    </tableColumn>
    <tableColumn id="10" xr3:uid="{A9263E96-8E2A-4040-8456-54BC180798B9}" name="XKR" dataDxfId="4">
      <calculatedColumnFormula>IF(OR(
    ISNUMBER(SEARCH("XKR", J2)),
), 1, 0)</calculatedColumnFormula>
    </tableColumn>
    <tableColumn id="6" xr3:uid="{325BF980-24C6-4E9E-961D-CDD2903B27A5}" name="Coupe" dataDxfId="3">
      <calculatedColumnFormula>IF(OR(
    ISNUMBER(SEARCH("COUPE", J2)),
    ISNUMBER(SEARCH("COUPÉ", J2)),
    ISNUMBER(SEARCH("COUP�", J2))
), 1, 0)</calculatedColumnFormula>
    </tableColumn>
    <tableColumn id="7" xr3:uid="{0AE2E299-5E95-4CE8-AB6B-5B802B8B40CB}" name="Convertible" dataDxfId="2">
      <calculatedColumnFormula>IF(OR(
    ISNUMBER(SEARCH("CONVERTIBLE",J2)),
    ISNUMBER(SEARCH("AVOAUTO",J2)),
    ISNUMBER(SEARCH("AVO",J2)),
    ISNUMBER(SEARCH("CABRIO",J2))
),1,0)</calculatedColumnFormula>
    </tableColumn>
    <tableColumn id="8" xr3:uid="{12899692-8A9D-477C-9BF6-88DD218FDB2A}" name="Unknown" dataDxfId="1">
      <calculatedColumnFormula>IF(AND(Table3[[#This Row],[Coupe]]&lt;&gt;1, Table3[[#This Row],[Convertible]]&lt;&gt;1), 1, 0)</calculatedColumnFormula>
    </tableColumn>
    <tableColumn id="13" xr3:uid="{BE034A29-07F6-41C7-9E02-2DD583899282}" name="BodyType" dataDxfId="0">
      <calculatedColumnFormula>IF(O2=1, "Coupe", IF(P2=1, "Convertible", "Unknown"))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ED7BE4-0E9D-4E4B-BA2F-AEC53236E71A}" name="Ajoneuvorekisteri_Parse_Modern_XK_Range_TieliikenneAvoinData_30_06_2026_csv" displayName="Ajoneuvorekisteri_Parse_Modern_XK_Range_TieliikenneAvoinData_30_06_2026_csv" ref="A1:AO257" tableType="queryTable" totalsRowShown="0">
  <autoFilter ref="A1:AO257" xr:uid="{A0ED7BE4-0E9D-4E4B-BA2F-AEC53236E71A}"/>
  <tableColumns count="41">
    <tableColumn id="1" xr3:uid="{2CAEE55B-6B20-4685-B518-0FB3C953B4E1}" uniqueName="1" name="ajoneuvoluokka" queryTableFieldId="1" dataDxfId="41"/>
    <tableColumn id="2" xr3:uid="{7294DA6F-5A8B-4987-8DF7-FF172F14B7EB}" uniqueName="2" name="ensirekisterointipvm" queryTableFieldId="2" dataDxfId="40"/>
    <tableColumn id="3" xr3:uid="{740495BF-09A5-4D2B-B24A-E0F7E2DE9530}" uniqueName="3" name="ajoneuvoryhma" queryTableFieldId="3" dataDxfId="39"/>
    <tableColumn id="4" xr3:uid="{9D42C3CC-2C7F-4D65-90EB-8908C1ADC77A}" uniqueName="4" name="ajoneuvonkaytto" queryTableFieldId="4"/>
    <tableColumn id="5" xr3:uid="{8BD686C8-6AC1-4CB9-85A6-041E8AC934E1}" uniqueName="5" name="variantti" queryTableFieldId="5" dataDxfId="38"/>
    <tableColumn id="6" xr3:uid="{704A6821-2BB2-4F6B-A588-452079D56EF1}" uniqueName="6" name="versio" queryTableFieldId="6" dataDxfId="37"/>
    <tableColumn id="7" xr3:uid="{8E9A592A-0C85-442C-A477-3EA9B928802F}" uniqueName="7" name="kayttoonottopvm" queryTableFieldId="7"/>
    <tableColumn id="8" xr3:uid="{3EFF4AB9-B218-4504-B2F1-F1435C3E53F4}" uniqueName="8" name="vari" queryTableFieldId="8" dataDxfId="36"/>
    <tableColumn id="9" xr3:uid="{C8AC903C-933B-4248-8A55-8835D4E53289}" uniqueName="9" name="ovienLukumaara" queryTableFieldId="9"/>
    <tableColumn id="10" xr3:uid="{B375CA1B-F313-4A99-A3D2-7FD5C0AAF63D}" uniqueName="10" name="korityyppi" queryTableFieldId="10" dataDxfId="35"/>
    <tableColumn id="11" xr3:uid="{4B8C77BD-3929-46D9-B0F5-832FCE618FF0}" uniqueName="11" name="ohjaamotyyppi" queryTableFieldId="11"/>
    <tableColumn id="12" xr3:uid="{DDAAE683-043C-4705-8C4D-A3A56A9CBDE0}" uniqueName="12" name="istumapaikkojenLkm" queryTableFieldId="12"/>
    <tableColumn id="13" xr3:uid="{F40D332F-F753-4BF9-8510-3875EB442D34}" uniqueName="13" name="omamassa" queryTableFieldId="13"/>
    <tableColumn id="14" xr3:uid="{B6E92F12-672B-45C1-B801-685D193E9221}" uniqueName="14" name="teknSuurSallKokmassa" queryTableFieldId="14"/>
    <tableColumn id="15" xr3:uid="{AD0B6845-2C78-4EB8-9066-FF10F3705D5E}" uniqueName="15" name="tieliikSuurSallKokmassa" queryTableFieldId="15"/>
    <tableColumn id="16" xr3:uid="{BA9E5876-577D-47FD-AC4C-22AA1734ED2B}" uniqueName="16" name="ajonKokPituus" queryTableFieldId="16"/>
    <tableColumn id="17" xr3:uid="{2066BABB-2790-4D6F-8A84-B7142199D90A}" uniqueName="17" name="ajonLeveys" queryTableFieldId="17"/>
    <tableColumn id="18" xr3:uid="{AE041495-7497-41D9-A349-86E27D85540E}" uniqueName="18" name="ajonKorkeus" queryTableFieldId="18"/>
    <tableColumn id="19" xr3:uid="{22B29D56-9439-44D6-A150-CAF8B04E05DA}" uniqueName="19" name="kayttovoima" queryTableFieldId="19"/>
    <tableColumn id="20" xr3:uid="{71929A0A-3F70-4952-A124-BD932AF601DD}" uniqueName="20" name="iskutilavuus" queryTableFieldId="20"/>
    <tableColumn id="21" xr3:uid="{1F08D727-EAEE-4BC8-A234-D95E4C028070}" uniqueName="21" name="suurinNettoteho" queryTableFieldId="21" dataDxfId="34"/>
    <tableColumn id="22" xr3:uid="{43CB5A10-B9BE-41A8-B296-1620C359BA7F}" uniqueName="22" name="sylintereidenLkm" queryTableFieldId="22"/>
    <tableColumn id="23" xr3:uid="{9BBEBEEB-0773-4973-B2C3-E5206663DABF}" uniqueName="23" name="ahdin" queryTableFieldId="23"/>
    <tableColumn id="24" xr3:uid="{BFAA3327-4E9D-4E2E-BD94-BCAF2463AD65}" uniqueName="24" name="sahkohybridi" queryTableFieldId="24"/>
    <tableColumn id="25" xr3:uid="{2B8E9B79-BCFB-4DCE-AB32-98E2AD135EC3}" uniqueName="25" name="sahkohybridinluokka" queryTableFieldId="25" dataDxfId="33"/>
    <tableColumn id="26" xr3:uid="{05B1EED1-42C0-4758-9B26-727384DDE7D8}" uniqueName="26" name="merkkiSelvakielinen" queryTableFieldId="26" dataDxfId="32"/>
    <tableColumn id="27" xr3:uid="{0490B66F-1EDD-40D3-9DF2-BBD588F16C32}" uniqueName="27" name="mallimerkinta" queryTableFieldId="27" dataDxfId="31"/>
    <tableColumn id="28" xr3:uid="{0BF0B273-F4C5-41B6-ABC7-3F389C3D2C21}" uniqueName="28" name="vaihteisto" queryTableFieldId="28"/>
    <tableColumn id="29" xr3:uid="{B3BE27EA-9AB2-497A-B3C2-AA417EBEF36E}" uniqueName="29" name="vaihteidenLkm" queryTableFieldId="29"/>
    <tableColumn id="30" xr3:uid="{B60E7023-CCB3-4384-B3C1-BA36F2C10312}" uniqueName="30" name="kaupallinenNimi" queryTableFieldId="30" dataDxfId="30"/>
    <tableColumn id="31" xr3:uid="{0E4E40B5-E0A7-4618-B1C7-C11016F6360E}" uniqueName="31" name="voimanvalJaTehostamistapa" queryTableFieldId="31"/>
    <tableColumn id="32" xr3:uid="{BAA36EC1-BC77-4177-8BB4-93FC32DF8C92}" uniqueName="32" name="tyyppihyvaksyntanro" queryTableFieldId="32" dataDxfId="29"/>
    <tableColumn id="33" xr3:uid="{8F07E303-27BA-4A62-99B1-C32A9178B898}" uniqueName="33" name="yksittaisKayttovoima" queryTableFieldId="33"/>
    <tableColumn id="34" xr3:uid="{1316844C-700F-4D8F-AC73-09607B9DB23D}" uniqueName="34" name="kunta" queryTableFieldId="34"/>
    <tableColumn id="35" xr3:uid="{207D119A-EDB3-46A0-9DDF-B0759817B6A9}" uniqueName="35" name="NEDC_Co2" queryTableFieldId="35"/>
    <tableColumn id="36" xr3:uid="{28E35B99-E3EB-4DB2-9389-5072D2C39FE1}" uniqueName="36" name="NEDC2_Co2" queryTableFieldId="36" dataDxfId="28"/>
    <tableColumn id="37" xr3:uid="{ECE7F0B1-0021-4437-8B5B-8F8237B90399}" uniqueName="37" name="WLTP_Co2" queryTableFieldId="37" dataDxfId="27"/>
    <tableColumn id="38" xr3:uid="{5DA53294-E857-499C-BD01-CDA6B90DEF07}" uniqueName="38" name="WLTP2_Co2" queryTableFieldId="38" dataDxfId="26"/>
    <tableColumn id="39" xr3:uid="{A0355369-BD91-4C0A-BE8D-52EAE7CF1F08}" uniqueName="39" name="matkamittarilukema" queryTableFieldId="39"/>
    <tableColumn id="40" xr3:uid="{879C20E5-C022-47E7-8554-5E504917F1AB}" uniqueName="40" name="valmistenumero2" queryTableFieldId="40" dataDxfId="25"/>
    <tableColumn id="41" xr3:uid="{BE810071-71F3-4E5C-AFE2-606B373825C9}" uniqueName="41" name="jarnro" queryTableFieldId="4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B685-E7C0-4629-AAA7-F18692C68152}">
  <dimension ref="A1:O286"/>
  <sheetViews>
    <sheetView tabSelected="1" workbookViewId="0">
      <selection activeCell="C2" sqref="C2"/>
    </sheetView>
  </sheetViews>
  <sheetFormatPr defaultRowHeight="15" x14ac:dyDescent="0.25"/>
  <cols>
    <col min="1" max="2" width="12.42578125" bestFit="1" customWidth="1"/>
    <col min="3" max="3" width="62" bestFit="1" customWidth="1"/>
    <col min="4" max="4" width="14.28515625" bestFit="1" customWidth="1"/>
    <col min="5" max="5" width="15" bestFit="1" customWidth="1"/>
    <col min="6" max="6" width="10.85546875" bestFit="1" customWidth="1"/>
    <col min="7" max="7" width="44.85546875" customWidth="1"/>
    <col min="8" max="8" width="22.140625" bestFit="1" customWidth="1"/>
    <col min="9" max="9" width="13.140625" customWidth="1"/>
    <col min="10" max="10" width="9.28515625" bestFit="1" customWidth="1"/>
    <col min="11" max="11" width="14" bestFit="1" customWidth="1"/>
    <col min="12" max="12" width="14" customWidth="1"/>
    <col min="14" max="15" width="12" bestFit="1" customWidth="1"/>
    <col min="17" max="17" width="11.28515625" customWidth="1"/>
    <col min="18" max="18" width="14.28515625" customWidth="1"/>
    <col min="19" max="19" width="15.42578125" customWidth="1"/>
    <col min="21" max="21" width="13" customWidth="1"/>
  </cols>
  <sheetData>
    <row r="1" spans="1:15" x14ac:dyDescent="0.25">
      <c r="A1" s="2" t="s">
        <v>40</v>
      </c>
      <c r="B1" t="s">
        <v>482</v>
      </c>
      <c r="C1" t="s">
        <v>502</v>
      </c>
      <c r="D1" t="s">
        <v>499</v>
      </c>
      <c r="E1" t="s">
        <v>481</v>
      </c>
      <c r="F1" t="s">
        <v>488</v>
      </c>
      <c r="G1" t="s">
        <v>483</v>
      </c>
      <c r="H1" t="s">
        <v>31</v>
      </c>
      <c r="I1" t="s">
        <v>486</v>
      </c>
      <c r="J1" t="s">
        <v>491</v>
      </c>
      <c r="K1" t="s">
        <v>165</v>
      </c>
      <c r="L1" t="s">
        <v>484</v>
      </c>
      <c r="M1" t="s">
        <v>485</v>
      </c>
      <c r="N1" t="s">
        <v>487</v>
      </c>
      <c r="O1" t="s">
        <v>492</v>
      </c>
    </row>
    <row r="2" spans="1:15" x14ac:dyDescent="0.25">
      <c r="A2">
        <f>'Ajoneuvorekisteri-Parse Modern '!AO33</f>
        <v>1035687</v>
      </c>
      <c r="B2" t="str">
        <f>'Ajoneuvorekisteri-Parse Modern '!AN33</f>
        <v>SAJJGAED4A</v>
      </c>
      <c r="C2" t="str" cm="1">
        <f t="array" ref="C2">_xlfn.LET(_xlpm.v,UPPER(SUBSTITUTE(CLEAN(TRIM(B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2" t="str" cm="1">
        <f t="array" ref="D2">_xlfn.LET(_xlpm.vin,SUBSTITUTE(CLEAN(TRIM(B2)),CHAR(160),""),_xlpm.rawDate,LEFT(TRIM(E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001246–008106</v>
      </c>
      <c r="E2">
        <f>'Ajoneuvorekisteri-Parse Modern '!G33</f>
        <v>19961018</v>
      </c>
      <c r="F2" t="str">
        <f>LEFT(Table34[[#This Row],[Käyttöönotto]],4)</f>
        <v>1996</v>
      </c>
      <c r="G2" t="str">
        <f>'Ajoneuvorekisteri-Parse Modern '!AA33</f>
        <v>COUPE XK8 4.0-AUTOMATIC-JGED/259</v>
      </c>
      <c r="H2" t="str">
        <f>Ajoneuvorekisteri_Parse_Modern_XK_Range_TieliikenneAvoinData_30_06_2026_csv[[#This Row],[tyyppihyvaksyntanro]]</f>
        <v>e11*95/54*0061*00</v>
      </c>
      <c r="I2">
        <f>'Ajoneuvorekisteri-Parse Modern '!M33</f>
        <v>1720</v>
      </c>
      <c r="J2">
        <f t="shared" ref="J2:J65" si="0">IF(AND(
    OR(
        ISNUMBER(SEARCH("XK ", G2)),
        ISNUMBER(SEARCH("XK8", G2))
    ),
    F2 &gt; 2005
), 1, 0)</f>
        <v>1</v>
      </c>
      <c r="K2">
        <f t="shared" ref="K2:K65" si="1">IF(OR(
    ISNUMBER(SEARCH("XKR", G2)),
), 1, 0)</f>
        <v>0</v>
      </c>
      <c r="L2">
        <f t="shared" ref="L2:L65" si="2">IF(OR(
    ISNUMBER(SEARCH("COUPE", G2)),
    ISNUMBER(SEARCH("COUPÉ", G2)),
    ISNUMBER(SEARCH("COUP�", G2))
), 1, 0)</f>
        <v>1</v>
      </c>
      <c r="M2">
        <f t="shared" ref="M2:M65" si="3">IF(OR(
    ISNUMBER(SEARCH("CONVERTIBLE",G2)),
    ISNUMBER(SEARCH("AVOAUTO",G2)),
    ISNUMBER(SEARCH("AVO",G2)),
    ISNUMBER(SEARCH("CABRIO",G2))
),1,0)</f>
        <v>0</v>
      </c>
      <c r="N2">
        <f>IF(AND(Table34[[#This Row],[Coupe]]&lt;&gt;1, Table34[[#This Row],[Convertible]]&lt;&gt;1), 1, 0)</f>
        <v>0</v>
      </c>
      <c r="O2" t="str">
        <f t="shared" ref="O2:O65" si="4">IF(L2=1, "Coupe", IF(M2=1, "Convertible", "Unknown"))</f>
        <v>Coupe</v>
      </c>
    </row>
    <row r="3" spans="1:15" x14ac:dyDescent="0.25">
      <c r="A3">
        <f>'Ajoneuvorekisteri-Parse Modern '!AO149</f>
        <v>2695845</v>
      </c>
      <c r="B3" t="str">
        <f>'Ajoneuvorekisteri-Parse Modern '!AN149</f>
        <v>SAJGX2740V</v>
      </c>
      <c r="C3" t="str" cm="1">
        <f t="array" ref="C3">_xlfn.LET(_xlpm.v,UPPER(SUBSTITUTE(CLEAN(TRIM(B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D3" t="str" cm="1">
        <f t="array" ref="D3">_xlfn.LET(_xlpm.vin,SUBSTITUTE(CLEAN(TRIM(B3)),CHAR(160),""),_xlpm.rawDate,LEFT(TRIM(E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001246–008106</v>
      </c>
      <c r="E3">
        <f>'Ajoneuvorekisteri-Parse Modern '!G149</f>
        <v>19961113</v>
      </c>
      <c r="F3" t="str">
        <f>LEFT(Table34[[#This Row],[Käyttöönotto]],4)</f>
        <v>1996</v>
      </c>
      <c r="G3" t="str">
        <f>'Ajoneuvorekisteri-Parse Modern '!AA149</f>
        <v>XK8 Avoauto (AE) 2ov 3990cm3 A</v>
      </c>
      <c r="H3" t="str">
        <f>Ajoneuvorekisteri_Parse_Modern_XK_Range_TieliikenneAvoinData_30_06_2026_csv[[#This Row],[tyyppihyvaksyntanro]]</f>
        <v>e11*2001/116*0272*01</v>
      </c>
      <c r="I3">
        <f>'Ajoneuvorekisteri-Parse Modern '!M149</f>
        <v>1720</v>
      </c>
      <c r="J3">
        <f t="shared" si="0"/>
        <v>1</v>
      </c>
      <c r="K3">
        <f t="shared" si="1"/>
        <v>0</v>
      </c>
      <c r="L3">
        <f t="shared" si="2"/>
        <v>0</v>
      </c>
      <c r="M3">
        <f t="shared" si="3"/>
        <v>1</v>
      </c>
      <c r="N3">
        <f>IF(AND(Table34[[#This Row],[Coupe]]&lt;&gt;1, Table34[[#This Row],[Convertible]]&lt;&gt;1), 1, 0)</f>
        <v>0</v>
      </c>
      <c r="O3" t="str">
        <f t="shared" si="4"/>
        <v>Convertible</v>
      </c>
    </row>
    <row r="4" spans="1:15" x14ac:dyDescent="0.25">
      <c r="A4">
        <f>'Ajoneuvorekisteri-Parse Modern '!AO87</f>
        <v>2098581</v>
      </c>
      <c r="B4" t="str">
        <f>'Ajoneuvorekisteri-Parse Modern '!AN87</f>
        <v>SAJJGAED4A</v>
      </c>
      <c r="C4" t="str" cm="1">
        <f t="array" ref="C4">_xlfn.LET(_xlpm.v,UPPER(SUBSTITUTE(CLEAN(TRIM(B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4" t="str" cm="1">
        <f t="array" ref="D4">_xlfn.LET(_xlpm.vin,SUBSTITUTE(CLEAN(TRIM(B4)),CHAR(160),""),_xlpm.rawDate,LEFT(TRIM(E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001246–008106</v>
      </c>
      <c r="E4">
        <f>'Ajoneuvorekisteri-Parse Modern '!G87</f>
        <v>19961219</v>
      </c>
      <c r="F4" t="str">
        <f>LEFT(Table34[[#This Row],[Käyttöönotto]],4)</f>
        <v>1996</v>
      </c>
      <c r="G4" t="str">
        <f>'Ajoneuvorekisteri-Parse Modern '!AA87</f>
        <v>XK Coup� (AD) 2ov 3990cm3 A</v>
      </c>
      <c r="H4" t="str">
        <f>Ajoneuvorekisteri_Parse_Modern_XK_Range_TieliikenneAvoinData_30_06_2026_csv[[#This Row],[tyyppihyvaksyntanro]]</f>
        <v/>
      </c>
      <c r="I4">
        <f>'Ajoneuvorekisteri-Parse Modern '!M87</f>
        <v>1720</v>
      </c>
      <c r="J4">
        <f t="shared" si="0"/>
        <v>1</v>
      </c>
      <c r="K4">
        <f t="shared" si="1"/>
        <v>0</v>
      </c>
      <c r="L4">
        <f t="shared" si="2"/>
        <v>1</v>
      </c>
      <c r="M4">
        <f t="shared" si="3"/>
        <v>0</v>
      </c>
      <c r="N4">
        <f>IF(AND(Table34[[#This Row],[Coupe]]&lt;&gt;1, Table34[[#This Row],[Convertible]]&lt;&gt;1), 1, 0)</f>
        <v>0</v>
      </c>
      <c r="O4" t="str">
        <f t="shared" si="4"/>
        <v>Coupe</v>
      </c>
    </row>
    <row r="5" spans="1:15" x14ac:dyDescent="0.25">
      <c r="A5">
        <f>'Ajoneuvorekisteri-Parse Modern '!AO11</f>
        <v>301741</v>
      </c>
      <c r="B5" t="str">
        <f>'Ajoneuvorekisteri-Parse Modern '!AN11</f>
        <v>SAJJGXFD4V</v>
      </c>
      <c r="C5" t="str" cm="1">
        <f t="array" ref="C5">_xlfn.LET(_xlpm.v,UPPER(SUBSTITUTE(CLEAN(TRIM(B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X100_JLM20300</v>
      </c>
      <c r="D5" t="str" cm="1">
        <f t="array" ref="D5">_xlfn.LET(_xlpm.vin,SUBSTITUTE(CLEAN(TRIM(B5)),CHAR(160),""),_xlpm.rawDate,LEFT(TRIM(E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018108–023017</v>
      </c>
      <c r="E5">
        <f>'Ajoneuvorekisteri-Parse Modern '!G11</f>
        <v>19970000</v>
      </c>
      <c r="F5" t="str">
        <f>LEFT(Table34[[#This Row],[Käyttöönotto]],4)</f>
        <v>1997</v>
      </c>
      <c r="G5" t="str">
        <f>'Ajoneuvorekisteri-Parse Modern '!AA11</f>
        <v>2D CONVERTIBLE XK8 4.0-AUTOMATIC-JGFD/259</v>
      </c>
      <c r="H5" t="str">
        <f>Ajoneuvorekisteri_Parse_Modern_XK_Range_TieliikenneAvoinData_30_06_2026_csv[[#This Row],[tyyppihyvaksyntanro]]</f>
        <v>e11*95/54*0062*03</v>
      </c>
      <c r="I5">
        <f>'Ajoneuvorekisteri-Parse Modern '!M11</f>
        <v>1850</v>
      </c>
      <c r="J5">
        <f t="shared" si="0"/>
        <v>1</v>
      </c>
      <c r="K5">
        <f t="shared" si="1"/>
        <v>0</v>
      </c>
      <c r="L5">
        <f t="shared" si="2"/>
        <v>0</v>
      </c>
      <c r="M5">
        <f t="shared" si="3"/>
        <v>1</v>
      </c>
      <c r="N5">
        <f>IF(AND(Table34[[#This Row],[Coupe]]&lt;&gt;1, Table34[[#This Row],[Convertible]]&lt;&gt;1), 1, 0)</f>
        <v>0</v>
      </c>
      <c r="O5" t="str">
        <f t="shared" si="4"/>
        <v>Convertible</v>
      </c>
    </row>
    <row r="6" spans="1:15" x14ac:dyDescent="0.25">
      <c r="A6">
        <f>'Ajoneuvorekisteri-Parse Modern '!AO22</f>
        <v>755631</v>
      </c>
      <c r="B6" t="str">
        <f>'Ajoneuvorekisteri-Parse Modern '!AN22</f>
        <v>SAJJGFXD4V</v>
      </c>
      <c r="C6" t="str" cm="1">
        <f t="array" ref="C6">_xlfn.LET(_xlpm.v,UPPER(SUBSTITUTE(CLEAN(TRIM(B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[7=X]</v>
      </c>
      <c r="D6" t="str" cm="1">
        <f t="array" ref="D6">_xlfn.LET(_xlpm.vin,SUBSTITUTE(CLEAN(TRIM(B6)),CHAR(160),""),_xlpm.rawDate,LEFT(TRIM(E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018108–023017</v>
      </c>
      <c r="E6">
        <f>'Ajoneuvorekisteri-Parse Modern '!G22</f>
        <v>19970000</v>
      </c>
      <c r="F6" t="str">
        <f>LEFT(Table34[[#This Row],[Käyttöönotto]],4)</f>
        <v>1997</v>
      </c>
      <c r="G6" t="str">
        <f>'Ajoneuvorekisteri-Parse Modern '!AA22</f>
        <v>2D CONVERTIBLE XK8 4.0-AUTOMATIC-JGFX/259</v>
      </c>
      <c r="H6" t="str">
        <f>Ajoneuvorekisteri_Parse_Modern_XK_Range_TieliikenneAvoinData_30_06_2026_csv[[#This Row],[tyyppihyvaksyntanro]]</f>
        <v>e11*95/54*0062*06</v>
      </c>
      <c r="I6">
        <f>'Ajoneuvorekisteri-Parse Modern '!M22</f>
        <v>1810</v>
      </c>
      <c r="J6">
        <f t="shared" si="0"/>
        <v>1</v>
      </c>
      <c r="K6">
        <f t="shared" si="1"/>
        <v>0</v>
      </c>
      <c r="L6">
        <f t="shared" si="2"/>
        <v>0</v>
      </c>
      <c r="M6">
        <f t="shared" si="3"/>
        <v>1</v>
      </c>
      <c r="N6">
        <f>IF(AND(Table34[[#This Row],[Coupe]]&lt;&gt;1, Table34[[#This Row],[Convertible]]&lt;&gt;1), 1, 0)</f>
        <v>0</v>
      </c>
      <c r="O6" t="str">
        <f t="shared" si="4"/>
        <v>Convertible</v>
      </c>
    </row>
    <row r="7" spans="1:15" x14ac:dyDescent="0.25">
      <c r="A7">
        <f>'Ajoneuvorekisteri-Parse Modern '!AO73</f>
        <v>1946841</v>
      </c>
      <c r="B7" t="str">
        <f>'Ajoneuvorekisteri-Parse Modern '!AN73</f>
        <v>SAJGX2740V</v>
      </c>
      <c r="C7" t="str" cm="1">
        <f t="array" ref="C7">_xlfn.LET(_xlpm.v,UPPER(SUBSTITUTE(CLEAN(TRIM(B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D7" t="str" cm="1">
        <f t="array" ref="D7">_xlfn.LET(_xlpm.vin,SUBSTITUTE(CLEAN(TRIM(B7)),CHAR(160),""),_xlpm.rawDate,LEFT(TRIM(E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018108–023017</v>
      </c>
      <c r="E7">
        <f>'Ajoneuvorekisteri-Parse Modern '!G73</f>
        <v>19970000</v>
      </c>
      <c r="F7" t="str">
        <f>LEFT(Table34[[#This Row],[Käyttöönotto]],4)</f>
        <v>1997</v>
      </c>
      <c r="G7" t="str">
        <f>'Ajoneuvorekisteri-Parse Modern '!AA73</f>
        <v>2D CONVERTIBLE XK8 4.0-AUTOMATIC-JGFD/259 Avoauto (AE) 2ov 3990cm3 A</v>
      </c>
      <c r="H7" t="str">
        <f>Ajoneuvorekisteri_Parse_Modern_XK_Range_TieliikenneAvoinData_30_06_2026_csv[[#This Row],[tyyppihyvaksyntanro]]</f>
        <v/>
      </c>
      <c r="I7">
        <f>'Ajoneuvorekisteri-Parse Modern '!M73</f>
        <v>1720</v>
      </c>
      <c r="J7">
        <f t="shared" si="0"/>
        <v>1</v>
      </c>
      <c r="K7">
        <f t="shared" si="1"/>
        <v>0</v>
      </c>
      <c r="L7">
        <f t="shared" si="2"/>
        <v>0</v>
      </c>
      <c r="M7">
        <f t="shared" si="3"/>
        <v>1</v>
      </c>
      <c r="N7">
        <f>IF(AND(Table34[[#This Row],[Coupe]]&lt;&gt;1, Table34[[#This Row],[Convertible]]&lt;&gt;1), 1, 0)</f>
        <v>0</v>
      </c>
      <c r="O7" t="str">
        <f t="shared" si="4"/>
        <v>Convertible</v>
      </c>
    </row>
    <row r="8" spans="1:15" x14ac:dyDescent="0.25">
      <c r="A8">
        <f>'Ajoneuvorekisteri-Parse Modern '!AO84</f>
        <v>2069881</v>
      </c>
      <c r="B8" t="str">
        <f>'Ajoneuvorekisteri-Parse Modern '!AN84</f>
        <v>SAJJGXFD4V</v>
      </c>
      <c r="C8" t="str" cm="1">
        <f t="array" ref="C8">_xlfn.LET(_xlpm.v,UPPER(SUBSTITUTE(CLEAN(TRIM(B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X100_JLM20300</v>
      </c>
      <c r="D8" t="str" cm="1">
        <f t="array" ref="D8">_xlfn.LET(_xlpm.vin,SUBSTITUTE(CLEAN(TRIM(B8)),CHAR(160),""),_xlpm.rawDate,LEFT(TRIM(E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018108–023017</v>
      </c>
      <c r="E8">
        <f>'Ajoneuvorekisteri-Parse Modern '!G84</f>
        <v>19970000</v>
      </c>
      <c r="F8" t="str">
        <f>LEFT(Table34[[#This Row],[Käyttöönotto]],4)</f>
        <v>1997</v>
      </c>
      <c r="G8" t="str">
        <f>'Ajoneuvorekisteri-Parse Modern '!AA84</f>
        <v>XK8 Avoauto (AE) 2ov 3990cm3 A</v>
      </c>
      <c r="H8" t="str">
        <f>Ajoneuvorekisteri_Parse_Modern_XK_Range_TieliikenneAvoinData_30_06_2026_csv[[#This Row],[tyyppihyvaksyntanro]]</f>
        <v>e11*95/54*0061*04</v>
      </c>
      <c r="I8">
        <f>'Ajoneuvorekisteri-Parse Modern '!M84</f>
        <v>1825</v>
      </c>
      <c r="J8">
        <f t="shared" si="0"/>
        <v>1</v>
      </c>
      <c r="K8">
        <f t="shared" si="1"/>
        <v>0</v>
      </c>
      <c r="L8">
        <f t="shared" si="2"/>
        <v>0</v>
      </c>
      <c r="M8">
        <f t="shared" si="3"/>
        <v>1</v>
      </c>
      <c r="N8">
        <f>IF(AND(Table34[[#This Row],[Coupe]]&lt;&gt;1, Table34[[#This Row],[Convertible]]&lt;&gt;1), 1, 0)</f>
        <v>0</v>
      </c>
      <c r="O8" t="str">
        <f t="shared" si="4"/>
        <v>Convertible</v>
      </c>
    </row>
    <row r="9" spans="1:15" x14ac:dyDescent="0.25">
      <c r="A9">
        <f>'Ajoneuvorekisteri-Parse Modern '!AO95</f>
        <v>2191738</v>
      </c>
      <c r="B9" t="str">
        <f>'Ajoneuvorekisteri-Parse Modern '!AN95</f>
        <v>SAJGX2747V</v>
      </c>
      <c r="C9" t="str" cm="1">
        <f t="array" ref="C9">_xlfn.LET(_xlpm.v,UPPER(SUBSTITUTE(CLEAN(TRIM(B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D9" t="str" cm="1">
        <f t="array" ref="D9">_xlfn.LET(_xlpm.vin,SUBSTITUTE(CLEAN(TRIM(B9)),CHAR(160),""),_xlpm.rawDate,LEFT(TRIM(E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018108–023017</v>
      </c>
      <c r="E9">
        <f>'Ajoneuvorekisteri-Parse Modern '!G95</f>
        <v>19970000</v>
      </c>
      <c r="F9" t="str">
        <f>LEFT(Table34[[#This Row],[Käyttöönotto]],4)</f>
        <v>1997</v>
      </c>
      <c r="G9" t="str">
        <f>'Ajoneuvorekisteri-Parse Modern '!AA95</f>
        <v>XK8  2ov 3990cm3 A</v>
      </c>
      <c r="H9" t="str">
        <f>Ajoneuvorekisteri_Parse_Modern_XK_Range_TieliikenneAvoinData_30_06_2026_csv[[#This Row],[tyyppihyvaksyntanro]]</f>
        <v>e11*95/54*0061*03</v>
      </c>
      <c r="I9">
        <f>'Ajoneuvorekisteri-Parse Modern '!M95</f>
        <v>1778</v>
      </c>
      <c r="J9">
        <f t="shared" si="0"/>
        <v>1</v>
      </c>
      <c r="K9">
        <f t="shared" si="1"/>
        <v>0</v>
      </c>
      <c r="L9">
        <f t="shared" si="2"/>
        <v>0</v>
      </c>
      <c r="M9">
        <f t="shared" si="3"/>
        <v>0</v>
      </c>
      <c r="N9">
        <f>IF(AND(Table34[[#This Row],[Coupe]]&lt;&gt;1, Table34[[#This Row],[Convertible]]&lt;&gt;1), 1, 0)</f>
        <v>1</v>
      </c>
      <c r="O9" t="str">
        <f t="shared" si="4"/>
        <v>Unknown</v>
      </c>
    </row>
    <row r="10" spans="1:15" x14ac:dyDescent="0.25">
      <c r="A10">
        <f>'Ajoneuvorekisteri-Parse Modern '!AO165</f>
        <v>2874333</v>
      </c>
      <c r="B10" t="str">
        <f>'Ajoneuvorekisteri-Parse Modern '!AN165</f>
        <v>SAJGX5747V</v>
      </c>
      <c r="C10" t="str" cm="1">
        <f t="array" ref="C10">_xlfn.LET(_xlpm.v,UPPER(SUBSTITUTE(CLEAN(TRIM(B10)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D10" t="str" cm="1">
        <f t="array" ref="D10">_xlfn.LET(_xlpm.vin,SUBSTITUTE(CLEAN(TRIM(B10)),CHAR(160),""),_xlpm.rawDate,LEFT(TRIM(E10)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018108–023017</v>
      </c>
      <c r="E10">
        <f>'Ajoneuvorekisteri-Parse Modern '!G165</f>
        <v>19970000</v>
      </c>
      <c r="F10" t="str">
        <f>LEFT(Table34[[#This Row],[Käyttöönotto]],4)</f>
        <v>1997</v>
      </c>
      <c r="G10" t="str">
        <f>'Ajoneuvorekisteri-Parse Modern '!AA165</f>
        <v>XK8 Coup� (AD) 2ov 3996cm3 A</v>
      </c>
      <c r="H10" t="str">
        <f>Ajoneuvorekisteri_Parse_Modern_XK_Range_TieliikenneAvoinData_30_06_2026_csv[[#This Row],[tyyppihyvaksyntanro]]</f>
        <v>e11*95/54*0061*00</v>
      </c>
      <c r="I10">
        <f>'Ajoneuvorekisteri-Parse Modern '!M165</f>
        <v>1680</v>
      </c>
      <c r="J10">
        <f t="shared" si="0"/>
        <v>1</v>
      </c>
      <c r="K10">
        <f t="shared" si="1"/>
        <v>0</v>
      </c>
      <c r="L10">
        <f t="shared" si="2"/>
        <v>1</v>
      </c>
      <c r="M10">
        <f t="shared" si="3"/>
        <v>0</v>
      </c>
      <c r="N10">
        <f>IF(AND(Table34[[#This Row],[Coupe]]&lt;&gt;1, Table34[[#This Row],[Convertible]]&lt;&gt;1), 1, 0)</f>
        <v>0</v>
      </c>
      <c r="O10" t="str">
        <f t="shared" si="4"/>
        <v>Coupe</v>
      </c>
    </row>
    <row r="11" spans="1:15" x14ac:dyDescent="0.25">
      <c r="A11">
        <f>'Ajoneuvorekisteri-Parse Modern '!AO200</f>
        <v>3359561</v>
      </c>
      <c r="B11" t="str">
        <f>'Ajoneuvorekisteri-Parse Modern '!AN200</f>
        <v>SAJGX2748V</v>
      </c>
      <c r="C11" t="str" cm="1">
        <f t="array" ref="C11">_xlfn.LET(_xlpm.v,UPPER(SUBSTITUTE(CLEAN(TRIM(B11)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D11" t="str" cm="1">
        <f t="array" ref="D11">_xlfn.LET(_xlpm.vin,SUBSTITUTE(CLEAN(TRIM(B11)),CHAR(160),""),_xlpm.rawDate,LEFT(TRIM(E11)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018108–023017</v>
      </c>
      <c r="E11">
        <f>'Ajoneuvorekisteri-Parse Modern '!G200</f>
        <v>19970000</v>
      </c>
      <c r="F11" t="str">
        <f>LEFT(Table34[[#This Row],[Käyttöönotto]],4)</f>
        <v>1997</v>
      </c>
      <c r="G11" t="str">
        <f>'Ajoneuvorekisteri-Parse Modern '!AA200</f>
        <v>XK8 Avoauto (AE) 2ov A</v>
      </c>
      <c r="H11" t="str">
        <f>Ajoneuvorekisteri_Parse_Modern_XK_Range_TieliikenneAvoinData_30_06_2026_csv[[#This Row],[tyyppihyvaksyntanro]]</f>
        <v/>
      </c>
      <c r="I11">
        <f>'Ajoneuvorekisteri-Parse Modern '!M200</f>
        <v>1715</v>
      </c>
      <c r="J11">
        <f t="shared" si="0"/>
        <v>1</v>
      </c>
      <c r="K11">
        <f t="shared" si="1"/>
        <v>0</v>
      </c>
      <c r="L11">
        <f t="shared" si="2"/>
        <v>0</v>
      </c>
      <c r="M11">
        <f t="shared" si="3"/>
        <v>1</v>
      </c>
      <c r="N11">
        <f>IF(AND(Table34[[#This Row],[Coupe]]&lt;&gt;1, Table34[[#This Row],[Convertible]]&lt;&gt;1), 1, 0)</f>
        <v>0</v>
      </c>
      <c r="O11" t="str">
        <f t="shared" si="4"/>
        <v>Convertible</v>
      </c>
    </row>
    <row r="12" spans="1:15" x14ac:dyDescent="0.25">
      <c r="A12">
        <f>'Ajoneuvorekisteri-Parse Modern '!AO223</f>
        <v>3727926</v>
      </c>
      <c r="B12" t="str">
        <f>'Ajoneuvorekisteri-Parse Modern '!AN223</f>
        <v>SAJJGNED4V</v>
      </c>
      <c r="C12" t="str" cm="1">
        <f t="array" ref="C12">_xlfn.LET(_xlpm.v,UPPER(SUBSTITUTE(CLEAN(TRIM(B12)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X100_JLM20300</v>
      </c>
      <c r="D12" t="str" cm="1">
        <f t="array" ref="D12">_xlfn.LET(_xlpm.vin,SUBSTITUTE(CLEAN(TRIM(B12)),CHAR(160),""),_xlpm.rawDate,LEFT(TRIM(E12)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018108–023017</v>
      </c>
      <c r="E12">
        <f>'Ajoneuvorekisteri-Parse Modern '!G223</f>
        <v>19970000</v>
      </c>
      <c r="F12" t="str">
        <f>LEFT(Table34[[#This Row],[Käyttöönotto]],4)</f>
        <v>1997</v>
      </c>
      <c r="G12" t="str">
        <f>'Ajoneuvorekisteri-Parse Modern '!AA223</f>
        <v>XK8 Coup� (AD) 2ov 3990cm3 A</v>
      </c>
      <c r="H12" t="str">
        <f>Ajoneuvorekisteri_Parse_Modern_XK_Range_TieliikenneAvoinData_30_06_2026_csv[[#This Row],[tyyppihyvaksyntanro]]</f>
        <v>e11*95/54*0062*00</v>
      </c>
      <c r="I12">
        <f>'Ajoneuvorekisteri-Parse Modern '!M223</f>
        <v>1735</v>
      </c>
      <c r="J12">
        <f t="shared" si="0"/>
        <v>1</v>
      </c>
      <c r="K12">
        <f t="shared" si="1"/>
        <v>0</v>
      </c>
      <c r="L12">
        <f t="shared" si="2"/>
        <v>1</v>
      </c>
      <c r="M12">
        <f t="shared" si="3"/>
        <v>0</v>
      </c>
      <c r="N12">
        <f>IF(AND(Table34[[#This Row],[Coupe]]&lt;&gt;1, Table34[[#This Row],[Convertible]]&lt;&gt;1), 1, 0)</f>
        <v>0</v>
      </c>
      <c r="O12" t="str">
        <f t="shared" si="4"/>
        <v>Coupe</v>
      </c>
    </row>
    <row r="13" spans="1:15" x14ac:dyDescent="0.25">
      <c r="A13">
        <f>'Ajoneuvorekisteri-Parse Modern '!AO240</f>
        <v>4172689</v>
      </c>
      <c r="B13" t="str">
        <f>'Ajoneuvorekisteri-Parse Modern '!AN240</f>
        <v>SAJGX2749V</v>
      </c>
      <c r="C13" t="str" cm="1">
        <f t="array" ref="C13">_xlfn.LET(_xlpm.v,UPPER(SUBSTITUTE(CLEAN(TRIM(B13)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D13" t="str" cm="1">
        <f t="array" ref="D13">_xlfn.LET(_xlpm.vin,SUBSTITUTE(CLEAN(TRIM(B13)),CHAR(160),""),_xlpm.rawDate,LEFT(TRIM(E13)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018108–023017</v>
      </c>
      <c r="E13">
        <f>'Ajoneuvorekisteri-Parse Modern '!G240</f>
        <v>19970000</v>
      </c>
      <c r="F13" t="str">
        <f>LEFT(Table34[[#This Row],[Käyttöönotto]],4)</f>
        <v>1997</v>
      </c>
      <c r="G13" t="str">
        <f>'Ajoneuvorekisteri-Parse Modern '!AA240</f>
        <v>XK Avoauto (AE) 2ov 3996cm3 A</v>
      </c>
      <c r="H13" t="str">
        <f>Ajoneuvorekisteri_Parse_Modern_XK_Range_TieliikenneAvoinData_30_06_2026_csv[[#This Row],[tyyppihyvaksyntanro]]</f>
        <v>e11*95/54*0061*05</v>
      </c>
      <c r="I13">
        <f>'Ajoneuvorekisteri-Parse Modern '!M240</f>
        <v>1720</v>
      </c>
      <c r="J13">
        <f t="shared" si="0"/>
        <v>1</v>
      </c>
      <c r="K13">
        <f t="shared" si="1"/>
        <v>0</v>
      </c>
      <c r="L13">
        <f t="shared" si="2"/>
        <v>0</v>
      </c>
      <c r="M13">
        <f t="shared" si="3"/>
        <v>1</v>
      </c>
      <c r="N13">
        <f>IF(AND(Table34[[#This Row],[Coupe]]&lt;&gt;1, Table34[[#This Row],[Convertible]]&lt;&gt;1), 1, 0)</f>
        <v>0</v>
      </c>
      <c r="O13" t="str">
        <f t="shared" si="4"/>
        <v>Convertible</v>
      </c>
    </row>
    <row r="14" spans="1:15" x14ac:dyDescent="0.25">
      <c r="A14">
        <f>'Ajoneuvorekisteri-Parse Modern '!AO117</f>
        <v>2402120</v>
      </c>
      <c r="B14" t="str">
        <f>'Ajoneuvorekisteri-Parse Modern '!AN117</f>
        <v>SAJGX2746V</v>
      </c>
      <c r="C14" t="str" cm="1">
        <f t="array" ref="C14">_xlfn.LET(_xlpm.v,UPPER(SUBSTITUTE(CLEAN(TRIM(B14)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D14" t="str" cm="1">
        <f t="array" ref="D14">_xlfn.LET(_xlpm.vin,SUBSTITUTE(CLEAN(TRIM(B14)),CHAR(160),""),_xlpm.rawDate,LEFT(TRIM(E14)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E14">
        <f>'Ajoneuvorekisteri-Parse Modern '!G117</f>
        <v>19970101</v>
      </c>
      <c r="F14" t="str">
        <f>LEFT(Table34[[#This Row],[Käyttöönotto]],4)</f>
        <v>1997</v>
      </c>
      <c r="G14" t="str">
        <f>'Ajoneuvorekisteri-Parse Modern '!AA117</f>
        <v>2D CONVERTIBLE XK8 4.0-AUTOMATIC-JGX2/259</v>
      </c>
      <c r="H14" t="str">
        <f>Ajoneuvorekisteri_Parse_Modern_XK_Range_TieliikenneAvoinData_30_06_2026_csv[[#This Row],[tyyppihyvaksyntanro]]</f>
        <v>e11*95/54*0062*04</v>
      </c>
      <c r="I14">
        <f>'Ajoneuvorekisteri-Parse Modern '!M117</f>
        <v>1760</v>
      </c>
      <c r="J14">
        <f t="shared" si="0"/>
        <v>1</v>
      </c>
      <c r="K14">
        <f t="shared" si="1"/>
        <v>0</v>
      </c>
      <c r="L14">
        <f t="shared" si="2"/>
        <v>0</v>
      </c>
      <c r="M14">
        <f t="shared" si="3"/>
        <v>1</v>
      </c>
      <c r="N14">
        <f>IF(AND(Table34[[#This Row],[Coupe]]&lt;&gt;1, Table34[[#This Row],[Convertible]]&lt;&gt;1), 1, 0)</f>
        <v>0</v>
      </c>
      <c r="O14" t="str">
        <f t="shared" si="4"/>
        <v>Convertible</v>
      </c>
    </row>
    <row r="15" spans="1:15" x14ac:dyDescent="0.25">
      <c r="A15">
        <f>'Ajoneuvorekisteri-Parse Modern '!AO148</f>
        <v>2691340</v>
      </c>
      <c r="B15" t="str">
        <f>'Ajoneuvorekisteri-Parse Modern '!AN148</f>
        <v>SAJGX2746V</v>
      </c>
      <c r="C15" t="str" cm="1">
        <f t="array" ref="C15">_xlfn.LET(_xlpm.v,UPPER(SUBSTITUTE(CLEAN(TRIM(B15)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D15" t="str" cm="1">
        <f t="array" ref="D15">_xlfn.LET(_xlpm.vin,SUBSTITUTE(CLEAN(TRIM(B15)),CHAR(160),""),_xlpm.rawDate,LEFT(TRIM(E15)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E15">
        <f>'Ajoneuvorekisteri-Parse Modern '!G148</f>
        <v>19970101</v>
      </c>
      <c r="F15" t="str">
        <f>LEFT(Table34[[#This Row],[Käyttöönotto]],4)</f>
        <v>1997</v>
      </c>
      <c r="G15" t="str">
        <f>'Ajoneuvorekisteri-Parse Modern '!AA148</f>
        <v>XK8 Avoauto (AE) 2ov 3994cm3 A</v>
      </c>
      <c r="H15" t="str">
        <f>Ajoneuvorekisteri_Parse_Modern_XK_Range_TieliikenneAvoinData_30_06_2026_csv[[#This Row],[tyyppihyvaksyntanro]]</f>
        <v>e11*95/54*0061*03</v>
      </c>
      <c r="I15">
        <f>'Ajoneuvorekisteri-Parse Modern '!M148</f>
        <v>1760</v>
      </c>
      <c r="J15">
        <f t="shared" si="0"/>
        <v>1</v>
      </c>
      <c r="K15">
        <f t="shared" si="1"/>
        <v>0</v>
      </c>
      <c r="L15">
        <f t="shared" si="2"/>
        <v>0</v>
      </c>
      <c r="M15">
        <f t="shared" si="3"/>
        <v>1</v>
      </c>
      <c r="N15">
        <f>IF(AND(Table34[[#This Row],[Coupe]]&lt;&gt;1, Table34[[#This Row],[Convertible]]&lt;&gt;1), 1, 0)</f>
        <v>0</v>
      </c>
      <c r="O15" t="str">
        <f t="shared" si="4"/>
        <v>Convertible</v>
      </c>
    </row>
    <row r="16" spans="1:15" x14ac:dyDescent="0.25">
      <c r="A16">
        <f>'Ajoneuvorekisteri-Parse Modern '!AO154</f>
        <v>2716513</v>
      </c>
      <c r="B16" t="str">
        <f>'Ajoneuvorekisteri-Parse Modern '!AN154</f>
        <v>SAJGX2241W</v>
      </c>
      <c r="C16" t="str" cm="1">
        <f t="array" ref="C16">_xlfn.LET(_xlpm.v,UPPER(SUBSTITUTE(CLEAN(TRIM(B16)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D16" t="str" cm="1">
        <f t="array" ref="D16">_xlfn.LET(_xlpm.vin,SUBSTITUTE(CLEAN(TRIM(B16)),CHAR(160),""),_xlpm.rawDate,LEFT(TRIM(E16)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E16">
        <f>'Ajoneuvorekisteri-Parse Modern '!G154</f>
        <v>19970101</v>
      </c>
      <c r="F16" t="str">
        <f>LEFT(Table34[[#This Row],[Käyttöönotto]],4)</f>
        <v>1997</v>
      </c>
      <c r="G16" t="str">
        <f>'Ajoneuvorekisteri-Parse Modern '!AA154</f>
        <v>XK8 Convertible Avoauto (AE) 2ov 3996cm3 A</v>
      </c>
      <c r="H16" t="str">
        <f>Ajoneuvorekisteri_Parse_Modern_XK_Range_TieliikenneAvoinData_30_06_2026_csv[[#This Row],[tyyppihyvaksyntanro]]</f>
        <v>e11*95/54*0061*08</v>
      </c>
      <c r="I16">
        <f>'Ajoneuvorekisteri-Parse Modern '!M154</f>
        <v>1780</v>
      </c>
      <c r="J16">
        <f t="shared" si="0"/>
        <v>1</v>
      </c>
      <c r="K16">
        <f t="shared" si="1"/>
        <v>0</v>
      </c>
      <c r="L16">
        <f t="shared" si="2"/>
        <v>0</v>
      </c>
      <c r="M16">
        <f t="shared" si="3"/>
        <v>1</v>
      </c>
      <c r="N16">
        <f>IF(AND(Table34[[#This Row],[Coupe]]&lt;&gt;1, Table34[[#This Row],[Convertible]]&lt;&gt;1), 1, 0)</f>
        <v>0</v>
      </c>
      <c r="O16" t="str">
        <f t="shared" si="4"/>
        <v>Convertible</v>
      </c>
    </row>
    <row r="17" spans="1:15" x14ac:dyDescent="0.25">
      <c r="A17">
        <f>'Ajoneuvorekisteri-Parse Modern '!AO169</f>
        <v>2914546</v>
      </c>
      <c r="B17" t="str">
        <f>'Ajoneuvorekisteri-Parse Modern '!AN169</f>
        <v>SAJJGAED4A</v>
      </c>
      <c r="C17" t="str" cm="1">
        <f t="array" ref="C17">_xlfn.LET(_xlpm.v,UPPER(SUBSTITUTE(CLEAN(TRIM(B17)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17" t="str" cm="1">
        <f t="array" ref="D17">_xlfn.LET(_xlpm.vin,SUBSTITUTE(CLEAN(TRIM(B17)),CHAR(160),""),_xlpm.rawDate,LEFT(TRIM(E17)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E17">
        <f>'Ajoneuvorekisteri-Parse Modern '!G169</f>
        <v>19970204</v>
      </c>
      <c r="F17" t="str">
        <f>LEFT(Table34[[#This Row],[Käyttöönotto]],4)</f>
        <v>1997</v>
      </c>
      <c r="G17" t="str">
        <f>'Ajoneuvorekisteri-Parse Modern '!AA169</f>
        <v>XK8 Coup� (AD) 2ov 3996cm3 A</v>
      </c>
      <c r="H17" t="str">
        <f>Ajoneuvorekisteri_Parse_Modern_XK_Range_TieliikenneAvoinData_30_06_2026_csv[[#This Row],[tyyppihyvaksyntanro]]</f>
        <v>e11*2001/116*0272*00</v>
      </c>
      <c r="I17">
        <f>'Ajoneuvorekisteri-Parse Modern '!M169</f>
        <v>1720</v>
      </c>
      <c r="J17">
        <f t="shared" si="0"/>
        <v>1</v>
      </c>
      <c r="K17">
        <f t="shared" si="1"/>
        <v>0</v>
      </c>
      <c r="L17">
        <f t="shared" si="2"/>
        <v>1</v>
      </c>
      <c r="M17">
        <f t="shared" si="3"/>
        <v>0</v>
      </c>
      <c r="N17">
        <f>IF(AND(Table34[[#This Row],[Coupe]]&lt;&gt;1, Table34[[#This Row],[Convertible]]&lt;&gt;1), 1, 0)</f>
        <v>0</v>
      </c>
      <c r="O17" t="str">
        <f t="shared" si="4"/>
        <v>Coupe</v>
      </c>
    </row>
    <row r="18" spans="1:15" x14ac:dyDescent="0.25">
      <c r="A18">
        <f>'Ajoneuvorekisteri-Parse Modern '!AO21</f>
        <v>709363</v>
      </c>
      <c r="B18" t="str">
        <f>'Ajoneuvorekisteri-Parse Modern '!AN21</f>
        <v>SAJJGAED4A</v>
      </c>
      <c r="C18" t="str" cm="1">
        <f t="array" ref="C18">_xlfn.LET(_xlpm.v,UPPER(SUBSTITUTE(CLEAN(TRIM(B18)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18" t="str" cm="1">
        <f t="array" ref="D18">_xlfn.LET(_xlpm.vin,SUBSTITUTE(CLEAN(TRIM(B18)),CHAR(160),""),_xlpm.rawDate,LEFT(TRIM(E18)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E18">
        <f>'Ajoneuvorekisteri-Parse Modern '!G21</f>
        <v>19970207</v>
      </c>
      <c r="F18" t="str">
        <f>LEFT(Table34[[#This Row],[Käyttöönotto]],4)</f>
        <v>1997</v>
      </c>
      <c r="G18" t="str">
        <f>'Ajoneuvorekisteri-Parse Modern '!AA21</f>
        <v>COUPE XK8 4.0-AUTOMATIC-JGED/259</v>
      </c>
      <c r="H18" t="str">
        <f>Ajoneuvorekisteri_Parse_Modern_XK_Range_TieliikenneAvoinData_30_06_2026_csv[[#This Row],[tyyppihyvaksyntanro]]</f>
        <v>e11*2001/116*0272*00</v>
      </c>
      <c r="I18">
        <f>'Ajoneuvorekisteri-Parse Modern '!M21</f>
        <v>1720</v>
      </c>
      <c r="J18">
        <f t="shared" si="0"/>
        <v>1</v>
      </c>
      <c r="K18">
        <f t="shared" si="1"/>
        <v>0</v>
      </c>
      <c r="L18">
        <f t="shared" si="2"/>
        <v>1</v>
      </c>
      <c r="M18">
        <f t="shared" si="3"/>
        <v>0</v>
      </c>
      <c r="N18">
        <f>IF(AND(Table34[[#This Row],[Coupe]]&lt;&gt;1, Table34[[#This Row],[Convertible]]&lt;&gt;1), 1, 0)</f>
        <v>0</v>
      </c>
      <c r="O18" t="str">
        <f t="shared" si="4"/>
        <v>Coupe</v>
      </c>
    </row>
    <row r="19" spans="1:15" x14ac:dyDescent="0.25">
      <c r="A19">
        <f>'Ajoneuvorekisteri-Parse Modern '!AO61</f>
        <v>1663898</v>
      </c>
      <c r="B19" t="str">
        <f>'Ajoneuvorekisteri-Parse Modern '!AN61</f>
        <v>SAJJGAFD4A</v>
      </c>
      <c r="C19" t="str" cm="1">
        <f t="array" ref="C19">_xlfn.LET(_xlpm.v,UPPER(SUBSTITUTE(CLEAN(TRIM(B19)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19" t="str" cm="1">
        <f t="array" ref="D19">_xlfn.LET(_xlpm.vin,SUBSTITUTE(CLEAN(TRIM(B19)),CHAR(160),""),_xlpm.rawDate,LEFT(TRIM(E19)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E19">
        <f>'Ajoneuvorekisteri-Parse Modern '!G61</f>
        <v>19970326</v>
      </c>
      <c r="F19" t="str">
        <f>LEFT(Table34[[#This Row],[Käyttöönotto]],4)</f>
        <v>1997</v>
      </c>
      <c r="G19" t="str">
        <f>'Ajoneuvorekisteri-Parse Modern '!AA61</f>
        <v>2D CONVERTIBLE XK8 4.0-AUTOMATIC-JGAF/259</v>
      </c>
      <c r="H19" t="str">
        <f>Ajoneuvorekisteri_Parse_Modern_XK_Range_TieliikenneAvoinData_30_06_2026_csv[[#This Row],[tyyppihyvaksyntanro]]</f>
        <v>e11*95/54*0061*00</v>
      </c>
      <c r="I19">
        <f>'Ajoneuvorekisteri-Parse Modern '!M61</f>
        <v>1720</v>
      </c>
      <c r="J19">
        <f t="shared" si="0"/>
        <v>1</v>
      </c>
      <c r="K19">
        <f t="shared" si="1"/>
        <v>0</v>
      </c>
      <c r="L19">
        <f t="shared" si="2"/>
        <v>0</v>
      </c>
      <c r="M19">
        <f t="shared" si="3"/>
        <v>1</v>
      </c>
      <c r="N19">
        <f>IF(AND(Table34[[#This Row],[Coupe]]&lt;&gt;1, Table34[[#This Row],[Convertible]]&lt;&gt;1), 1, 0)</f>
        <v>0</v>
      </c>
      <c r="O19" t="str">
        <f t="shared" si="4"/>
        <v>Convertible</v>
      </c>
    </row>
    <row r="20" spans="1:15" x14ac:dyDescent="0.25">
      <c r="A20">
        <f>'Ajoneuvorekisteri-Parse Modern '!AO136</f>
        <v>2568375</v>
      </c>
      <c r="B20" t="str">
        <f>'Ajoneuvorekisteri-Parse Modern '!AN136</f>
        <v>SAJGX2742V</v>
      </c>
      <c r="C20" t="str" cm="1">
        <f t="array" ref="C20">_xlfn.LET(_xlpm.v,UPPER(SUBSTITUTE(CLEAN(TRIM(B20)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D20" t="str" cm="1">
        <f t="array" ref="D20">_xlfn.LET(_xlpm.vin,SUBSTITUTE(CLEAN(TRIM(B20)),CHAR(160),""),_xlpm.rawDate,LEFT(TRIM(E20)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E20">
        <f>'Ajoneuvorekisteri-Parse Modern '!G136</f>
        <v>19970402</v>
      </c>
      <c r="F20" t="str">
        <f>LEFT(Table34[[#This Row],[Käyttöönotto]],4)</f>
        <v>1997</v>
      </c>
      <c r="G20" t="str">
        <f>'Ajoneuvorekisteri-Parse Modern '!AA136</f>
        <v>XK8 Avoauto (AE) 2ov 3990cm3 A</v>
      </c>
      <c r="H20" t="str">
        <f>Ajoneuvorekisteri_Parse_Modern_XK_Range_TieliikenneAvoinData_30_06_2026_csv[[#This Row],[tyyppihyvaksyntanro]]</f>
        <v>e11*95/54*0061*00</v>
      </c>
      <c r="I20">
        <f>'Ajoneuvorekisteri-Parse Modern '!M136</f>
        <v>1720</v>
      </c>
      <c r="J20">
        <f t="shared" si="0"/>
        <v>1</v>
      </c>
      <c r="K20">
        <f t="shared" si="1"/>
        <v>0</v>
      </c>
      <c r="L20">
        <f t="shared" si="2"/>
        <v>0</v>
      </c>
      <c r="M20">
        <f t="shared" si="3"/>
        <v>1</v>
      </c>
      <c r="N20">
        <f>IF(AND(Table34[[#This Row],[Coupe]]&lt;&gt;1, Table34[[#This Row],[Convertible]]&lt;&gt;1), 1, 0)</f>
        <v>0</v>
      </c>
      <c r="O20" t="str">
        <f t="shared" si="4"/>
        <v>Convertible</v>
      </c>
    </row>
    <row r="21" spans="1:15" x14ac:dyDescent="0.25">
      <c r="A21">
        <f>'Ajoneuvorekisteri-Parse Modern '!AO2</f>
        <v>18635</v>
      </c>
      <c r="B21" t="str">
        <f>'Ajoneuvorekisteri-Parse Modern '!AN2</f>
        <v>SAJJGAED4A</v>
      </c>
      <c r="C21" t="str" cm="1">
        <f t="array" ref="C21">_xlfn.LET(_xlpm.v,UPPER(SUBSTITUTE(CLEAN(TRIM(B21)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21" t="str" cm="1">
        <f t="array" ref="D21">_xlfn.LET(_xlpm.vin,SUBSTITUTE(CLEAN(TRIM(B21)),CHAR(160),""),_xlpm.rawDate,LEFT(TRIM(E21)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E21">
        <f>'Ajoneuvorekisteri-Parse Modern '!G2</f>
        <v>19970404</v>
      </c>
      <c r="F21" t="str">
        <f>LEFT(Table34[[#This Row],[Käyttöönotto]],4)</f>
        <v>1997</v>
      </c>
      <c r="G21" t="str">
        <f>'Ajoneuvorekisteri-Parse Modern '!AA2</f>
        <v>COUPE XK8 4.0-AUTOMATIC-JGED/259</v>
      </c>
      <c r="H21" t="str">
        <f>Ajoneuvorekisteri_Parse_Modern_XK_Range_TieliikenneAvoinData_30_06_2026_csv[[#This Row],[tyyppihyvaksyntanro]]</f>
        <v/>
      </c>
      <c r="I21">
        <f>'Ajoneuvorekisteri-Parse Modern '!M2</f>
        <v>1720</v>
      </c>
      <c r="J21">
        <f t="shared" si="0"/>
        <v>1</v>
      </c>
      <c r="K21">
        <f t="shared" si="1"/>
        <v>0</v>
      </c>
      <c r="L21">
        <f t="shared" si="2"/>
        <v>1</v>
      </c>
      <c r="M21">
        <f t="shared" si="3"/>
        <v>0</v>
      </c>
      <c r="N21">
        <f>IF(AND(Table34[[#This Row],[Coupe]]&lt;&gt;1, Table34[[#This Row],[Convertible]]&lt;&gt;1), 1, 0)</f>
        <v>0</v>
      </c>
      <c r="O21" t="str">
        <f t="shared" si="4"/>
        <v>Coupe</v>
      </c>
    </row>
    <row r="22" spans="1:15" x14ac:dyDescent="0.25">
      <c r="A22">
        <f>'Ajoneuvorekisteri-Parse Modern '!AO80</f>
        <v>2059466</v>
      </c>
      <c r="B22" t="str">
        <f>'Ajoneuvorekisteri-Parse Modern '!AN80</f>
        <v>SAJGX2740V</v>
      </c>
      <c r="C22" t="str" cm="1">
        <f t="array" ref="C22">_xlfn.LET(_xlpm.v,UPPER(SUBSTITUTE(CLEAN(TRIM(B22)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D22" t="str" cm="1">
        <f t="array" ref="D22">_xlfn.LET(_xlpm.vin,SUBSTITUTE(CLEAN(TRIM(B22)),CHAR(160),""),_xlpm.rawDate,LEFT(TRIM(E22)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E22">
        <f>'Ajoneuvorekisteri-Parse Modern '!G80</f>
        <v>19970415</v>
      </c>
      <c r="F22" t="str">
        <f>LEFT(Table34[[#This Row],[Käyttöönotto]],4)</f>
        <v>1997</v>
      </c>
      <c r="G22" t="str">
        <f>'Ajoneuvorekisteri-Parse Modern '!AA80</f>
        <v>XK 8 Avoauto (AE) 2ov 3990cm3</v>
      </c>
      <c r="H22" t="str">
        <f>Ajoneuvorekisteri_Parse_Modern_XK_Range_TieliikenneAvoinData_30_06_2026_csv[[#This Row],[tyyppihyvaksyntanro]]</f>
        <v/>
      </c>
      <c r="I22">
        <f>'Ajoneuvorekisteri-Parse Modern '!M80</f>
        <v>1810</v>
      </c>
      <c r="J22">
        <f t="shared" si="0"/>
        <v>1</v>
      </c>
      <c r="K22">
        <f t="shared" si="1"/>
        <v>0</v>
      </c>
      <c r="L22">
        <f t="shared" si="2"/>
        <v>0</v>
      </c>
      <c r="M22">
        <f t="shared" si="3"/>
        <v>1</v>
      </c>
      <c r="N22">
        <f>IF(AND(Table34[[#This Row],[Coupe]]&lt;&gt;1, Table34[[#This Row],[Convertible]]&lt;&gt;1), 1, 0)</f>
        <v>0</v>
      </c>
      <c r="O22" t="str">
        <f t="shared" si="4"/>
        <v>Convertible</v>
      </c>
    </row>
    <row r="23" spans="1:15" x14ac:dyDescent="0.25">
      <c r="A23">
        <f>'Ajoneuvorekisteri-Parse Modern '!AO19</f>
        <v>627492</v>
      </c>
      <c r="B23" t="str">
        <f>'Ajoneuvorekisteri-Parse Modern '!AN19</f>
        <v>SAJJGAED4A</v>
      </c>
      <c r="C23" t="str" cm="1">
        <f t="array" ref="C23">_xlfn.LET(_xlpm.v,UPPER(SUBSTITUTE(CLEAN(TRIM(B23)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23" t="str" cm="1">
        <f t="array" ref="D23">_xlfn.LET(_xlpm.vin,SUBSTITUTE(CLEAN(TRIM(B23)),CHAR(160),""),_xlpm.rawDate,LEFT(TRIM(E23)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E23">
        <f>'Ajoneuvorekisteri-Parse Modern '!G19</f>
        <v>19970516</v>
      </c>
      <c r="F23" t="str">
        <f>LEFT(Table34[[#This Row],[Käyttöönotto]],4)</f>
        <v>1997</v>
      </c>
      <c r="G23" t="str">
        <f>'Ajoneuvorekisteri-Parse Modern '!AA19</f>
        <v>COUPE XK8 4.0-AUTOMATIC-JGED/259</v>
      </c>
      <c r="H23" t="str">
        <f>Ajoneuvorekisteri_Parse_Modern_XK_Range_TieliikenneAvoinData_30_06_2026_csv[[#This Row],[tyyppihyvaksyntanro]]</f>
        <v>e11*95/54*0061*01</v>
      </c>
      <c r="I23">
        <f>'Ajoneuvorekisteri-Parse Modern '!M19</f>
        <v>1720</v>
      </c>
      <c r="J23">
        <f t="shared" si="0"/>
        <v>1</v>
      </c>
      <c r="K23">
        <f t="shared" si="1"/>
        <v>0</v>
      </c>
      <c r="L23">
        <f t="shared" si="2"/>
        <v>1</v>
      </c>
      <c r="M23">
        <f t="shared" si="3"/>
        <v>0</v>
      </c>
      <c r="N23">
        <f>IF(AND(Table34[[#This Row],[Coupe]]&lt;&gt;1, Table34[[#This Row],[Convertible]]&lt;&gt;1), 1, 0)</f>
        <v>0</v>
      </c>
      <c r="O23" t="str">
        <f t="shared" si="4"/>
        <v>Coupe</v>
      </c>
    </row>
    <row r="24" spans="1:15" x14ac:dyDescent="0.25">
      <c r="A24">
        <f>'Ajoneuvorekisteri-Parse Modern '!AO83</f>
        <v>2064701</v>
      </c>
      <c r="B24" t="str">
        <f>'Ajoneuvorekisteri-Parse Modern '!AN83</f>
        <v>SAJJGAED4A</v>
      </c>
      <c r="C24" t="str" cm="1">
        <f t="array" ref="C24">_xlfn.LET(_xlpm.v,UPPER(SUBSTITUTE(CLEAN(TRIM(B24)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24" t="str" cm="1">
        <f t="array" ref="D24">_xlfn.LET(_xlpm.vin,SUBSTITUTE(CLEAN(TRIM(B24)),CHAR(160),""),_xlpm.rawDate,LEFT(TRIM(E24)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E24">
        <f>'Ajoneuvorekisteri-Parse Modern '!G83</f>
        <v>19970527</v>
      </c>
      <c r="F24" t="str">
        <f>LEFT(Table34[[#This Row],[Käyttöönotto]],4)</f>
        <v>1997</v>
      </c>
      <c r="G24" t="str">
        <f>'Ajoneuvorekisteri-Parse Modern '!AA83</f>
        <v>XK Coup� (AD) 2ov 3996cm3 A</v>
      </c>
      <c r="H24" t="str">
        <f>Ajoneuvorekisteri_Parse_Modern_XK_Range_TieliikenneAvoinData_30_06_2026_csv[[#This Row],[tyyppihyvaksyntanro]]</f>
        <v>e11*95/54*0061*02</v>
      </c>
      <c r="I24">
        <f>'Ajoneuvorekisteri-Parse Modern '!M83</f>
        <v>1720</v>
      </c>
      <c r="J24">
        <f t="shared" si="0"/>
        <v>1</v>
      </c>
      <c r="K24">
        <f t="shared" si="1"/>
        <v>0</v>
      </c>
      <c r="L24">
        <f t="shared" si="2"/>
        <v>1</v>
      </c>
      <c r="M24">
        <f t="shared" si="3"/>
        <v>0</v>
      </c>
      <c r="N24">
        <f>IF(AND(Table34[[#This Row],[Coupe]]&lt;&gt;1, Table34[[#This Row],[Convertible]]&lt;&gt;1), 1, 0)</f>
        <v>0</v>
      </c>
      <c r="O24" t="str">
        <f t="shared" si="4"/>
        <v>Coupe</v>
      </c>
    </row>
    <row r="25" spans="1:15" x14ac:dyDescent="0.25">
      <c r="A25">
        <f>'Ajoneuvorekisteri-Parse Modern '!AO226</f>
        <v>3777734</v>
      </c>
      <c r="B25" t="str">
        <f>'Ajoneuvorekisteri-Parse Modern '!AN226</f>
        <v>SAJJGAED4A</v>
      </c>
      <c r="C25" t="str" cm="1">
        <f t="array" ref="C25">_xlfn.LET(_xlpm.v,UPPER(SUBSTITUTE(CLEAN(TRIM(B25)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25" t="str" cm="1">
        <f t="array" ref="D25">_xlfn.LET(_xlpm.vin,SUBSTITUTE(CLEAN(TRIM(B25)),CHAR(160),""),_xlpm.rawDate,LEFT(TRIM(E25)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E25">
        <f>'Ajoneuvorekisteri-Parse Modern '!G226</f>
        <v>19970602</v>
      </c>
      <c r="F25" t="str">
        <f>LEFT(Table34[[#This Row],[Käyttöönotto]],4)</f>
        <v>1997</v>
      </c>
      <c r="G25" t="str">
        <f>'Ajoneuvorekisteri-Parse Modern '!AA226</f>
        <v>XK8 COUPE Coup� (AD) 2ov 3990cm3</v>
      </c>
      <c r="H25" t="str">
        <f>Ajoneuvorekisteri_Parse_Modern_XK_Range_TieliikenneAvoinData_30_06_2026_csv[[#This Row],[tyyppihyvaksyntanro]]</f>
        <v>e11*2001/116*0272*00</v>
      </c>
      <c r="I25">
        <f>'Ajoneuvorekisteri-Parse Modern '!M226</f>
        <v>1690</v>
      </c>
      <c r="J25">
        <f t="shared" si="0"/>
        <v>1</v>
      </c>
      <c r="K25">
        <f t="shared" si="1"/>
        <v>0</v>
      </c>
      <c r="L25">
        <f t="shared" si="2"/>
        <v>1</v>
      </c>
      <c r="M25">
        <f t="shared" si="3"/>
        <v>0</v>
      </c>
      <c r="N25">
        <f>IF(AND(Table34[[#This Row],[Coupe]]&lt;&gt;1, Table34[[#This Row],[Convertible]]&lt;&gt;1), 1, 0)</f>
        <v>0</v>
      </c>
      <c r="O25" t="str">
        <f t="shared" si="4"/>
        <v>Coupe</v>
      </c>
    </row>
    <row r="26" spans="1:15" x14ac:dyDescent="0.25">
      <c r="A26">
        <f>'Ajoneuvorekisteri-Parse Modern '!AO27</f>
        <v>928493</v>
      </c>
      <c r="B26" t="str">
        <f>'Ajoneuvorekisteri-Parse Modern '!AN27</f>
        <v>SAJJGAED4A</v>
      </c>
      <c r="C26" t="str" cm="1">
        <f t="array" ref="C26">_xlfn.LET(_xlpm.v,UPPER(SUBSTITUTE(CLEAN(TRIM(B26)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26" t="str" cm="1">
        <f t="array" ref="D26">_xlfn.LET(_xlpm.vin,SUBSTITUTE(CLEAN(TRIM(B26)),CHAR(160),""),_xlpm.rawDate,LEFT(TRIM(E26)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E26">
        <f>'Ajoneuvorekisteri-Parse Modern '!G27</f>
        <v>19970605</v>
      </c>
      <c r="F26" t="str">
        <f>LEFT(Table34[[#This Row],[Käyttöönotto]],4)</f>
        <v>1997</v>
      </c>
      <c r="G26" t="str">
        <f>'Ajoneuvorekisteri-Parse Modern '!AA27</f>
        <v>COUPE XK8 4.0-AUTOMATIC-JGED/259</v>
      </c>
      <c r="H26" t="str">
        <f>Ajoneuvorekisteri_Parse_Modern_XK_Range_TieliikenneAvoinData_30_06_2026_csv[[#This Row],[tyyppihyvaksyntanro]]</f>
        <v>e11*95/54*0061*03</v>
      </c>
      <c r="I26">
        <f>'Ajoneuvorekisteri-Parse Modern '!M27</f>
        <v>1720</v>
      </c>
      <c r="J26">
        <f t="shared" si="0"/>
        <v>1</v>
      </c>
      <c r="K26">
        <f t="shared" si="1"/>
        <v>0</v>
      </c>
      <c r="L26">
        <f t="shared" si="2"/>
        <v>1</v>
      </c>
      <c r="M26">
        <f t="shared" si="3"/>
        <v>0</v>
      </c>
      <c r="N26">
        <f>IF(AND(Table34[[#This Row],[Coupe]]&lt;&gt;1, Table34[[#This Row],[Convertible]]&lt;&gt;1), 1, 0)</f>
        <v>0</v>
      </c>
      <c r="O26" t="str">
        <f t="shared" si="4"/>
        <v>Coupe</v>
      </c>
    </row>
    <row r="27" spans="1:15" x14ac:dyDescent="0.25">
      <c r="A27">
        <f>'Ajoneuvorekisteri-Parse Modern '!AO20</f>
        <v>689949</v>
      </c>
      <c r="B27" t="str">
        <f>'Ajoneuvorekisteri-Parse Modern '!AN20</f>
        <v>SAJJGAED4A</v>
      </c>
      <c r="C27" t="str" cm="1">
        <f t="array" ref="C27">_xlfn.LET(_xlpm.v,UPPER(SUBSTITUTE(CLEAN(TRIM(B27)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27" t="str" cm="1">
        <f t="array" ref="D27">_xlfn.LET(_xlpm.vin,SUBSTITUTE(CLEAN(TRIM(B27)),CHAR(160),""),_xlpm.rawDate,LEFT(TRIM(E27)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E27">
        <f>'Ajoneuvorekisteri-Parse Modern '!G20</f>
        <v>19970609</v>
      </c>
      <c r="F27" t="str">
        <f>LEFT(Table34[[#This Row],[Käyttöönotto]],4)</f>
        <v>1997</v>
      </c>
      <c r="G27" t="str">
        <f>'Ajoneuvorekisteri-Parse Modern '!AA20</f>
        <v>COUPE XK8 4.0-AUTOMATIC-JGED/259</v>
      </c>
      <c r="H27" t="str">
        <f>Ajoneuvorekisteri_Parse_Modern_XK_Range_TieliikenneAvoinData_30_06_2026_csv[[#This Row],[tyyppihyvaksyntanro]]</f>
        <v>e11*95/54*0061*00</v>
      </c>
      <c r="I27">
        <f>'Ajoneuvorekisteri-Parse Modern '!M20</f>
        <v>1720</v>
      </c>
      <c r="J27">
        <f t="shared" si="0"/>
        <v>1</v>
      </c>
      <c r="K27">
        <f t="shared" si="1"/>
        <v>0</v>
      </c>
      <c r="L27">
        <f t="shared" si="2"/>
        <v>1</v>
      </c>
      <c r="M27">
        <f t="shared" si="3"/>
        <v>0</v>
      </c>
      <c r="N27">
        <f>IF(AND(Table34[[#This Row],[Coupe]]&lt;&gt;1, Table34[[#This Row],[Convertible]]&lt;&gt;1), 1, 0)</f>
        <v>0</v>
      </c>
      <c r="O27" t="str">
        <f t="shared" si="4"/>
        <v>Coupe</v>
      </c>
    </row>
    <row r="28" spans="1:15" x14ac:dyDescent="0.25">
      <c r="A28">
        <f>'Ajoneuvorekisteri-Parse Modern '!AO174</f>
        <v>3022323</v>
      </c>
      <c r="B28" t="str">
        <f>'Ajoneuvorekisteri-Parse Modern '!AN174</f>
        <v>SAJJGAED4A</v>
      </c>
      <c r="C28" t="str" cm="1">
        <f t="array" ref="C28">_xlfn.LET(_xlpm.v,UPPER(SUBSTITUTE(CLEAN(TRIM(B28)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28" t="str" cm="1">
        <f t="array" ref="D28">_xlfn.LET(_xlpm.vin,SUBSTITUTE(CLEAN(TRIM(B28)),CHAR(160),""),_xlpm.rawDate,LEFT(TRIM(E28)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E28">
        <f>'Ajoneuvorekisteri-Parse Modern '!G174</f>
        <v>19970616</v>
      </c>
      <c r="F28" t="str">
        <f>LEFT(Table34[[#This Row],[Käyttöönotto]],4)</f>
        <v>1997</v>
      </c>
      <c r="G28" t="str">
        <f>'Ajoneuvorekisteri-Parse Modern '!AA174</f>
        <v>XK Coup� (AD) 2ov 3990cm3</v>
      </c>
      <c r="H28" t="str">
        <f>Ajoneuvorekisteri_Parse_Modern_XK_Range_TieliikenneAvoinData_30_06_2026_csv[[#This Row],[tyyppihyvaksyntanro]]</f>
        <v>e11*95/54*0062*03</v>
      </c>
      <c r="I28">
        <f>'Ajoneuvorekisteri-Parse Modern '!M174</f>
        <v>1720</v>
      </c>
      <c r="J28">
        <f t="shared" si="0"/>
        <v>1</v>
      </c>
      <c r="K28">
        <f t="shared" si="1"/>
        <v>0</v>
      </c>
      <c r="L28">
        <f t="shared" si="2"/>
        <v>1</v>
      </c>
      <c r="M28">
        <f t="shared" si="3"/>
        <v>0</v>
      </c>
      <c r="N28">
        <f>IF(AND(Table34[[#This Row],[Coupe]]&lt;&gt;1, Table34[[#This Row],[Convertible]]&lt;&gt;1), 1, 0)</f>
        <v>0</v>
      </c>
      <c r="O28" t="str">
        <f t="shared" si="4"/>
        <v>Coupe</v>
      </c>
    </row>
    <row r="29" spans="1:15" x14ac:dyDescent="0.25">
      <c r="A29">
        <f>'Ajoneuvorekisteri-Parse Modern '!AO46</f>
        <v>1306812</v>
      </c>
      <c r="B29" t="str">
        <f>'Ajoneuvorekisteri-Parse Modern '!AN46</f>
        <v>SAJJGAED4A</v>
      </c>
      <c r="C29" t="str" cm="1">
        <f t="array" ref="C29">_xlfn.LET(_xlpm.v,UPPER(SUBSTITUTE(CLEAN(TRIM(B29)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29" t="str" cm="1">
        <f t="array" ref="D29">_xlfn.LET(_xlpm.vin,SUBSTITUTE(CLEAN(TRIM(B29)),CHAR(160),""),_xlpm.rawDate,LEFT(TRIM(E29)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E29">
        <f>'Ajoneuvorekisteri-Parse Modern '!G46</f>
        <v>19970617</v>
      </c>
      <c r="F29" t="str">
        <f>LEFT(Table34[[#This Row],[Käyttöönotto]],4)</f>
        <v>1997</v>
      </c>
      <c r="G29" t="str">
        <f>'Ajoneuvorekisteri-Parse Modern '!AA46</f>
        <v>COUPE XK8 4.0-AUTOMATIC-JGAE/259</v>
      </c>
      <c r="H29" t="str">
        <f>Ajoneuvorekisteri_Parse_Modern_XK_Range_TieliikenneAvoinData_30_06_2026_csv[[#This Row],[tyyppihyvaksyntanro]]</f>
        <v>e11*2001/116*0272*00</v>
      </c>
      <c r="I29">
        <f>'Ajoneuvorekisteri-Parse Modern '!M46</f>
        <v>1690</v>
      </c>
      <c r="J29">
        <f t="shared" si="0"/>
        <v>1</v>
      </c>
      <c r="K29">
        <f t="shared" si="1"/>
        <v>0</v>
      </c>
      <c r="L29">
        <f t="shared" si="2"/>
        <v>1</v>
      </c>
      <c r="M29">
        <f t="shared" si="3"/>
        <v>0</v>
      </c>
      <c r="N29">
        <f>IF(AND(Table34[[#This Row],[Coupe]]&lt;&gt;1, Table34[[#This Row],[Convertible]]&lt;&gt;1), 1, 0)</f>
        <v>0</v>
      </c>
      <c r="O29" t="str">
        <f t="shared" si="4"/>
        <v>Coupe</v>
      </c>
    </row>
    <row r="30" spans="1:15" x14ac:dyDescent="0.25">
      <c r="A30">
        <f>'Ajoneuvorekisteri-Parse Modern '!AO30</f>
        <v>968661</v>
      </c>
      <c r="B30" t="str">
        <f>'Ajoneuvorekisteri-Parse Modern '!AN30</f>
        <v>SAJJGXFD4V</v>
      </c>
      <c r="C30" t="str" cm="1">
        <f t="array" ref="C30">_xlfn.LET(_xlpm.v,UPPER(SUBSTITUTE(CLEAN(TRIM(B30)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X100_JLM20300</v>
      </c>
      <c r="D30" t="str" cm="1">
        <f t="array" ref="D30">_xlfn.LET(_xlpm.vin,SUBSTITUTE(CLEAN(TRIM(B30)),CHAR(160),""),_xlpm.rawDate,LEFT(TRIM(E30)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E30">
        <f>'Ajoneuvorekisteri-Parse Modern '!G30</f>
        <v>19970625</v>
      </c>
      <c r="F30" t="str">
        <f>LEFT(Table34[[#This Row],[Käyttöönotto]],4)</f>
        <v>1997</v>
      </c>
      <c r="G30" t="str">
        <f>'Ajoneuvorekisteri-Parse Modern '!AA30</f>
        <v>2D CONVERTIBLE XK8 4.0-AUTOMATIC-JGFD/259</v>
      </c>
      <c r="H30" t="str">
        <f>Ajoneuvorekisteri_Parse_Modern_XK_Range_TieliikenneAvoinData_30_06_2026_csv[[#This Row],[tyyppihyvaksyntanro]]</f>
        <v>e11*95/54*0062*00</v>
      </c>
      <c r="I30">
        <f>'Ajoneuvorekisteri-Parse Modern '!M30</f>
        <v>1720</v>
      </c>
      <c r="J30">
        <f t="shared" si="0"/>
        <v>1</v>
      </c>
      <c r="K30">
        <f t="shared" si="1"/>
        <v>0</v>
      </c>
      <c r="L30">
        <f t="shared" si="2"/>
        <v>0</v>
      </c>
      <c r="M30">
        <f t="shared" si="3"/>
        <v>1</v>
      </c>
      <c r="N30">
        <f>IF(AND(Table34[[#This Row],[Coupe]]&lt;&gt;1, Table34[[#This Row],[Convertible]]&lt;&gt;1), 1, 0)</f>
        <v>0</v>
      </c>
      <c r="O30" t="str">
        <f t="shared" si="4"/>
        <v>Convertible</v>
      </c>
    </row>
    <row r="31" spans="1:15" x14ac:dyDescent="0.25">
      <c r="A31">
        <f>'Ajoneuvorekisteri-Parse Modern '!AO51</f>
        <v>1385247</v>
      </c>
      <c r="B31" t="str">
        <f>'Ajoneuvorekisteri-Parse Modern '!AN51</f>
        <v>SAJJGAED4A</v>
      </c>
      <c r="C31" t="str" cm="1">
        <f t="array" ref="C31">_xlfn.LET(_xlpm.v,UPPER(SUBSTITUTE(CLEAN(TRIM(B31)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31" t="str" cm="1">
        <f t="array" ref="D31">_xlfn.LET(_xlpm.vin,SUBSTITUTE(CLEAN(TRIM(B31)),CHAR(160),""),_xlpm.rawDate,LEFT(TRIM(E31)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E31">
        <f>'Ajoneuvorekisteri-Parse Modern '!G51</f>
        <v>19970626</v>
      </c>
      <c r="F31" t="str">
        <f>LEFT(Table34[[#This Row],[Käyttöönotto]],4)</f>
        <v>1997</v>
      </c>
      <c r="G31" t="str">
        <f>'Ajoneuvorekisteri-Parse Modern '!AA51</f>
        <v>COUPE XK8 4.0-AUTOMATIC-JGED/259</v>
      </c>
      <c r="H31" t="str">
        <f>Ajoneuvorekisteri_Parse_Modern_XK_Range_TieliikenneAvoinData_30_06_2026_csv[[#This Row],[tyyppihyvaksyntanro]]</f>
        <v>e11*95/54*0062*03</v>
      </c>
      <c r="I31">
        <f>'Ajoneuvorekisteri-Parse Modern '!M51</f>
        <v>1720</v>
      </c>
      <c r="J31">
        <f t="shared" si="0"/>
        <v>1</v>
      </c>
      <c r="K31">
        <f t="shared" si="1"/>
        <v>0</v>
      </c>
      <c r="L31">
        <f t="shared" si="2"/>
        <v>1</v>
      </c>
      <c r="M31">
        <f t="shared" si="3"/>
        <v>0</v>
      </c>
      <c r="N31">
        <f>IF(AND(Table34[[#This Row],[Coupe]]&lt;&gt;1, Table34[[#This Row],[Convertible]]&lt;&gt;1), 1, 0)</f>
        <v>0</v>
      </c>
      <c r="O31" t="str">
        <f t="shared" si="4"/>
        <v>Coupe</v>
      </c>
    </row>
    <row r="32" spans="1:15" x14ac:dyDescent="0.25">
      <c r="A32">
        <f>'Ajoneuvorekisteri-Parse Modern '!AO12</f>
        <v>337904</v>
      </c>
      <c r="B32" t="str">
        <f>'Ajoneuvorekisteri-Parse Modern '!AN12</f>
        <v>SAJJGAFD4A</v>
      </c>
      <c r="C32" t="str" cm="1">
        <f t="array" ref="C32">_xlfn.LET(_xlpm.v,UPPER(SUBSTITUTE(CLEAN(TRIM(B32)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32" t="str" cm="1">
        <f t="array" ref="D32">_xlfn.LET(_xlpm.vin,SUBSTITUTE(CLEAN(TRIM(B32)),CHAR(160),""),_xlpm.rawDate,LEFT(TRIM(E32)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E32">
        <f>'Ajoneuvorekisteri-Parse Modern '!G12</f>
        <v>19970628</v>
      </c>
      <c r="F32" t="str">
        <f>LEFT(Table34[[#This Row],[Käyttöönotto]],4)</f>
        <v>1997</v>
      </c>
      <c r="G32" t="str">
        <f>'Ajoneuvorekisteri-Parse Modern '!AA12</f>
        <v>2D CONVERTIBLE XK8 4.0-AUTOMATIC-JGAF/259</v>
      </c>
      <c r="H32" t="str">
        <f>Ajoneuvorekisteri_Parse_Modern_XK_Range_TieliikenneAvoinData_30_06_2026_csv[[#This Row],[tyyppihyvaksyntanro]]</f>
        <v>e11*95/54*0062*06</v>
      </c>
      <c r="I32">
        <f>'Ajoneuvorekisteri-Parse Modern '!M12</f>
        <v>1720</v>
      </c>
      <c r="J32">
        <f t="shared" si="0"/>
        <v>1</v>
      </c>
      <c r="K32">
        <f t="shared" si="1"/>
        <v>0</v>
      </c>
      <c r="L32">
        <f t="shared" si="2"/>
        <v>0</v>
      </c>
      <c r="M32">
        <f t="shared" si="3"/>
        <v>1</v>
      </c>
      <c r="N32">
        <f>IF(AND(Table34[[#This Row],[Coupe]]&lt;&gt;1, Table34[[#This Row],[Convertible]]&lt;&gt;1), 1, 0)</f>
        <v>0</v>
      </c>
      <c r="O32" t="str">
        <f t="shared" si="4"/>
        <v>Convertible</v>
      </c>
    </row>
    <row r="33" spans="1:15" x14ac:dyDescent="0.25">
      <c r="A33">
        <f>'Ajoneuvorekisteri-Parse Modern '!AO126</f>
        <v>2522809</v>
      </c>
      <c r="B33" t="str">
        <f>'Ajoneuvorekisteri-Parse Modern '!AN126</f>
        <v>SAJJGXFD4V</v>
      </c>
      <c r="C33" t="str" cm="1">
        <f t="array" ref="C33">_xlfn.LET(_xlpm.v,UPPER(SUBSTITUTE(CLEAN(TRIM(B33)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X100_JLM20300</v>
      </c>
      <c r="D33" t="str" cm="1">
        <f t="array" ref="D33">_xlfn.LET(_xlpm.vin,SUBSTITUTE(CLEAN(TRIM(B33)),CHAR(160),""),_xlpm.rawDate,LEFT(TRIM(E33)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E33">
        <f>'Ajoneuvorekisteri-Parse Modern '!G126</f>
        <v>19970630</v>
      </c>
      <c r="F33" t="str">
        <f>LEFT(Table34[[#This Row],[Käyttöönotto]],4)</f>
        <v>1997</v>
      </c>
      <c r="G33" t="str">
        <f>'Ajoneuvorekisteri-Parse Modern '!AA126</f>
        <v>XK8 Avoauto (AE) 2ov 3990cm3 A</v>
      </c>
      <c r="H33" t="str">
        <f>Ajoneuvorekisteri_Parse_Modern_XK_Range_TieliikenneAvoinData_30_06_2026_csv[[#This Row],[tyyppihyvaksyntanro]]</f>
        <v>e11*95/54*0061*00</v>
      </c>
      <c r="I33">
        <f>'Ajoneuvorekisteri-Parse Modern '!M126</f>
        <v>1720</v>
      </c>
      <c r="J33">
        <f t="shared" si="0"/>
        <v>1</v>
      </c>
      <c r="K33">
        <f t="shared" si="1"/>
        <v>0</v>
      </c>
      <c r="L33">
        <f t="shared" si="2"/>
        <v>0</v>
      </c>
      <c r="M33">
        <f t="shared" si="3"/>
        <v>1</v>
      </c>
      <c r="N33">
        <f>IF(AND(Table34[[#This Row],[Coupe]]&lt;&gt;1, Table34[[#This Row],[Convertible]]&lt;&gt;1), 1, 0)</f>
        <v>0</v>
      </c>
      <c r="O33" t="str">
        <f t="shared" si="4"/>
        <v>Convertible</v>
      </c>
    </row>
    <row r="34" spans="1:15" x14ac:dyDescent="0.25">
      <c r="A34">
        <f>'Ajoneuvorekisteri-Parse Modern '!AO68</f>
        <v>1778447</v>
      </c>
      <c r="B34" t="str">
        <f>'Ajoneuvorekisteri-Parse Modern '!AN68</f>
        <v>SAJJGAED4A</v>
      </c>
      <c r="C34" t="str" cm="1">
        <f t="array" ref="C34">_xlfn.LET(_xlpm.v,UPPER(SUBSTITUTE(CLEAN(TRIM(B34)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34" t="str" cm="1">
        <f t="array" ref="D34">_xlfn.LET(_xlpm.vin,SUBSTITUTE(CLEAN(TRIM(B34)),CHAR(160),""),_xlpm.rawDate,LEFT(TRIM(E34)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E34">
        <f>'Ajoneuvorekisteri-Parse Modern '!G68</f>
        <v>19970708</v>
      </c>
      <c r="F34" t="str">
        <f>LEFT(Table34[[#This Row],[Käyttöönotto]],4)</f>
        <v>1997</v>
      </c>
      <c r="G34" t="str">
        <f>'Ajoneuvorekisteri-Parse Modern '!AA68</f>
        <v>COUPE XK8 4.0-AUTOMATIC-JGAED/259</v>
      </c>
      <c r="H34" t="str">
        <f>Ajoneuvorekisteri_Parse_Modern_XK_Range_TieliikenneAvoinData_30_06_2026_csv[[#This Row],[tyyppihyvaksyntanro]]</f>
        <v/>
      </c>
      <c r="I34">
        <f>'Ajoneuvorekisteri-Parse Modern '!M68</f>
        <v>1690</v>
      </c>
      <c r="J34">
        <f t="shared" si="0"/>
        <v>1</v>
      </c>
      <c r="K34">
        <f t="shared" si="1"/>
        <v>0</v>
      </c>
      <c r="L34">
        <f t="shared" si="2"/>
        <v>1</v>
      </c>
      <c r="M34">
        <f t="shared" si="3"/>
        <v>0</v>
      </c>
      <c r="N34">
        <f>IF(AND(Table34[[#This Row],[Coupe]]&lt;&gt;1, Table34[[#This Row],[Convertible]]&lt;&gt;1), 1, 0)</f>
        <v>0</v>
      </c>
      <c r="O34" t="str">
        <f t="shared" si="4"/>
        <v>Coupe</v>
      </c>
    </row>
    <row r="35" spans="1:15" x14ac:dyDescent="0.25">
      <c r="A35">
        <f>'Ajoneuvorekisteri-Parse Modern '!AO35</f>
        <v>1099647</v>
      </c>
      <c r="B35" t="str">
        <f>'Ajoneuvorekisteri-Parse Modern '!AN35</f>
        <v>SAJJGAED4A</v>
      </c>
      <c r="C35" t="str" cm="1">
        <f t="array" ref="C35">_xlfn.LET(_xlpm.v,UPPER(SUBSTITUTE(CLEAN(TRIM(B35)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35" t="str" cm="1">
        <f t="array" ref="D35">_xlfn.LET(_xlpm.vin,SUBSTITUTE(CLEAN(TRIM(B35)),CHAR(160),""),_xlpm.rawDate,LEFT(TRIM(E35)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E35">
        <f>'Ajoneuvorekisteri-Parse Modern '!G35</f>
        <v>19970711</v>
      </c>
      <c r="F35" t="str">
        <f>LEFT(Table34[[#This Row],[Käyttöönotto]],4)</f>
        <v>1997</v>
      </c>
      <c r="G35" t="str">
        <f>'Ajoneuvorekisteri-Parse Modern '!AA35</f>
        <v>COUPE XK8 4.0-AUTOMATIC-JGED/259</v>
      </c>
      <c r="H35" t="str">
        <f>Ajoneuvorekisteri_Parse_Modern_XK_Range_TieliikenneAvoinData_30_06_2026_csv[[#This Row],[tyyppihyvaksyntanro]]</f>
        <v>e11*95/54*0061*00</v>
      </c>
      <c r="I35">
        <f>'Ajoneuvorekisteri-Parse Modern '!M35</f>
        <v>1690</v>
      </c>
      <c r="J35">
        <f t="shared" si="0"/>
        <v>1</v>
      </c>
      <c r="K35">
        <f t="shared" si="1"/>
        <v>0</v>
      </c>
      <c r="L35">
        <f t="shared" si="2"/>
        <v>1</v>
      </c>
      <c r="M35">
        <f t="shared" si="3"/>
        <v>0</v>
      </c>
      <c r="N35">
        <f>IF(AND(Table34[[#This Row],[Coupe]]&lt;&gt;1, Table34[[#This Row],[Convertible]]&lt;&gt;1), 1, 0)</f>
        <v>0</v>
      </c>
      <c r="O35" t="str">
        <f t="shared" si="4"/>
        <v>Coupe</v>
      </c>
    </row>
    <row r="36" spans="1:15" x14ac:dyDescent="0.25">
      <c r="A36">
        <f>'Ajoneuvorekisteri-Parse Modern '!AO228</f>
        <v>3784580</v>
      </c>
      <c r="B36" t="str">
        <f>'Ajoneuvorekisteri-Parse Modern '!AN228</f>
        <v>SAJJGAFD4A</v>
      </c>
      <c r="C36" t="str" cm="1">
        <f t="array" ref="C36">_xlfn.LET(_xlpm.v,UPPER(SUBSTITUTE(CLEAN(TRIM(B36)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36" t="str" cm="1">
        <f t="array" ref="D36">_xlfn.LET(_xlpm.vin,SUBSTITUTE(CLEAN(TRIM(B36)),CHAR(160),""),_xlpm.rawDate,LEFT(TRIM(E36)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E36">
        <f>'Ajoneuvorekisteri-Parse Modern '!G228</f>
        <v>19970721</v>
      </c>
      <c r="F36" t="str">
        <f>LEFT(Table34[[#This Row],[Käyttöönotto]],4)</f>
        <v>1997</v>
      </c>
      <c r="G36" t="str">
        <f>'Ajoneuvorekisteri-Parse Modern '!AA228</f>
        <v>Jaguar XK8 Umpi/avo 2ov 4000cm3 A</v>
      </c>
      <c r="H36" t="str">
        <f>Ajoneuvorekisteri_Parse_Modern_XK_Range_TieliikenneAvoinData_30_06_2026_csv[[#This Row],[tyyppihyvaksyntanro]]</f>
        <v/>
      </c>
      <c r="I36">
        <f>'Ajoneuvorekisteri-Parse Modern '!M228</f>
        <v>1840</v>
      </c>
      <c r="J36">
        <f t="shared" si="0"/>
        <v>1</v>
      </c>
      <c r="K36">
        <f t="shared" si="1"/>
        <v>0</v>
      </c>
      <c r="L36">
        <f t="shared" si="2"/>
        <v>0</v>
      </c>
      <c r="M36">
        <f t="shared" si="3"/>
        <v>1</v>
      </c>
      <c r="N36">
        <f>IF(AND(Table34[[#This Row],[Coupe]]&lt;&gt;1, Table34[[#This Row],[Convertible]]&lt;&gt;1), 1, 0)</f>
        <v>0</v>
      </c>
      <c r="O36" t="str">
        <f t="shared" si="4"/>
        <v>Convertible</v>
      </c>
    </row>
    <row r="37" spans="1:15" x14ac:dyDescent="0.25">
      <c r="A37">
        <f>'Ajoneuvorekisteri-Parse Modern '!AO48</f>
        <v>1330889</v>
      </c>
      <c r="B37" t="str">
        <f>'Ajoneuvorekisteri-Parse Modern '!AN48</f>
        <v>SAJJGAED4A</v>
      </c>
      <c r="C37" t="str" cm="1">
        <f t="array" ref="C37">_xlfn.LET(_xlpm.v,UPPER(SUBSTITUTE(CLEAN(TRIM(B37)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37" t="str" cm="1">
        <f t="array" ref="D37">_xlfn.LET(_xlpm.vin,SUBSTITUTE(CLEAN(TRIM(B37)),CHAR(160),""),_xlpm.rawDate,LEFT(TRIM(E37)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018108–023017</v>
      </c>
      <c r="E37">
        <f>'Ajoneuvorekisteri-Parse Modern '!G48</f>
        <v>19970923</v>
      </c>
      <c r="F37" t="str">
        <f>LEFT(Table34[[#This Row],[Käyttöönotto]],4)</f>
        <v>1997</v>
      </c>
      <c r="G37" t="str">
        <f>'Ajoneuvorekisteri-Parse Modern '!AA48</f>
        <v>COUPE XK8 4.0-AUTOMATIC-JGAED/259</v>
      </c>
      <c r="H37" t="str">
        <f>Ajoneuvorekisteri_Parse_Modern_XK_Range_TieliikenneAvoinData_30_06_2026_csv[[#This Row],[tyyppihyvaksyntanro]]</f>
        <v>e11*95/54*0062*08</v>
      </c>
      <c r="I37">
        <f>'Ajoneuvorekisteri-Parse Modern '!M48</f>
        <v>1690</v>
      </c>
      <c r="J37">
        <f t="shared" si="0"/>
        <v>1</v>
      </c>
      <c r="K37">
        <f t="shared" si="1"/>
        <v>0</v>
      </c>
      <c r="L37">
        <f t="shared" si="2"/>
        <v>1</v>
      </c>
      <c r="M37">
        <f t="shared" si="3"/>
        <v>0</v>
      </c>
      <c r="N37">
        <f>IF(AND(Table34[[#This Row],[Coupe]]&lt;&gt;1, Table34[[#This Row],[Convertible]]&lt;&gt;1), 1, 0)</f>
        <v>0</v>
      </c>
      <c r="O37" t="str">
        <f t="shared" si="4"/>
        <v>Coupe</v>
      </c>
    </row>
    <row r="38" spans="1:15" x14ac:dyDescent="0.25">
      <c r="A38">
        <f>'Ajoneuvorekisteri-Parse Modern '!AO4</f>
        <v>95136</v>
      </c>
      <c r="B38" t="str">
        <f>'Ajoneuvorekisteri-Parse Modern '!AN4</f>
        <v>SAJJGAFD4A</v>
      </c>
      <c r="C38" t="str" cm="1">
        <f t="array" ref="C38">_xlfn.LET(_xlpm.v,UPPER(SUBSTITUTE(CLEAN(TRIM(B38)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38" t="str" cm="1">
        <f t="array" ref="D38">_xlfn.LET(_xlpm.vin,SUBSTITUTE(CLEAN(TRIM(B38)),CHAR(160),""),_xlpm.rawDate,LEFT(TRIM(E38)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018108–023017</v>
      </c>
      <c r="E38">
        <f>'Ajoneuvorekisteri-Parse Modern '!G4</f>
        <v>19971024</v>
      </c>
      <c r="F38" t="str">
        <f>LEFT(Table34[[#This Row],[Käyttöönotto]],4)</f>
        <v>1997</v>
      </c>
      <c r="G38" t="str">
        <f>'Ajoneuvorekisteri-Parse Modern '!AA4</f>
        <v>2D CONVERTIBLE XK8 4.0-AUTOMATIC-JGAF/259</v>
      </c>
      <c r="H38" t="str">
        <f>Ajoneuvorekisteri_Parse_Modern_XK_Range_TieliikenneAvoinData_30_06_2026_csv[[#This Row],[tyyppihyvaksyntanro]]</f>
        <v/>
      </c>
      <c r="I38">
        <f>'Ajoneuvorekisteri-Parse Modern '!M4</f>
        <v>1720</v>
      </c>
      <c r="J38">
        <f t="shared" si="0"/>
        <v>1</v>
      </c>
      <c r="K38">
        <f t="shared" si="1"/>
        <v>0</v>
      </c>
      <c r="L38">
        <f t="shared" si="2"/>
        <v>0</v>
      </c>
      <c r="M38">
        <f t="shared" si="3"/>
        <v>1</v>
      </c>
      <c r="N38">
        <f>IF(AND(Table34[[#This Row],[Coupe]]&lt;&gt;1, Table34[[#This Row],[Convertible]]&lt;&gt;1), 1, 0)</f>
        <v>0</v>
      </c>
      <c r="O38" t="str">
        <f t="shared" si="4"/>
        <v>Convertible</v>
      </c>
    </row>
    <row r="39" spans="1:15" x14ac:dyDescent="0.25">
      <c r="A39">
        <f>'Ajoneuvorekisteri-Parse Modern '!AO104</f>
        <v>2295845</v>
      </c>
      <c r="B39" t="str">
        <f>'Ajoneuvorekisteri-Parse Modern '!AN104</f>
        <v>SAJGX2245W</v>
      </c>
      <c r="C39" t="str" cm="1">
        <f t="array" ref="C39">_xlfn.LET(_xlpm.v,UPPER(SUBSTITUTE(CLEAN(TRIM(B39)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D39" t="str" cm="1">
        <f t="array" ref="D39">_xlfn.LET(_xlpm.vin,SUBSTITUTE(CLEAN(TRIM(B39)),CHAR(160),""),_xlpm.rawDate,LEFT(TRIM(E39)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018108–023017</v>
      </c>
      <c r="E39">
        <f>'Ajoneuvorekisteri-Parse Modern '!G104</f>
        <v>19971110</v>
      </c>
      <c r="F39" t="str">
        <f>LEFT(Table34[[#This Row],[Käyttöönotto]],4)</f>
        <v>1997</v>
      </c>
      <c r="G39" t="str">
        <f>'Ajoneuvorekisteri-Parse Modern '!AA104</f>
        <v>2D CONVERTIBLE XK8 4.0-AUTOMATIC-GX22/259 Avoauto (AE) 2ov 3996cm3 A</v>
      </c>
      <c r="H39" t="str">
        <f>Ajoneuvorekisteri_Parse_Modern_XK_Range_TieliikenneAvoinData_30_06_2026_csv[[#This Row],[tyyppihyvaksyntanro]]</f>
        <v/>
      </c>
      <c r="I39">
        <f>'Ajoneuvorekisteri-Parse Modern '!M104</f>
        <v>1780</v>
      </c>
      <c r="J39">
        <f t="shared" si="0"/>
        <v>1</v>
      </c>
      <c r="K39">
        <f t="shared" si="1"/>
        <v>0</v>
      </c>
      <c r="L39">
        <f t="shared" si="2"/>
        <v>0</v>
      </c>
      <c r="M39">
        <f t="shared" si="3"/>
        <v>1</v>
      </c>
      <c r="N39">
        <f>IF(AND(Table34[[#This Row],[Coupe]]&lt;&gt;1, Table34[[#This Row],[Convertible]]&lt;&gt;1), 1, 0)</f>
        <v>0</v>
      </c>
      <c r="O39" t="str">
        <f t="shared" si="4"/>
        <v>Convertible</v>
      </c>
    </row>
    <row r="40" spans="1:15" x14ac:dyDescent="0.25">
      <c r="A40">
        <f>'Ajoneuvorekisteri-Parse Modern '!AO207</f>
        <v>3412011</v>
      </c>
      <c r="B40" t="str">
        <f>'Ajoneuvorekisteri-Parse Modern '!AN207</f>
        <v>SAJGX5240W</v>
      </c>
      <c r="C40" t="str" cm="1">
        <f t="array" ref="C40">_xlfn.LET(_xlpm.v,UPPER(SUBSTITUTE(CLEAN(TRIM(B40)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D40" t="str" cm="1">
        <f t="array" ref="D40">_xlfn.LET(_xlpm.vin,SUBSTITUTE(CLEAN(TRIM(B40)),CHAR(160),""),_xlpm.rawDate,LEFT(TRIM(E40)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40">
        <f>'Ajoneuvorekisteri-Parse Modern '!G207</f>
        <v>19980000</v>
      </c>
      <c r="F40" t="str">
        <f>LEFT(Table34[[#This Row],[Käyttöönotto]],4)</f>
        <v>1998</v>
      </c>
      <c r="G40" t="str">
        <f>'Ajoneuvorekisteri-Parse Modern '!AA207</f>
        <v>XK8 Coupe Coup� (AD) 2ov 3990cm3 A</v>
      </c>
      <c r="H40" t="str">
        <f>Ajoneuvorekisteri_Parse_Modern_XK_Range_TieliikenneAvoinData_30_06_2026_csv[[#This Row],[tyyppihyvaksyntanro]]</f>
        <v>e11*95/54*0062*09</v>
      </c>
      <c r="I40">
        <f>'Ajoneuvorekisteri-Parse Modern '!M207</f>
        <v>1720</v>
      </c>
      <c r="J40">
        <f t="shared" si="0"/>
        <v>1</v>
      </c>
      <c r="K40">
        <f t="shared" si="1"/>
        <v>0</v>
      </c>
      <c r="L40">
        <f t="shared" si="2"/>
        <v>1</v>
      </c>
      <c r="M40">
        <f t="shared" si="3"/>
        <v>0</v>
      </c>
      <c r="N40">
        <f>IF(AND(Table34[[#This Row],[Coupe]]&lt;&gt;1, Table34[[#This Row],[Convertible]]&lt;&gt;1), 1, 0)</f>
        <v>0</v>
      </c>
      <c r="O40" t="str">
        <f t="shared" si="4"/>
        <v>Coupe</v>
      </c>
    </row>
    <row r="41" spans="1:15" x14ac:dyDescent="0.25">
      <c r="A41">
        <f>'Ajoneuvorekisteri-Parse Modern '!AO55</f>
        <v>1597003</v>
      </c>
      <c r="B41" t="str">
        <f>'Ajoneuvorekisteri-Parse Modern '!AN55</f>
        <v>SAJGX2244W</v>
      </c>
      <c r="C41" t="str" cm="1">
        <f t="array" ref="C41">_xlfn.LET(_xlpm.v,UPPER(SUBSTITUTE(CLEAN(TRIM(B41)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D41" t="str" cm="1">
        <f t="array" ref="D41">_xlfn.LET(_xlpm.vin,SUBSTITUTE(CLEAN(TRIM(B41)),CHAR(160),""),_xlpm.rawDate,LEFT(TRIM(E41)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41">
        <f>'Ajoneuvorekisteri-Parse Modern '!G55</f>
        <v>19980000</v>
      </c>
      <c r="F41" t="str">
        <f>LEFT(Table34[[#This Row],[Käyttöönotto]],4)</f>
        <v>1998</v>
      </c>
      <c r="G41" t="str">
        <f>'Ajoneuvorekisteri-Parse Modern '!AA55</f>
        <v>2D CONVERTIBLE XK8 4.0-AUTOMATIC-GX22/259</v>
      </c>
      <c r="H41" t="str">
        <f>Ajoneuvorekisteri_Parse_Modern_XK_Range_TieliikenneAvoinData_30_06_2026_csv[[#This Row],[tyyppihyvaksyntanro]]</f>
        <v>e11*2001/116*0272*00</v>
      </c>
      <c r="I41">
        <f>'Ajoneuvorekisteri-Parse Modern '!M55</f>
        <v>1840</v>
      </c>
      <c r="J41">
        <f t="shared" si="0"/>
        <v>1</v>
      </c>
      <c r="K41">
        <f t="shared" si="1"/>
        <v>0</v>
      </c>
      <c r="L41">
        <f t="shared" si="2"/>
        <v>0</v>
      </c>
      <c r="M41">
        <f t="shared" si="3"/>
        <v>1</v>
      </c>
      <c r="N41">
        <f>IF(AND(Table34[[#This Row],[Coupe]]&lt;&gt;1, Table34[[#This Row],[Convertible]]&lt;&gt;1), 1, 0)</f>
        <v>0</v>
      </c>
      <c r="O41" t="str">
        <f t="shared" si="4"/>
        <v>Convertible</v>
      </c>
    </row>
    <row r="42" spans="1:15" x14ac:dyDescent="0.25">
      <c r="A42">
        <f>'Ajoneuvorekisteri-Parse Modern '!AO100</f>
        <v>2235691</v>
      </c>
      <c r="B42" t="str">
        <f>'Ajoneuvorekisteri-Parse Modern '!AN100</f>
        <v>SAJJGXFE4W</v>
      </c>
      <c r="C42" t="str" cm="1">
        <f t="array" ref="C42">_xlfn.LET(_xlpm.v,UPPER(SUBSTITUTE(CLEAN(TRIM(B42)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[8=E]</v>
      </c>
      <c r="D42" t="str" cm="1">
        <f t="array" ref="D42">_xlfn.LET(_xlpm.vin,SUBSTITUTE(CLEAN(TRIM(B42)),CHAR(160),""),_xlpm.rawDate,LEFT(TRIM(E42)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42">
        <f>'Ajoneuvorekisteri-Parse Modern '!G100</f>
        <v>19980000</v>
      </c>
      <c r="F42" t="str">
        <f>LEFT(Table34[[#This Row],[Käyttöönotto]],4)</f>
        <v>1998</v>
      </c>
      <c r="G42" t="str">
        <f>'Ajoneuvorekisteri-Parse Modern '!AA100</f>
        <v>XK 8 Avoauto (AE) 2ov 3990cm3 A</v>
      </c>
      <c r="H42" t="str">
        <f>Ajoneuvorekisteri_Parse_Modern_XK_Range_TieliikenneAvoinData_30_06_2026_csv[[#This Row],[tyyppihyvaksyntanro]]</f>
        <v>e11*95/54*0061*03</v>
      </c>
      <c r="I42">
        <f>'Ajoneuvorekisteri-Parse Modern '!M100</f>
        <v>1720</v>
      </c>
      <c r="J42">
        <f t="shared" si="0"/>
        <v>1</v>
      </c>
      <c r="K42">
        <f t="shared" si="1"/>
        <v>0</v>
      </c>
      <c r="L42">
        <f t="shared" si="2"/>
        <v>0</v>
      </c>
      <c r="M42">
        <f t="shared" si="3"/>
        <v>1</v>
      </c>
      <c r="N42">
        <f>IF(AND(Table34[[#This Row],[Coupe]]&lt;&gt;1, Table34[[#This Row],[Convertible]]&lt;&gt;1), 1, 0)</f>
        <v>0</v>
      </c>
      <c r="O42" t="str">
        <f t="shared" si="4"/>
        <v>Convertible</v>
      </c>
    </row>
    <row r="43" spans="1:15" x14ac:dyDescent="0.25">
      <c r="A43">
        <f>'Ajoneuvorekisteri-Parse Modern '!AO130</f>
        <v>2533996</v>
      </c>
      <c r="B43" t="str">
        <f>'Ajoneuvorekisteri-Parse Modern '!AN130</f>
        <v>SAJJGXFE4W</v>
      </c>
      <c r="C43" t="str" cm="1">
        <f t="array" ref="C43">_xlfn.LET(_xlpm.v,UPPER(SUBSTITUTE(CLEAN(TRIM(B43)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[8=E]</v>
      </c>
      <c r="D43" t="str" cm="1">
        <f t="array" ref="D43">_xlfn.LET(_xlpm.vin,SUBSTITUTE(CLEAN(TRIM(B43)),CHAR(160),""),_xlpm.rawDate,LEFT(TRIM(E43)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43">
        <f>'Ajoneuvorekisteri-Parse Modern '!G130</f>
        <v>19980000</v>
      </c>
      <c r="F43" t="str">
        <f>LEFT(Table34[[#This Row],[Käyttöönotto]],4)</f>
        <v>1998</v>
      </c>
      <c r="G43" t="str">
        <f>'Ajoneuvorekisteri-Parse Modern '!AA130</f>
        <v>XK8 CONVERTIBLE Avoauto (AE) 2ov 3996cm3 A</v>
      </c>
      <c r="H43" t="str">
        <f>Ajoneuvorekisteri_Parse_Modern_XK_Range_TieliikenneAvoinData_30_06_2026_csv[[#This Row],[tyyppihyvaksyntanro]]</f>
        <v/>
      </c>
      <c r="I43">
        <f>'Ajoneuvorekisteri-Parse Modern '!M130</f>
        <v>1780</v>
      </c>
      <c r="J43">
        <f t="shared" si="0"/>
        <v>1</v>
      </c>
      <c r="K43">
        <f t="shared" si="1"/>
        <v>0</v>
      </c>
      <c r="L43">
        <f t="shared" si="2"/>
        <v>0</v>
      </c>
      <c r="M43">
        <f t="shared" si="3"/>
        <v>1</v>
      </c>
      <c r="N43">
        <f>IF(AND(Table34[[#This Row],[Coupe]]&lt;&gt;1, Table34[[#This Row],[Convertible]]&lt;&gt;1), 1, 0)</f>
        <v>0</v>
      </c>
      <c r="O43" t="str">
        <f t="shared" si="4"/>
        <v>Convertible</v>
      </c>
    </row>
    <row r="44" spans="1:15" x14ac:dyDescent="0.25">
      <c r="A44">
        <f>'Ajoneuvorekisteri-Parse Modern '!AO137</f>
        <v>2574919</v>
      </c>
      <c r="B44" t="str">
        <f>'Ajoneuvorekisteri-Parse Modern '!AN137</f>
        <v>SAJJGXFE4W</v>
      </c>
      <c r="C44" t="str" cm="1">
        <f t="array" ref="C44">_xlfn.LET(_xlpm.v,UPPER(SUBSTITUTE(CLEAN(TRIM(B44)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[8=E]</v>
      </c>
      <c r="D44" t="str" cm="1">
        <f t="array" ref="D44">_xlfn.LET(_xlpm.vin,SUBSTITUTE(CLEAN(TRIM(B44)),CHAR(160),""),_xlpm.rawDate,LEFT(TRIM(E44)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44">
        <f>'Ajoneuvorekisteri-Parse Modern '!G137</f>
        <v>19980000</v>
      </c>
      <c r="F44" t="str">
        <f>LEFT(Table34[[#This Row],[Käyttöönotto]],4)</f>
        <v>1998</v>
      </c>
      <c r="G44" t="str">
        <f>'Ajoneuvorekisteri-Parse Modern '!AA137</f>
        <v>XK8 Avoauto (AE) 2ov 3990cm3 A</v>
      </c>
      <c r="H44" t="str">
        <f>Ajoneuvorekisteri_Parse_Modern_XK_Range_TieliikenneAvoinData_30_06_2026_csv[[#This Row],[tyyppihyvaksyntanro]]</f>
        <v/>
      </c>
      <c r="I44">
        <f>'Ajoneuvorekisteri-Parse Modern '!M137</f>
        <v>1810</v>
      </c>
      <c r="J44">
        <f t="shared" si="0"/>
        <v>1</v>
      </c>
      <c r="K44">
        <f t="shared" si="1"/>
        <v>0</v>
      </c>
      <c r="L44">
        <f t="shared" si="2"/>
        <v>0</v>
      </c>
      <c r="M44">
        <f t="shared" si="3"/>
        <v>1</v>
      </c>
      <c r="N44">
        <f>IF(AND(Table34[[#This Row],[Coupe]]&lt;&gt;1, Table34[[#This Row],[Convertible]]&lt;&gt;1), 1, 0)</f>
        <v>0</v>
      </c>
      <c r="O44" t="str">
        <f t="shared" si="4"/>
        <v>Convertible</v>
      </c>
    </row>
    <row r="45" spans="1:15" x14ac:dyDescent="0.25">
      <c r="A45">
        <f>'Ajoneuvorekisteri-Parse Modern '!AO153</f>
        <v>2709928</v>
      </c>
      <c r="B45" t="str">
        <f>'Ajoneuvorekisteri-Parse Modern '!AN153</f>
        <v>SAJJGXFE4W</v>
      </c>
      <c r="C45" t="str" cm="1">
        <f t="array" ref="C45">_xlfn.LET(_xlpm.v,UPPER(SUBSTITUTE(CLEAN(TRIM(B45)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[8=E]</v>
      </c>
      <c r="D45" t="str" cm="1">
        <f t="array" ref="D45">_xlfn.LET(_xlpm.vin,SUBSTITUTE(CLEAN(TRIM(B45)),CHAR(160),""),_xlpm.rawDate,LEFT(TRIM(E45)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45">
        <f>'Ajoneuvorekisteri-Parse Modern '!G153</f>
        <v>19980000</v>
      </c>
      <c r="F45" t="str">
        <f>LEFT(Table34[[#This Row],[Käyttöönotto]],4)</f>
        <v>1998</v>
      </c>
      <c r="G45" t="str">
        <f>'Ajoneuvorekisteri-Parse Modern '!AA153</f>
        <v>XK8 Avoauto (AE) 2ov 3990cm3 A</v>
      </c>
      <c r="H45" t="str">
        <f>Ajoneuvorekisteri_Parse_Modern_XK_Range_TieliikenneAvoinData_30_06_2026_csv[[#This Row],[tyyppihyvaksyntanro]]</f>
        <v>e11*95/54*0061*04</v>
      </c>
      <c r="I45">
        <f>'Ajoneuvorekisteri-Parse Modern '!M153</f>
        <v>1780</v>
      </c>
      <c r="J45">
        <f t="shared" si="0"/>
        <v>1</v>
      </c>
      <c r="K45">
        <f t="shared" si="1"/>
        <v>0</v>
      </c>
      <c r="L45">
        <f t="shared" si="2"/>
        <v>0</v>
      </c>
      <c r="M45">
        <f t="shared" si="3"/>
        <v>1</v>
      </c>
      <c r="N45">
        <f>IF(AND(Table34[[#This Row],[Coupe]]&lt;&gt;1, Table34[[#This Row],[Convertible]]&lt;&gt;1), 1, 0)</f>
        <v>0</v>
      </c>
      <c r="O45" t="str">
        <f t="shared" si="4"/>
        <v>Convertible</v>
      </c>
    </row>
    <row r="46" spans="1:15" x14ac:dyDescent="0.25">
      <c r="A46">
        <f>'Ajoneuvorekisteri-Parse Modern '!AO157</f>
        <v>2786464</v>
      </c>
      <c r="B46" t="str">
        <f>'Ajoneuvorekisteri-Parse Modern '!AN157</f>
        <v>SAJJGAED4A</v>
      </c>
      <c r="C46" t="str" cm="1">
        <f t="array" ref="C46">_xlfn.LET(_xlpm.v,UPPER(SUBSTITUTE(CLEAN(TRIM(B46)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46" t="str" cm="1">
        <f t="array" ref="D46">_xlfn.LET(_xlpm.vin,SUBSTITUTE(CLEAN(TRIM(B46)),CHAR(160),""),_xlpm.rawDate,LEFT(TRIM(E46)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46">
        <f>'Ajoneuvorekisteri-Parse Modern '!G157</f>
        <v>19980000</v>
      </c>
      <c r="F46" t="str">
        <f>LEFT(Table34[[#This Row],[Käyttöönotto]],4)</f>
        <v>1998</v>
      </c>
      <c r="G46" t="str">
        <f>'Ajoneuvorekisteri-Parse Modern '!AA157</f>
        <v>XK Coup� (AD) 2ov 3996cm3 A</v>
      </c>
      <c r="H46" t="str">
        <f>Ajoneuvorekisteri_Parse_Modern_XK_Range_TieliikenneAvoinData_30_06_2026_csv[[#This Row],[tyyppihyvaksyntanro]]</f>
        <v/>
      </c>
      <c r="I46">
        <f>'Ajoneuvorekisteri-Parse Modern '!M157</f>
        <v>1720</v>
      </c>
      <c r="J46">
        <f t="shared" si="0"/>
        <v>1</v>
      </c>
      <c r="K46">
        <f t="shared" si="1"/>
        <v>0</v>
      </c>
      <c r="L46">
        <f t="shared" si="2"/>
        <v>1</v>
      </c>
      <c r="M46">
        <f t="shared" si="3"/>
        <v>0</v>
      </c>
      <c r="N46">
        <f>IF(AND(Table34[[#This Row],[Coupe]]&lt;&gt;1, Table34[[#This Row],[Convertible]]&lt;&gt;1), 1, 0)</f>
        <v>0</v>
      </c>
      <c r="O46" t="str">
        <f t="shared" si="4"/>
        <v>Coupe</v>
      </c>
    </row>
    <row r="47" spans="1:15" x14ac:dyDescent="0.25">
      <c r="A47">
        <f>'Ajoneuvorekisteri-Parse Modern '!AO210</f>
        <v>3475808</v>
      </c>
      <c r="B47" t="str">
        <f>'Ajoneuvorekisteri-Parse Modern '!AN210</f>
        <v>SAJGX5245W</v>
      </c>
      <c r="C47" t="str" cm="1">
        <f t="array" ref="C47">_xlfn.LET(_xlpm.v,UPPER(SUBSTITUTE(CLEAN(TRIM(B47)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D47" t="str" cm="1">
        <f t="array" ref="D47">_xlfn.LET(_xlpm.vin,SUBSTITUTE(CLEAN(TRIM(B47)),CHAR(160),""),_xlpm.rawDate,LEFT(TRIM(E47)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47">
        <f>'Ajoneuvorekisteri-Parse Modern '!G210</f>
        <v>19980000</v>
      </c>
      <c r="F47" t="str">
        <f>LEFT(Table34[[#This Row],[Käyttöönotto]],4)</f>
        <v>1998</v>
      </c>
      <c r="G47" t="str">
        <f>'Ajoneuvorekisteri-Parse Modern '!AA210</f>
        <v>XK8 Coup� (AD) 2ov 3990cm3 A</v>
      </c>
      <c r="H47" t="str">
        <f>Ajoneuvorekisteri_Parse_Modern_XK_Range_TieliikenneAvoinData_30_06_2026_csv[[#This Row],[tyyppihyvaksyntanro]]</f>
        <v>e11*95/54*0062*00</v>
      </c>
      <c r="I47">
        <f>'Ajoneuvorekisteri-Parse Modern '!M210</f>
        <v>1729</v>
      </c>
      <c r="J47">
        <f t="shared" si="0"/>
        <v>1</v>
      </c>
      <c r="K47">
        <f t="shared" si="1"/>
        <v>0</v>
      </c>
      <c r="L47">
        <f t="shared" si="2"/>
        <v>1</v>
      </c>
      <c r="M47">
        <f t="shared" si="3"/>
        <v>0</v>
      </c>
      <c r="N47">
        <f>IF(AND(Table34[[#This Row],[Coupe]]&lt;&gt;1, Table34[[#This Row],[Convertible]]&lt;&gt;1), 1, 0)</f>
        <v>0</v>
      </c>
      <c r="O47" t="str">
        <f t="shared" si="4"/>
        <v>Coupe</v>
      </c>
    </row>
    <row r="48" spans="1:15" x14ac:dyDescent="0.25">
      <c r="A48">
        <f>'Ajoneuvorekisteri-Parse Modern '!AO209</f>
        <v>3442853</v>
      </c>
      <c r="B48" t="str">
        <f>'Ajoneuvorekisteri-Parse Modern '!AN209</f>
        <v>SAJGX2244W</v>
      </c>
      <c r="C48" t="str" cm="1">
        <f t="array" ref="C48">_xlfn.LET(_xlpm.v,UPPER(SUBSTITUTE(CLEAN(TRIM(B48)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D48" t="str" cm="1">
        <f t="array" ref="D48">_xlfn.LET(_xlpm.vin,SUBSTITUTE(CLEAN(TRIM(B48)),CHAR(160),""),_xlpm.rawDate,LEFT(TRIM(E48)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48">
        <f>'Ajoneuvorekisteri-Parse Modern '!G209</f>
        <v>19980000</v>
      </c>
      <c r="F48" t="str">
        <f>LEFT(Table34[[#This Row],[Käyttöönotto]],4)</f>
        <v>1998</v>
      </c>
      <c r="G48" t="str">
        <f>'Ajoneuvorekisteri-Parse Modern '!AA209</f>
        <v>XK8 Avoauto (AE) 2ov 3996cm3 A</v>
      </c>
      <c r="H48" t="str">
        <f>Ajoneuvorekisteri_Parse_Modern_XK_Range_TieliikenneAvoinData_30_06_2026_csv[[#This Row],[tyyppihyvaksyntanro]]</f>
        <v>e11*95/54*0061*00</v>
      </c>
      <c r="I48">
        <f>'Ajoneuvorekisteri-Parse Modern '!M209</f>
        <v>1770</v>
      </c>
      <c r="J48">
        <f t="shared" si="0"/>
        <v>1</v>
      </c>
      <c r="K48">
        <f t="shared" si="1"/>
        <v>0</v>
      </c>
      <c r="L48">
        <f t="shared" si="2"/>
        <v>0</v>
      </c>
      <c r="M48">
        <f t="shared" si="3"/>
        <v>1</v>
      </c>
      <c r="N48">
        <f>IF(AND(Table34[[#This Row],[Coupe]]&lt;&gt;1, Table34[[#This Row],[Convertible]]&lt;&gt;1), 1, 0)</f>
        <v>0</v>
      </c>
      <c r="O48" t="str">
        <f t="shared" si="4"/>
        <v>Convertible</v>
      </c>
    </row>
    <row r="49" spans="1:15" x14ac:dyDescent="0.25">
      <c r="A49">
        <f>'Ajoneuvorekisteri-Parse Modern '!AO10</f>
        <v>206383</v>
      </c>
      <c r="B49" t="str">
        <f>'Ajoneuvorekisteri-Parse Modern '!AN10</f>
        <v>SAJJGAED4A</v>
      </c>
      <c r="C49" t="str" cm="1">
        <f t="array" ref="C49">_xlfn.LET(_xlpm.v,UPPER(SUBSTITUTE(CLEAN(TRIM(B49)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49" t="str" cm="1">
        <f t="array" ref="D49">_xlfn.LET(_xlpm.vin,SUBSTITUTE(CLEAN(TRIM(B49)),CHAR(160),""),_xlpm.rawDate,LEFT(TRIM(E49)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023018–024686</v>
      </c>
      <c r="E49">
        <f>'Ajoneuvorekisteri-Parse Modern '!G10</f>
        <v>19980107</v>
      </c>
      <c r="F49" t="str">
        <f>LEFT(Table34[[#This Row],[Käyttöönotto]],4)</f>
        <v>1998</v>
      </c>
      <c r="G49" t="str">
        <f>'Ajoneuvorekisteri-Parse Modern '!AA10</f>
        <v>COUPE XK8 4.0-AUTOMATIC-JGED/259</v>
      </c>
      <c r="H49" t="str">
        <f>Ajoneuvorekisteri_Parse_Modern_XK_Range_TieliikenneAvoinData_30_06_2026_csv[[#This Row],[tyyppihyvaksyntanro]]</f>
        <v>e11*95/54*0061*03</v>
      </c>
      <c r="I49">
        <f>'Ajoneuvorekisteri-Parse Modern '!M10</f>
        <v>1720</v>
      </c>
      <c r="J49">
        <f t="shared" si="0"/>
        <v>1</v>
      </c>
      <c r="K49">
        <f t="shared" si="1"/>
        <v>0</v>
      </c>
      <c r="L49">
        <f t="shared" si="2"/>
        <v>1</v>
      </c>
      <c r="M49">
        <f t="shared" si="3"/>
        <v>0</v>
      </c>
      <c r="N49">
        <f>IF(AND(Table34[[#This Row],[Coupe]]&lt;&gt;1, Table34[[#This Row],[Convertible]]&lt;&gt;1), 1, 0)</f>
        <v>0</v>
      </c>
      <c r="O49" t="str">
        <f t="shared" si="4"/>
        <v>Coupe</v>
      </c>
    </row>
    <row r="50" spans="1:15" x14ac:dyDescent="0.25">
      <c r="A50">
        <f>'Ajoneuvorekisteri-Parse Modern '!AO125</f>
        <v>2521265</v>
      </c>
      <c r="B50" t="str">
        <f>'Ajoneuvorekisteri-Parse Modern '!AN125</f>
        <v>SAJJGXFE4W</v>
      </c>
      <c r="C50" t="str" cm="1">
        <f t="array" ref="C50">_xlfn.LET(_xlpm.v,UPPER(SUBSTITUTE(CLEAN(TRIM(B50)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[8=E]</v>
      </c>
      <c r="D50" t="str" cm="1">
        <f t="array" ref="D50">_xlfn.LET(_xlpm.vin,SUBSTITUTE(CLEAN(TRIM(B50)),CHAR(160),""),_xlpm.rawDate,LEFT(TRIM(E50)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E50">
        <f>'Ajoneuvorekisteri-Parse Modern '!G125</f>
        <v>19980223</v>
      </c>
      <c r="F50" t="str">
        <f>LEFT(Table34[[#This Row],[Käyttöönotto]],4)</f>
        <v>1998</v>
      </c>
      <c r="G50" t="str">
        <f>'Ajoneuvorekisteri-Parse Modern '!AA125</f>
        <v>XK8 Avoauto (AE) 2ov 3990cm3 A</v>
      </c>
      <c r="H50" t="str">
        <f>Ajoneuvorekisteri_Parse_Modern_XK_Range_TieliikenneAvoinData_30_06_2026_csv[[#This Row],[tyyppihyvaksyntanro]]</f>
        <v>e11*95/54*0061*06</v>
      </c>
      <c r="I50">
        <f>'Ajoneuvorekisteri-Parse Modern '!M125</f>
        <v>1795</v>
      </c>
      <c r="J50">
        <f t="shared" si="0"/>
        <v>1</v>
      </c>
      <c r="K50">
        <f t="shared" si="1"/>
        <v>0</v>
      </c>
      <c r="L50">
        <f t="shared" si="2"/>
        <v>0</v>
      </c>
      <c r="M50">
        <f t="shared" si="3"/>
        <v>1</v>
      </c>
      <c r="N50">
        <f>IF(AND(Table34[[#This Row],[Coupe]]&lt;&gt;1, Table34[[#This Row],[Convertible]]&lt;&gt;1), 1, 0)</f>
        <v>0</v>
      </c>
      <c r="O50" t="str">
        <f t="shared" si="4"/>
        <v>Convertible</v>
      </c>
    </row>
    <row r="51" spans="1:15" x14ac:dyDescent="0.25">
      <c r="A51">
        <f>'Ajoneuvorekisteri-Parse Modern '!AO118</f>
        <v>2453986</v>
      </c>
      <c r="B51" t="str">
        <f>'Ajoneuvorekisteri-Parse Modern '!AN118</f>
        <v>SAJGX2248W</v>
      </c>
      <c r="C51" t="str" cm="1">
        <f t="array" ref="C51">_xlfn.LET(_xlpm.v,UPPER(SUBSTITUTE(CLEAN(TRIM(B51)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D51" t="str" cm="1">
        <f t="array" ref="D51">_xlfn.LET(_xlpm.vin,SUBSTITUTE(CLEAN(TRIM(B51)),CHAR(160),""),_xlpm.rawDate,LEFT(TRIM(E51)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E51">
        <f>'Ajoneuvorekisteri-Parse Modern '!G118</f>
        <v>19980319</v>
      </c>
      <c r="F51" t="str">
        <f>LEFT(Table34[[#This Row],[Käyttöönotto]],4)</f>
        <v>1998</v>
      </c>
      <c r="G51" t="str">
        <f>'Ajoneuvorekisteri-Parse Modern '!AA118</f>
        <v>2D CONVERTIBLE XK8 4.0-AUTOMATIC-JGX  2ov 4000cm3</v>
      </c>
      <c r="H51" t="str">
        <f>Ajoneuvorekisteri_Parse_Modern_XK_Range_TieliikenneAvoinData_30_06_2026_csv[[#This Row],[tyyppihyvaksyntanro]]</f>
        <v>e11*95/54*0061*00</v>
      </c>
      <c r="I51">
        <f>'Ajoneuvorekisteri-Parse Modern '!M118</f>
        <v>1810</v>
      </c>
      <c r="J51">
        <f t="shared" si="0"/>
        <v>1</v>
      </c>
      <c r="K51">
        <f t="shared" si="1"/>
        <v>0</v>
      </c>
      <c r="L51">
        <f t="shared" si="2"/>
        <v>0</v>
      </c>
      <c r="M51">
        <f t="shared" si="3"/>
        <v>1</v>
      </c>
      <c r="N51">
        <f>IF(AND(Table34[[#This Row],[Coupe]]&lt;&gt;1, Table34[[#This Row],[Convertible]]&lt;&gt;1), 1, 0)</f>
        <v>0</v>
      </c>
      <c r="O51" t="str">
        <f t="shared" si="4"/>
        <v>Convertible</v>
      </c>
    </row>
    <row r="52" spans="1:15" x14ac:dyDescent="0.25">
      <c r="A52">
        <f>'Ajoneuvorekisteri-Parse Modern '!AO23</f>
        <v>764375</v>
      </c>
      <c r="B52" t="str">
        <f>'Ajoneuvorekisteri-Parse Modern '!AN23</f>
        <v>SAJJGAED4A</v>
      </c>
      <c r="C52" t="str" cm="1">
        <f t="array" ref="C52">_xlfn.LET(_xlpm.v,UPPER(SUBSTITUTE(CLEAN(TRIM(B52)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52" t="str" cm="1">
        <f t="array" ref="D52">_xlfn.LET(_xlpm.vin,SUBSTITUTE(CLEAN(TRIM(B52)),CHAR(160),""),_xlpm.rawDate,LEFT(TRIM(E52)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E52">
        <f>'Ajoneuvorekisteri-Parse Modern '!G23</f>
        <v>19980330</v>
      </c>
      <c r="F52" t="str">
        <f>LEFT(Table34[[#This Row],[Käyttöönotto]],4)</f>
        <v>1998</v>
      </c>
      <c r="G52" t="str">
        <f>'Ajoneuvorekisteri-Parse Modern '!AA23</f>
        <v>COUPE XK8 4.0 AUTOMATIC-JGED/259</v>
      </c>
      <c r="H52" t="str">
        <f>Ajoneuvorekisteri_Parse_Modern_XK_Range_TieliikenneAvoinData_30_06_2026_csv[[#This Row],[tyyppihyvaksyntanro]]</f>
        <v/>
      </c>
      <c r="I52">
        <f>'Ajoneuvorekisteri-Parse Modern '!M23</f>
        <v>1690</v>
      </c>
      <c r="J52">
        <f t="shared" si="0"/>
        <v>1</v>
      </c>
      <c r="K52">
        <f t="shared" si="1"/>
        <v>0</v>
      </c>
      <c r="L52">
        <f t="shared" si="2"/>
        <v>1</v>
      </c>
      <c r="M52">
        <f t="shared" si="3"/>
        <v>0</v>
      </c>
      <c r="N52">
        <f>IF(AND(Table34[[#This Row],[Coupe]]&lt;&gt;1, Table34[[#This Row],[Convertible]]&lt;&gt;1), 1, 0)</f>
        <v>0</v>
      </c>
      <c r="O52" t="str">
        <f t="shared" si="4"/>
        <v>Coupe</v>
      </c>
    </row>
    <row r="53" spans="1:15" x14ac:dyDescent="0.25">
      <c r="A53">
        <f>'Ajoneuvorekisteri-Parse Modern '!AO227</f>
        <v>3779971</v>
      </c>
      <c r="B53" t="str">
        <f>'Ajoneuvorekisteri-Parse Modern '!AN227</f>
        <v>SAJJGKED4A</v>
      </c>
      <c r="C53" t="str" cm="1">
        <f t="array" ref="C53">_xlfn.LET(_xlpm.v,UPPER(SUBSTITUTE(CLEAN(TRIM(B53)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53" t="str" cm="1">
        <f t="array" ref="D53">_xlfn.LET(_xlpm.vin,SUBSTITUTE(CLEAN(TRIM(B53)),CHAR(160),""),_xlpm.rawDate,LEFT(TRIM(E53)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E53">
        <f>'Ajoneuvorekisteri-Parse Modern '!G227</f>
        <v>19980410</v>
      </c>
      <c r="F53" t="str">
        <f>LEFT(Table34[[#This Row],[Käyttöönotto]],4)</f>
        <v>1998</v>
      </c>
      <c r="G53" t="str">
        <f>'Ajoneuvorekisteri-Parse Modern '!AA227</f>
        <v>XK Coup� (AD) 2ov 3990cm3 A</v>
      </c>
      <c r="H53" t="str">
        <f>Ajoneuvorekisteri_Parse_Modern_XK_Range_TieliikenneAvoinData_30_06_2026_csv[[#This Row],[tyyppihyvaksyntanro]]</f>
        <v>e11*95/54*0062*08</v>
      </c>
      <c r="I53">
        <f>'Ajoneuvorekisteri-Parse Modern '!M227</f>
        <v>1720</v>
      </c>
      <c r="J53">
        <f t="shared" si="0"/>
        <v>1</v>
      </c>
      <c r="K53">
        <f t="shared" si="1"/>
        <v>0</v>
      </c>
      <c r="L53">
        <f t="shared" si="2"/>
        <v>1</v>
      </c>
      <c r="M53">
        <f t="shared" si="3"/>
        <v>0</v>
      </c>
      <c r="N53">
        <f>IF(AND(Table34[[#This Row],[Coupe]]&lt;&gt;1, Table34[[#This Row],[Convertible]]&lt;&gt;1), 1, 0)</f>
        <v>0</v>
      </c>
      <c r="O53" t="str">
        <f t="shared" si="4"/>
        <v>Coupe</v>
      </c>
    </row>
    <row r="54" spans="1:15" x14ac:dyDescent="0.25">
      <c r="A54">
        <f>'Ajoneuvorekisteri-Parse Modern '!AO54</f>
        <v>1454117</v>
      </c>
      <c r="B54" t="str">
        <f>'Ajoneuvorekisteri-Parse Modern '!AN54</f>
        <v>SAJJGAFD4A</v>
      </c>
      <c r="C54" t="str" cm="1">
        <f t="array" ref="C54">_xlfn.LET(_xlpm.v,UPPER(SUBSTITUTE(CLEAN(TRIM(B54)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54" t="str" cm="1">
        <f t="array" ref="D54">_xlfn.LET(_xlpm.vin,SUBSTITUTE(CLEAN(TRIM(B54)),CHAR(160),""),_xlpm.rawDate,LEFT(TRIM(E54)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E54">
        <f>'Ajoneuvorekisteri-Parse Modern '!G54</f>
        <v>19980423</v>
      </c>
      <c r="F54" t="str">
        <f>LEFT(Table34[[#This Row],[Käyttöönotto]],4)</f>
        <v>1998</v>
      </c>
      <c r="G54" t="str">
        <f>'Ajoneuvorekisteri-Parse Modern '!AA54</f>
        <v>2D CONVERTIBLE XK8 4.0-AUTOMATIC-JGFD/259</v>
      </c>
      <c r="H54" t="str">
        <f>Ajoneuvorekisteri_Parse_Modern_XK_Range_TieliikenneAvoinData_30_06_2026_csv[[#This Row],[tyyppihyvaksyntanro]]</f>
        <v>e11*95/54*0062</v>
      </c>
      <c r="I54">
        <f>'Ajoneuvorekisteri-Parse Modern '!M54</f>
        <v>1780</v>
      </c>
      <c r="J54">
        <f t="shared" si="0"/>
        <v>1</v>
      </c>
      <c r="K54">
        <f t="shared" si="1"/>
        <v>0</v>
      </c>
      <c r="L54">
        <f t="shared" si="2"/>
        <v>0</v>
      </c>
      <c r="M54">
        <f t="shared" si="3"/>
        <v>1</v>
      </c>
      <c r="N54">
        <f>IF(AND(Table34[[#This Row],[Coupe]]&lt;&gt;1, Table34[[#This Row],[Convertible]]&lt;&gt;1), 1, 0)</f>
        <v>0</v>
      </c>
      <c r="O54" t="str">
        <f t="shared" si="4"/>
        <v>Convertible</v>
      </c>
    </row>
    <row r="55" spans="1:15" x14ac:dyDescent="0.25">
      <c r="A55">
        <f>'Ajoneuvorekisteri-Parse Modern '!AO145</f>
        <v>2669346</v>
      </c>
      <c r="B55" t="str">
        <f>'Ajoneuvorekisteri-Parse Modern '!AN145</f>
        <v>SAJJGAED3A</v>
      </c>
      <c r="C55" t="str" cm="1">
        <f t="array" ref="C55">_xlfn.LET(_xlpm.v,UPPER(SUBSTITUTE(CLEAN(TRIM(B55)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55" t="str" cm="1">
        <f t="array" ref="D55">_xlfn.LET(_xlpm.vin,SUBSTITUTE(CLEAN(TRIM(B55)),CHAR(160),""),_xlpm.rawDate,LEFT(TRIM(E55)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E55">
        <f>'Ajoneuvorekisteri-Parse Modern '!G145</f>
        <v>19980502</v>
      </c>
      <c r="F55" t="str">
        <f>LEFT(Table34[[#This Row],[Käyttöönotto]],4)</f>
        <v>1998</v>
      </c>
      <c r="G55" t="str">
        <f>'Ajoneuvorekisteri-Parse Modern '!AA145</f>
        <v>XK8 Coup� (AD) 2ov 3990cm3 A</v>
      </c>
      <c r="H55" t="str">
        <f>Ajoneuvorekisteri_Parse_Modern_XK_Range_TieliikenneAvoinData_30_06_2026_csv[[#This Row],[tyyppihyvaksyntanro]]</f>
        <v/>
      </c>
      <c r="I55">
        <f>'Ajoneuvorekisteri-Parse Modern '!M145</f>
        <v>1720</v>
      </c>
      <c r="J55">
        <f t="shared" si="0"/>
        <v>1</v>
      </c>
      <c r="K55">
        <f t="shared" si="1"/>
        <v>0</v>
      </c>
      <c r="L55">
        <f t="shared" si="2"/>
        <v>1</v>
      </c>
      <c r="M55">
        <f t="shared" si="3"/>
        <v>0</v>
      </c>
      <c r="N55">
        <f>IF(AND(Table34[[#This Row],[Coupe]]&lt;&gt;1, Table34[[#This Row],[Convertible]]&lt;&gt;1), 1, 0)</f>
        <v>0</v>
      </c>
      <c r="O55" t="str">
        <f t="shared" si="4"/>
        <v>Coupe</v>
      </c>
    </row>
    <row r="56" spans="1:15" x14ac:dyDescent="0.25">
      <c r="A56">
        <f>'Ajoneuvorekisteri-Parse Modern '!AO7</f>
        <v>122779</v>
      </c>
      <c r="B56" t="str">
        <f>'Ajoneuvorekisteri-Parse Modern '!AN7</f>
        <v>SAJJGAEF4A</v>
      </c>
      <c r="C56" t="str" cm="1">
        <f t="array" ref="C56">_xlfn.LET(_xlpm.v,UPPER(SUBSTITUTE(CLEAN(TRIM(B56)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56" t="str" cm="1">
        <f t="array" ref="D56">_xlfn.LET(_xlpm.vin,SUBSTITUTE(CLEAN(TRIM(B56)),CHAR(160),""),_xlpm.rawDate,LEFT(TRIM(E56)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E56">
        <f>'Ajoneuvorekisteri-Parse Modern '!G7</f>
        <v>19980508</v>
      </c>
      <c r="F56" t="str">
        <f>LEFT(Table34[[#This Row],[Käyttöönotto]],4)</f>
        <v>1998</v>
      </c>
      <c r="G56" t="str">
        <f>'Ajoneuvorekisteri-Parse Modern '!AA7</f>
        <v>COUPE XKR 4.0-AUTOMATIC-JGEF/259</v>
      </c>
      <c r="H56" t="str">
        <f>Ajoneuvorekisteri_Parse_Modern_XK_Range_TieliikenneAvoinData_30_06_2026_csv[[#This Row],[tyyppihyvaksyntanro]]</f>
        <v>e11*95/54*0061*05</v>
      </c>
      <c r="I56">
        <f>'Ajoneuvorekisteri-Parse Modern '!M7</f>
        <v>1735</v>
      </c>
      <c r="J56">
        <f t="shared" si="0"/>
        <v>0</v>
      </c>
      <c r="K56">
        <f t="shared" si="1"/>
        <v>1</v>
      </c>
      <c r="L56">
        <f t="shared" si="2"/>
        <v>1</v>
      </c>
      <c r="M56">
        <f t="shared" si="3"/>
        <v>0</v>
      </c>
      <c r="N56">
        <f>IF(AND(Table34[[#This Row],[Coupe]]&lt;&gt;1, Table34[[#This Row],[Convertible]]&lt;&gt;1), 1, 0)</f>
        <v>0</v>
      </c>
      <c r="O56" t="str">
        <f t="shared" si="4"/>
        <v>Coupe</v>
      </c>
    </row>
    <row r="57" spans="1:15" x14ac:dyDescent="0.25">
      <c r="A57">
        <f>'Ajoneuvorekisteri-Parse Modern '!AO34</f>
        <v>1074845</v>
      </c>
      <c r="B57" t="str">
        <f>'Ajoneuvorekisteri-Parse Modern '!AN34</f>
        <v>SAJJGAFD4A</v>
      </c>
      <c r="C57" t="str" cm="1">
        <f t="array" ref="C57">_xlfn.LET(_xlpm.v,UPPER(SUBSTITUTE(CLEAN(TRIM(B57)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57" t="str" cm="1">
        <f t="array" ref="D57">_xlfn.LET(_xlpm.vin,SUBSTITUTE(CLEAN(TRIM(B57)),CHAR(160),""),_xlpm.rawDate,LEFT(TRIM(E57)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E57">
        <f>'Ajoneuvorekisteri-Parse Modern '!G34</f>
        <v>19980508</v>
      </c>
      <c r="F57" t="str">
        <f>LEFT(Table34[[#This Row],[Käyttöönotto]],4)</f>
        <v>1998</v>
      </c>
      <c r="G57" t="str">
        <f>'Ajoneuvorekisteri-Parse Modern '!AA34</f>
        <v>2D CONVERTIBLE XK8 4.0-AUTOMATIC-JGFD/259</v>
      </c>
      <c r="H57" t="str">
        <f>Ajoneuvorekisteri_Parse_Modern_XK_Range_TieliikenneAvoinData_30_06_2026_csv[[#This Row],[tyyppihyvaksyntanro]]</f>
        <v/>
      </c>
      <c r="I57">
        <f>'Ajoneuvorekisteri-Parse Modern '!M34</f>
        <v>1810</v>
      </c>
      <c r="J57">
        <f t="shared" si="0"/>
        <v>1</v>
      </c>
      <c r="K57">
        <f t="shared" si="1"/>
        <v>0</v>
      </c>
      <c r="L57">
        <f t="shared" si="2"/>
        <v>0</v>
      </c>
      <c r="M57">
        <f t="shared" si="3"/>
        <v>1</v>
      </c>
      <c r="N57">
        <f>IF(AND(Table34[[#This Row],[Coupe]]&lt;&gt;1, Table34[[#This Row],[Convertible]]&lt;&gt;1), 1, 0)</f>
        <v>0</v>
      </c>
      <c r="O57" t="str">
        <f t="shared" si="4"/>
        <v>Convertible</v>
      </c>
    </row>
    <row r="58" spans="1:15" x14ac:dyDescent="0.25">
      <c r="A58">
        <f>'Ajoneuvorekisteri-Parse Modern '!AO108</f>
        <v>2310534</v>
      </c>
      <c r="B58" t="str">
        <f>'Ajoneuvorekisteri-Parse Modern '!AN108</f>
        <v>SAJJGAEF4A</v>
      </c>
      <c r="C58" t="str" cm="1">
        <f t="array" ref="C58">_xlfn.LET(_xlpm.v,UPPER(SUBSTITUTE(CLEAN(TRIM(B58)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58" t="str" cm="1">
        <f t="array" ref="D58">_xlfn.LET(_xlpm.vin,SUBSTITUTE(CLEAN(TRIM(B58)),CHAR(160),""),_xlpm.rawDate,LEFT(TRIM(E58)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E58">
        <f>'Ajoneuvorekisteri-Parse Modern '!G108</f>
        <v>19980520</v>
      </c>
      <c r="F58" t="str">
        <f>LEFT(Table34[[#This Row],[Käyttöönotto]],4)</f>
        <v>1998</v>
      </c>
      <c r="G58" t="str">
        <f>'Ajoneuvorekisteri-Parse Modern '!AA108</f>
        <v>XKR Coup� (AD) 2ov 3996cm3 A</v>
      </c>
      <c r="H58" t="str">
        <f>Ajoneuvorekisteri_Parse_Modern_XK_Range_TieliikenneAvoinData_30_06_2026_csv[[#This Row],[tyyppihyvaksyntanro]]</f>
        <v>e11*2001/116*0272*01</v>
      </c>
      <c r="I58">
        <f>'Ajoneuvorekisteri-Parse Modern '!M108</f>
        <v>1715</v>
      </c>
      <c r="J58">
        <f t="shared" si="0"/>
        <v>0</v>
      </c>
      <c r="K58">
        <f t="shared" si="1"/>
        <v>1</v>
      </c>
      <c r="L58">
        <f t="shared" si="2"/>
        <v>1</v>
      </c>
      <c r="M58">
        <f t="shared" si="3"/>
        <v>0</v>
      </c>
      <c r="N58">
        <f>IF(AND(Table34[[#This Row],[Coupe]]&lt;&gt;1, Table34[[#This Row],[Convertible]]&lt;&gt;1), 1, 0)</f>
        <v>0</v>
      </c>
      <c r="O58" t="str">
        <f t="shared" si="4"/>
        <v>Coupe</v>
      </c>
    </row>
    <row r="59" spans="1:15" x14ac:dyDescent="0.25">
      <c r="A59">
        <f>'Ajoneuvorekisteri-Parse Modern '!AO147</f>
        <v>2687833</v>
      </c>
      <c r="B59" t="str">
        <f>'Ajoneuvorekisteri-Parse Modern '!AN147</f>
        <v>SAJJGAED4A</v>
      </c>
      <c r="C59" t="str" cm="1">
        <f t="array" ref="C59">_xlfn.LET(_xlpm.v,UPPER(SUBSTITUTE(CLEAN(TRIM(B59)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59" t="str" cm="1">
        <f t="array" ref="D59">_xlfn.LET(_xlpm.vin,SUBSTITUTE(CLEAN(TRIM(B59)),CHAR(160),""),_xlpm.rawDate,LEFT(TRIM(E59)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E59">
        <f>'Ajoneuvorekisteri-Parse Modern '!G147</f>
        <v>19980521</v>
      </c>
      <c r="F59" t="str">
        <f>LEFT(Table34[[#This Row],[Käyttöönotto]],4)</f>
        <v>1998</v>
      </c>
      <c r="G59" t="str">
        <f>'Ajoneuvorekisteri-Parse Modern '!AA147</f>
        <v>XK 8 Coup� (AD) 2ov 3996cm3 A</v>
      </c>
      <c r="H59" t="str">
        <f>Ajoneuvorekisteri_Parse_Modern_XK_Range_TieliikenneAvoinData_30_06_2026_csv[[#This Row],[tyyppihyvaksyntanro]]</f>
        <v>e11*95/54*0061*03</v>
      </c>
      <c r="I59">
        <f>'Ajoneuvorekisteri-Parse Modern '!M147</f>
        <v>1720</v>
      </c>
      <c r="J59">
        <f t="shared" si="0"/>
        <v>1</v>
      </c>
      <c r="K59">
        <f t="shared" si="1"/>
        <v>0</v>
      </c>
      <c r="L59">
        <f t="shared" si="2"/>
        <v>1</v>
      </c>
      <c r="M59">
        <f t="shared" si="3"/>
        <v>0</v>
      </c>
      <c r="N59">
        <f>IF(AND(Table34[[#This Row],[Coupe]]&lt;&gt;1, Table34[[#This Row],[Convertible]]&lt;&gt;1), 1, 0)</f>
        <v>0</v>
      </c>
      <c r="O59" t="str">
        <f t="shared" si="4"/>
        <v>Coupe</v>
      </c>
    </row>
    <row r="60" spans="1:15" x14ac:dyDescent="0.25">
      <c r="A60">
        <f>'Ajoneuvorekisteri-Parse Modern '!AO43</f>
        <v>1271846</v>
      </c>
      <c r="B60" t="str">
        <f>'Ajoneuvorekisteri-Parse Modern '!AN43</f>
        <v>SAJJGAEF4A</v>
      </c>
      <c r="C60" t="str" cm="1">
        <f t="array" ref="C60">_xlfn.LET(_xlpm.v,UPPER(SUBSTITUTE(CLEAN(TRIM(B60)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60" t="str" cm="1">
        <f t="array" ref="D60">_xlfn.LET(_xlpm.vin,SUBSTITUTE(CLEAN(TRIM(B60)),CHAR(160),""),_xlpm.rawDate,LEFT(TRIM(E60)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E60">
        <f>'Ajoneuvorekisteri-Parse Modern '!G43</f>
        <v>19980522</v>
      </c>
      <c r="F60" t="str">
        <f>LEFT(Table34[[#This Row],[Käyttöönotto]],4)</f>
        <v>1998</v>
      </c>
      <c r="G60" t="str">
        <f>'Ajoneuvorekisteri-Parse Modern '!AA43</f>
        <v>COUPE XKR 4.0-AUTOMATIC</v>
      </c>
      <c r="H60" t="str">
        <f>Ajoneuvorekisteri_Parse_Modern_XK_Range_TieliikenneAvoinData_30_06_2026_csv[[#This Row],[tyyppihyvaksyntanro]]</f>
        <v>e11*2001/116*0272*01</v>
      </c>
      <c r="I60">
        <f>'Ajoneuvorekisteri-Parse Modern '!M43</f>
        <v>1720</v>
      </c>
      <c r="J60">
        <f t="shared" si="0"/>
        <v>0</v>
      </c>
      <c r="K60">
        <f t="shared" si="1"/>
        <v>1</v>
      </c>
      <c r="L60">
        <f t="shared" si="2"/>
        <v>1</v>
      </c>
      <c r="M60">
        <f t="shared" si="3"/>
        <v>0</v>
      </c>
      <c r="N60">
        <f>IF(AND(Table34[[#This Row],[Coupe]]&lt;&gt;1, Table34[[#This Row],[Convertible]]&lt;&gt;1), 1, 0)</f>
        <v>0</v>
      </c>
      <c r="O60" t="str">
        <f t="shared" si="4"/>
        <v>Coupe</v>
      </c>
    </row>
    <row r="61" spans="1:15" x14ac:dyDescent="0.25">
      <c r="A61">
        <f>'Ajoneuvorekisteri-Parse Modern '!AO94</f>
        <v>2189712</v>
      </c>
      <c r="B61" t="str">
        <f>'Ajoneuvorekisteri-Parse Modern '!AN94</f>
        <v>SAJJGXFE4W</v>
      </c>
      <c r="C61" t="str" cm="1">
        <f t="array" ref="C61">_xlfn.LET(_xlpm.v,UPPER(SUBSTITUTE(CLEAN(TRIM(B61)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[8=E]</v>
      </c>
      <c r="D61" t="str" cm="1">
        <f t="array" ref="D61">_xlfn.LET(_xlpm.vin,SUBSTITUTE(CLEAN(TRIM(B61)),CHAR(160),""),_xlpm.rawDate,LEFT(TRIM(E61)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E61">
        <f>'Ajoneuvorekisteri-Parse Modern '!G94</f>
        <v>19980619</v>
      </c>
      <c r="F61" t="str">
        <f>LEFT(Table34[[#This Row],[Käyttöönotto]],4)</f>
        <v>1998</v>
      </c>
      <c r="G61" t="str">
        <f>'Ajoneuvorekisteri-Parse Modern '!AA94</f>
        <v>XK Avoauto (AE) 2ov 4000cm3 A</v>
      </c>
      <c r="H61" t="str">
        <f>Ajoneuvorekisteri_Parse_Modern_XK_Range_TieliikenneAvoinData_30_06_2026_csv[[#This Row],[tyyppihyvaksyntanro]]</f>
        <v/>
      </c>
      <c r="I61">
        <f>'Ajoneuvorekisteri-Parse Modern '!M94</f>
        <v>1845</v>
      </c>
      <c r="J61">
        <f t="shared" si="0"/>
        <v>1</v>
      </c>
      <c r="K61">
        <f t="shared" si="1"/>
        <v>0</v>
      </c>
      <c r="L61">
        <f t="shared" si="2"/>
        <v>0</v>
      </c>
      <c r="M61">
        <f t="shared" si="3"/>
        <v>1</v>
      </c>
      <c r="N61">
        <f>IF(AND(Table34[[#This Row],[Coupe]]&lt;&gt;1, Table34[[#This Row],[Convertible]]&lt;&gt;1), 1, 0)</f>
        <v>0</v>
      </c>
      <c r="O61" t="str">
        <f t="shared" si="4"/>
        <v>Convertible</v>
      </c>
    </row>
    <row r="62" spans="1:15" x14ac:dyDescent="0.25">
      <c r="A62">
        <f>'Ajoneuvorekisteri-Parse Modern '!AO119</f>
        <v>2469255</v>
      </c>
      <c r="B62" t="str">
        <f>'Ajoneuvorekisteri-Parse Modern '!AN119</f>
        <v>SAJJGXFE4W</v>
      </c>
      <c r="C62" t="str" cm="1">
        <f t="array" ref="C62">_xlfn.LET(_xlpm.v,UPPER(SUBSTITUTE(CLEAN(TRIM(B62)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[8=E]</v>
      </c>
      <c r="D62" t="str" cm="1">
        <f t="array" ref="D62">_xlfn.LET(_xlpm.vin,SUBSTITUTE(CLEAN(TRIM(B62)),CHAR(160),""),_xlpm.rawDate,LEFT(TRIM(E62)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E62">
        <f>'Ajoneuvorekisteri-Parse Modern '!G119</f>
        <v>19980701</v>
      </c>
      <c r="F62" t="str">
        <f>LEFT(Table34[[#This Row],[Käyttöönotto]],4)</f>
        <v>1998</v>
      </c>
      <c r="G62" t="str">
        <f>'Ajoneuvorekisteri-Parse Modern '!AA119</f>
        <v>XK Avoauto (AE) 2ov 3990cm3 A</v>
      </c>
      <c r="H62" t="str">
        <f>Ajoneuvorekisteri_Parse_Modern_XK_Range_TieliikenneAvoinData_30_06_2026_csv[[#This Row],[tyyppihyvaksyntanro]]</f>
        <v>e11*95/54*0061*03</v>
      </c>
      <c r="I62">
        <f>'Ajoneuvorekisteri-Parse Modern '!M119</f>
        <v>1720</v>
      </c>
      <c r="J62">
        <f t="shared" si="0"/>
        <v>1</v>
      </c>
      <c r="K62">
        <f t="shared" si="1"/>
        <v>0</v>
      </c>
      <c r="L62">
        <f t="shared" si="2"/>
        <v>0</v>
      </c>
      <c r="M62">
        <f t="shared" si="3"/>
        <v>1</v>
      </c>
      <c r="N62">
        <f>IF(AND(Table34[[#This Row],[Coupe]]&lt;&gt;1, Table34[[#This Row],[Convertible]]&lt;&gt;1), 1, 0)</f>
        <v>0</v>
      </c>
      <c r="O62" t="str">
        <f t="shared" si="4"/>
        <v>Convertible</v>
      </c>
    </row>
    <row r="63" spans="1:15" x14ac:dyDescent="0.25">
      <c r="A63">
        <f>'Ajoneuvorekisteri-Parse Modern '!AO47</f>
        <v>1308878</v>
      </c>
      <c r="B63" t="str">
        <f>'Ajoneuvorekisteri-Parse Modern '!AN47</f>
        <v>SAJJGAFF4A</v>
      </c>
      <c r="C63" t="str" cm="1">
        <f t="array" ref="C63">_xlfn.LET(_xlpm.v,UPPER(SUBSTITUTE(CLEAN(TRIM(B63)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63" t="str" cm="1">
        <f t="array" ref="D63">_xlfn.LET(_xlpm.vin,SUBSTITUTE(CLEAN(TRIM(B63)),CHAR(160),""),_xlpm.rawDate,LEFT(TRIM(E63)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E63">
        <f>'Ajoneuvorekisteri-Parse Modern '!G47</f>
        <v>19980703</v>
      </c>
      <c r="F63" t="str">
        <f>LEFT(Table34[[#This Row],[Käyttöönotto]],4)</f>
        <v>1998</v>
      </c>
      <c r="G63" t="str">
        <f>'Ajoneuvorekisteri-Parse Modern '!AA47</f>
        <v>2D CONVERTIBLE XKR 4.0-AUTOMATIC-JGAF/259</v>
      </c>
      <c r="H63" t="str">
        <f>Ajoneuvorekisteri_Parse_Modern_XK_Range_TieliikenneAvoinData_30_06_2026_csv[[#This Row],[tyyppihyvaksyntanro]]</f>
        <v>e11*95/54*0061*04</v>
      </c>
      <c r="I63">
        <f>'Ajoneuvorekisteri-Parse Modern '!M47</f>
        <v>1845</v>
      </c>
      <c r="J63">
        <f t="shared" si="0"/>
        <v>0</v>
      </c>
      <c r="K63">
        <f t="shared" si="1"/>
        <v>1</v>
      </c>
      <c r="L63">
        <f t="shared" si="2"/>
        <v>0</v>
      </c>
      <c r="M63">
        <f t="shared" si="3"/>
        <v>1</v>
      </c>
      <c r="N63">
        <f>IF(AND(Table34[[#This Row],[Coupe]]&lt;&gt;1, Table34[[#This Row],[Convertible]]&lt;&gt;1), 1, 0)</f>
        <v>0</v>
      </c>
      <c r="O63" t="str">
        <f t="shared" si="4"/>
        <v>Convertible</v>
      </c>
    </row>
    <row r="64" spans="1:15" x14ac:dyDescent="0.25">
      <c r="A64">
        <f>'Ajoneuvorekisteri-Parse Modern '!AO92</f>
        <v>2163905</v>
      </c>
      <c r="B64" t="str">
        <f>'Ajoneuvorekisteri-Parse Modern '!AN92</f>
        <v>SAJJGXFE4W</v>
      </c>
      <c r="C64" t="str" cm="1">
        <f t="array" ref="C64">_xlfn.LET(_xlpm.v,UPPER(SUBSTITUTE(CLEAN(TRIM(B64)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[8=E]</v>
      </c>
      <c r="D64" t="str" cm="1">
        <f t="array" ref="D64">_xlfn.LET(_xlpm.vin,SUBSTITUTE(CLEAN(TRIM(B64)),CHAR(160),""),_xlpm.rawDate,LEFT(TRIM(E64)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E64">
        <f>'Ajoneuvorekisteri-Parse Modern '!G92</f>
        <v>19980717</v>
      </c>
      <c r="F64" t="str">
        <f>LEFT(Table34[[#This Row],[Käyttöönotto]],4)</f>
        <v>1998</v>
      </c>
      <c r="G64" t="str">
        <f>'Ajoneuvorekisteri-Parse Modern '!AA92</f>
        <v>XK8 Avoauto (AE) 2ov 3996cm3 A</v>
      </c>
      <c r="H64" t="str">
        <f>Ajoneuvorekisteri_Parse_Modern_XK_Range_TieliikenneAvoinData_30_06_2026_csv[[#This Row],[tyyppihyvaksyntanro]]</f>
        <v/>
      </c>
      <c r="I64">
        <f>'Ajoneuvorekisteri-Parse Modern '!M92</f>
        <v>1845</v>
      </c>
      <c r="J64">
        <f t="shared" si="0"/>
        <v>1</v>
      </c>
      <c r="K64">
        <f t="shared" si="1"/>
        <v>0</v>
      </c>
      <c r="L64">
        <f t="shared" si="2"/>
        <v>0</v>
      </c>
      <c r="M64">
        <f t="shared" si="3"/>
        <v>1</v>
      </c>
      <c r="N64">
        <f>IF(AND(Table34[[#This Row],[Coupe]]&lt;&gt;1, Table34[[#This Row],[Convertible]]&lt;&gt;1), 1, 0)</f>
        <v>0</v>
      </c>
      <c r="O64" t="str">
        <f t="shared" si="4"/>
        <v>Convertible</v>
      </c>
    </row>
    <row r="65" spans="1:15" x14ac:dyDescent="0.25">
      <c r="A65">
        <f>'Ajoneuvorekisteri-Parse Modern '!AO152</f>
        <v>2702358</v>
      </c>
      <c r="B65" t="str">
        <f>'Ajoneuvorekisteri-Parse Modern '!AN152</f>
        <v>SAJJGAED4A</v>
      </c>
      <c r="C65" t="str" cm="1">
        <f t="array" ref="C65">_xlfn.LET(_xlpm.v,UPPER(SUBSTITUTE(CLEAN(TRIM(B65)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65" t="str" cm="1">
        <f t="array" ref="D65">_xlfn.LET(_xlpm.vin,SUBSTITUTE(CLEAN(TRIM(B65)),CHAR(160),""),_xlpm.rawDate,LEFT(TRIM(E65)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E65">
        <f>'Ajoneuvorekisteri-Parse Modern '!G152</f>
        <v>19980731</v>
      </c>
      <c r="F65" t="str">
        <f>LEFT(Table34[[#This Row],[Käyttöönotto]],4)</f>
        <v>1998</v>
      </c>
      <c r="G65" t="str">
        <f>'Ajoneuvorekisteri-Parse Modern '!AA152</f>
        <v>XK8 COUPE Coup� (AD) 2ov 3996cm3 A</v>
      </c>
      <c r="H65" t="str">
        <f>Ajoneuvorekisteri_Parse_Modern_XK_Range_TieliikenneAvoinData_30_06_2026_csv[[#This Row],[tyyppihyvaksyntanro]]</f>
        <v/>
      </c>
      <c r="I65">
        <f>'Ajoneuvorekisteri-Parse Modern '!M152</f>
        <v>1690</v>
      </c>
      <c r="J65">
        <f t="shared" si="0"/>
        <v>1</v>
      </c>
      <c r="K65">
        <f t="shared" si="1"/>
        <v>0</v>
      </c>
      <c r="L65">
        <f t="shared" si="2"/>
        <v>1</v>
      </c>
      <c r="M65">
        <f t="shared" si="3"/>
        <v>0</v>
      </c>
      <c r="N65">
        <f>IF(AND(Table34[[#This Row],[Coupe]]&lt;&gt;1, Table34[[#This Row],[Convertible]]&lt;&gt;1), 1, 0)</f>
        <v>0</v>
      </c>
      <c r="O65" t="str">
        <f t="shared" si="4"/>
        <v>Coupe</v>
      </c>
    </row>
    <row r="66" spans="1:15" x14ac:dyDescent="0.25">
      <c r="A66">
        <f>'Ajoneuvorekisteri-Parse Modern '!AO191</f>
        <v>3259973</v>
      </c>
      <c r="B66" t="str">
        <f>'Ajoneuvorekisteri-Parse Modern '!AN191</f>
        <v>SAJGX2241W</v>
      </c>
      <c r="C66" t="str" cm="1">
        <f t="array" ref="C66">_xlfn.LET(_xlpm.v,UPPER(SUBSTITUTE(CLEAN(TRIM(B66)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D66" t="str" cm="1">
        <f t="array" ref="D66">_xlfn.LET(_xlpm.vin,SUBSTITUTE(CLEAN(TRIM(B66)),CHAR(160),""),_xlpm.rawDate,LEFT(TRIM(E66)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66">
        <f>'Ajoneuvorekisteri-Parse Modern '!G191</f>
        <v>19980807</v>
      </c>
      <c r="F66" t="str">
        <f>LEFT(Table34[[#This Row],[Käyttöönotto]],4)</f>
        <v>1998</v>
      </c>
      <c r="G66" t="str">
        <f>'Ajoneuvorekisteri-Parse Modern '!AA191</f>
        <v>XK8 Convertible Avoauto (AE) 2ov 3990cm3 A</v>
      </c>
      <c r="H66" t="str">
        <f>Ajoneuvorekisteri_Parse_Modern_XK_Range_TieliikenneAvoinData_30_06_2026_csv[[#This Row],[tyyppihyvaksyntanro]]</f>
        <v/>
      </c>
      <c r="I66">
        <f>'Ajoneuvorekisteri-Parse Modern '!M191</f>
        <v>1825</v>
      </c>
      <c r="J66">
        <f t="shared" ref="J66:J129" si="5">IF(AND(
    OR(
        ISNUMBER(SEARCH("XK ", G66)),
        ISNUMBER(SEARCH("XK8", G66))
    ),
    F66 &gt; 2005
), 1, 0)</f>
        <v>1</v>
      </c>
      <c r="K66">
        <f t="shared" ref="K66:K129" si="6">IF(OR(
    ISNUMBER(SEARCH("XKR", G66)),
), 1, 0)</f>
        <v>0</v>
      </c>
      <c r="L66">
        <f t="shared" ref="L66:L129" si="7">IF(OR(
    ISNUMBER(SEARCH("COUPE", G66)),
    ISNUMBER(SEARCH("COUPÉ", G66)),
    ISNUMBER(SEARCH("COUP�", G66))
), 1, 0)</f>
        <v>0</v>
      </c>
      <c r="M66">
        <f t="shared" ref="M66:M129" si="8">IF(OR(
    ISNUMBER(SEARCH("CONVERTIBLE",G66)),
    ISNUMBER(SEARCH("AVOAUTO",G66)),
    ISNUMBER(SEARCH("AVO",G66)),
    ISNUMBER(SEARCH("CABRIO",G66))
),1,0)</f>
        <v>1</v>
      </c>
      <c r="N66">
        <f>IF(AND(Table34[[#This Row],[Coupe]]&lt;&gt;1, Table34[[#This Row],[Convertible]]&lt;&gt;1), 1, 0)</f>
        <v>0</v>
      </c>
      <c r="O66" t="str">
        <f t="shared" ref="O66:O129" si="9">IF(L66=1, "Coupe", IF(M66=1, "Convertible", "Unknown"))</f>
        <v>Convertible</v>
      </c>
    </row>
    <row r="67" spans="1:15" x14ac:dyDescent="0.25">
      <c r="A67">
        <f>'Ajoneuvorekisteri-Parse Modern '!AO44</f>
        <v>1292523</v>
      </c>
      <c r="B67" t="str">
        <f>'Ajoneuvorekisteri-Parse Modern '!AN44</f>
        <v>SAJJGAEF4A</v>
      </c>
      <c r="C67" t="str" cm="1">
        <f t="array" ref="C67">_xlfn.LET(_xlpm.v,UPPER(SUBSTITUTE(CLEAN(TRIM(B67)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67" t="str" cm="1">
        <f t="array" ref="D67">_xlfn.LET(_xlpm.vin,SUBSTITUTE(CLEAN(TRIM(B67)),CHAR(160),""),_xlpm.rawDate,LEFT(TRIM(E67)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67">
        <f>'Ajoneuvorekisteri-Parse Modern '!G44</f>
        <v>19980820</v>
      </c>
      <c r="F67" t="str">
        <f>LEFT(Table34[[#This Row],[Käyttöönotto]],4)</f>
        <v>1998</v>
      </c>
      <c r="G67" t="str">
        <f>'Ajoneuvorekisteri-Parse Modern '!AA44</f>
        <v>COUPE XKR 4.0-AUTOMATIC-JGEF/259</v>
      </c>
      <c r="H67" t="str">
        <f>Ajoneuvorekisteri_Parse_Modern_XK_Range_TieliikenneAvoinData_30_06_2026_csv[[#This Row],[tyyppihyvaksyntanro]]</f>
        <v>e11*95/54*0061*03</v>
      </c>
      <c r="I67">
        <f>'Ajoneuvorekisteri-Parse Modern '!M44</f>
        <v>1735</v>
      </c>
      <c r="J67">
        <f t="shared" si="5"/>
        <v>0</v>
      </c>
      <c r="K67">
        <f t="shared" si="6"/>
        <v>1</v>
      </c>
      <c r="L67">
        <f t="shared" si="7"/>
        <v>1</v>
      </c>
      <c r="M67">
        <f t="shared" si="8"/>
        <v>0</v>
      </c>
      <c r="N67">
        <f>IF(AND(Table34[[#This Row],[Coupe]]&lt;&gt;1, Table34[[#This Row],[Convertible]]&lt;&gt;1), 1, 0)</f>
        <v>0</v>
      </c>
      <c r="O67" t="str">
        <f t="shared" si="9"/>
        <v>Coupe</v>
      </c>
    </row>
    <row r="68" spans="1:15" x14ac:dyDescent="0.25">
      <c r="A68">
        <f>'Ajoneuvorekisteri-Parse Modern '!AO133</f>
        <v>2545851</v>
      </c>
      <c r="B68" t="str">
        <f>'Ajoneuvorekisteri-Parse Modern '!AN133</f>
        <v>SAJGX2246W</v>
      </c>
      <c r="C68" t="str" cm="1">
        <f t="array" ref="C68">_xlfn.LET(_xlpm.v,UPPER(SUBSTITUTE(CLEAN(TRIM(B68)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D68" t="str" cm="1">
        <f t="array" ref="D68">_xlfn.LET(_xlpm.vin,SUBSTITUTE(CLEAN(TRIM(B68)),CHAR(160),""),_xlpm.rawDate,LEFT(TRIM(E68)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68">
        <f>'Ajoneuvorekisteri-Parse Modern '!G133</f>
        <v>19980824</v>
      </c>
      <c r="F68" t="str">
        <f>LEFT(Table34[[#This Row],[Käyttöönotto]],4)</f>
        <v>1998</v>
      </c>
      <c r="G68" t="str">
        <f>'Ajoneuvorekisteri-Parse Modern '!AA133</f>
        <v>2D CONVERTIBLE XK8- 4,0 AUTOMATIC Avoauto (AE) 2ov 3996cm3 A</v>
      </c>
      <c r="H68" t="str">
        <f>Ajoneuvorekisteri_Parse_Modern_XK_Range_TieliikenneAvoinData_30_06_2026_csv[[#This Row],[tyyppihyvaksyntanro]]</f>
        <v>e11*95/54*0061*00</v>
      </c>
      <c r="I68">
        <f>'Ajoneuvorekisteri-Parse Modern '!M133</f>
        <v>1770</v>
      </c>
      <c r="J68">
        <f t="shared" si="5"/>
        <v>1</v>
      </c>
      <c r="K68">
        <f t="shared" si="6"/>
        <v>0</v>
      </c>
      <c r="L68">
        <f t="shared" si="7"/>
        <v>0</v>
      </c>
      <c r="M68">
        <f t="shared" si="8"/>
        <v>1</v>
      </c>
      <c r="N68">
        <f>IF(AND(Table34[[#This Row],[Coupe]]&lt;&gt;1, Table34[[#This Row],[Convertible]]&lt;&gt;1), 1, 0)</f>
        <v>0</v>
      </c>
      <c r="O68" t="str">
        <f t="shared" si="9"/>
        <v>Convertible</v>
      </c>
    </row>
    <row r="69" spans="1:15" x14ac:dyDescent="0.25">
      <c r="A69">
        <f>'Ajoneuvorekisteri-Parse Modern '!AO179</f>
        <v>3053330</v>
      </c>
      <c r="B69" t="str">
        <f>'Ajoneuvorekisteri-Parse Modern '!AN179</f>
        <v>SAJJGAFD4A</v>
      </c>
      <c r="C69" t="str" cm="1">
        <f t="array" ref="C69">_xlfn.LET(_xlpm.v,UPPER(SUBSTITUTE(CLEAN(TRIM(B69)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69" t="str" cm="1">
        <f t="array" ref="D69">_xlfn.LET(_xlpm.vin,SUBSTITUTE(CLEAN(TRIM(B69)),CHAR(160),""),_xlpm.rawDate,LEFT(TRIM(E69)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69">
        <f>'Ajoneuvorekisteri-Parse Modern '!G179</f>
        <v>19980831</v>
      </c>
      <c r="F69" t="str">
        <f>LEFT(Table34[[#This Row],[Käyttöönotto]],4)</f>
        <v>1998</v>
      </c>
      <c r="G69" t="str">
        <f>'Ajoneuvorekisteri-Parse Modern '!AA179</f>
        <v>JAGUAR XK8 CONVERTIBLE Avoauto (AE) 2ov 3996cm3 A</v>
      </c>
      <c r="H69" t="str">
        <f>Ajoneuvorekisteri_Parse_Modern_XK_Range_TieliikenneAvoinData_30_06_2026_csv[[#This Row],[tyyppihyvaksyntanro]]</f>
        <v>e11*2001/116*0272*00</v>
      </c>
      <c r="I69">
        <f>'Ajoneuvorekisteri-Parse Modern '!M179</f>
        <v>1810</v>
      </c>
      <c r="J69">
        <f t="shared" si="5"/>
        <v>1</v>
      </c>
      <c r="K69">
        <f t="shared" si="6"/>
        <v>0</v>
      </c>
      <c r="L69">
        <f t="shared" si="7"/>
        <v>0</v>
      </c>
      <c r="M69">
        <f t="shared" si="8"/>
        <v>1</v>
      </c>
      <c r="N69">
        <f>IF(AND(Table34[[#This Row],[Coupe]]&lt;&gt;1, Table34[[#This Row],[Convertible]]&lt;&gt;1), 1, 0)</f>
        <v>0</v>
      </c>
      <c r="O69" t="str">
        <f t="shared" si="9"/>
        <v>Convertible</v>
      </c>
    </row>
    <row r="70" spans="1:15" x14ac:dyDescent="0.25">
      <c r="A70">
        <f>'Ajoneuvorekisteri-Parse Modern '!AO128</f>
        <v>2533258</v>
      </c>
      <c r="B70" t="str">
        <f>'Ajoneuvorekisteri-Parse Modern '!AN128</f>
        <v>SAJGX2246W</v>
      </c>
      <c r="C70" t="str" cm="1">
        <f t="array" ref="C70">_xlfn.LET(_xlpm.v,UPPER(SUBSTITUTE(CLEAN(TRIM(B70)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D70" t="str" cm="1">
        <f t="array" ref="D70">_xlfn.LET(_xlpm.vin,SUBSTITUTE(CLEAN(TRIM(B70)),CHAR(160),""),_xlpm.rawDate,LEFT(TRIM(E70)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70">
        <f>'Ajoneuvorekisteri-Parse Modern '!G128</f>
        <v>19980922</v>
      </c>
      <c r="F70" t="str">
        <f>LEFT(Table34[[#This Row],[Käyttöönotto]],4)</f>
        <v>1998</v>
      </c>
      <c r="G70" t="str">
        <f>'Ajoneuvorekisteri-Parse Modern '!AA128</f>
        <v>XK8 Avoauto (AE) 2ov 3990cm3 A</v>
      </c>
      <c r="H70" t="str">
        <f>Ajoneuvorekisteri_Parse_Modern_XK_Range_TieliikenneAvoinData_30_06_2026_csv[[#This Row],[tyyppihyvaksyntanro]]</f>
        <v>e11*95/54*0061*05</v>
      </c>
      <c r="I70">
        <f>'Ajoneuvorekisteri-Parse Modern '!M128</f>
        <v>1820</v>
      </c>
      <c r="J70">
        <f t="shared" si="5"/>
        <v>1</v>
      </c>
      <c r="K70">
        <f t="shared" si="6"/>
        <v>0</v>
      </c>
      <c r="L70">
        <f t="shared" si="7"/>
        <v>0</v>
      </c>
      <c r="M70">
        <f t="shared" si="8"/>
        <v>1</v>
      </c>
      <c r="N70">
        <f>IF(AND(Table34[[#This Row],[Coupe]]&lt;&gt;1, Table34[[#This Row],[Convertible]]&lt;&gt;1), 1, 0)</f>
        <v>0</v>
      </c>
      <c r="O70" t="str">
        <f t="shared" si="9"/>
        <v>Convertible</v>
      </c>
    </row>
    <row r="71" spans="1:15" x14ac:dyDescent="0.25">
      <c r="A71">
        <f>'Ajoneuvorekisteri-Parse Modern '!AO62</f>
        <v>1680337</v>
      </c>
      <c r="B71" t="str">
        <f>'Ajoneuvorekisteri-Parse Modern '!AN62</f>
        <v>SAJJGAED4A</v>
      </c>
      <c r="C71" t="str" cm="1">
        <f t="array" ref="C71">_xlfn.LET(_xlpm.v,UPPER(SUBSTITUTE(CLEAN(TRIM(B71)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71" t="str" cm="1">
        <f t="array" ref="D71">_xlfn.LET(_xlpm.vin,SUBSTITUTE(CLEAN(TRIM(B71)),CHAR(160),""),_xlpm.rawDate,LEFT(TRIM(E71)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71">
        <f>'Ajoneuvorekisteri-Parse Modern '!G62</f>
        <v>19980930</v>
      </c>
      <c r="F71" t="str">
        <f>LEFT(Table34[[#This Row],[Käyttöönotto]],4)</f>
        <v>1998</v>
      </c>
      <c r="G71" t="str">
        <f>'Ajoneuvorekisteri-Parse Modern '!AA62</f>
        <v>COUPE XK8 4.0-AUTOMATIC-JGAE/259</v>
      </c>
      <c r="H71" t="str">
        <f>Ajoneuvorekisteri_Parse_Modern_XK_Range_TieliikenneAvoinData_30_06_2026_csv[[#This Row],[tyyppihyvaksyntanro]]</f>
        <v/>
      </c>
      <c r="I71">
        <f>'Ajoneuvorekisteri-Parse Modern '!M62</f>
        <v>1690</v>
      </c>
      <c r="J71">
        <f t="shared" si="5"/>
        <v>1</v>
      </c>
      <c r="K71">
        <f t="shared" si="6"/>
        <v>0</v>
      </c>
      <c r="L71">
        <f t="shared" si="7"/>
        <v>1</v>
      </c>
      <c r="M71">
        <f t="shared" si="8"/>
        <v>0</v>
      </c>
      <c r="N71">
        <f>IF(AND(Table34[[#This Row],[Coupe]]&lt;&gt;1, Table34[[#This Row],[Convertible]]&lt;&gt;1), 1, 0)</f>
        <v>0</v>
      </c>
      <c r="O71" t="str">
        <f t="shared" si="9"/>
        <v>Coupe</v>
      </c>
    </row>
    <row r="72" spans="1:15" x14ac:dyDescent="0.25">
      <c r="A72">
        <f>'Ajoneuvorekisteri-Parse Modern '!AO123</f>
        <v>2505460</v>
      </c>
      <c r="B72" t="str">
        <f>'Ajoneuvorekisteri-Parse Modern '!AN123</f>
        <v>SAJJGAFF4A</v>
      </c>
      <c r="C72" t="str" cm="1">
        <f t="array" ref="C72">_xlfn.LET(_xlpm.v,UPPER(SUBSTITUTE(CLEAN(TRIM(B72)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72" t="str" cm="1">
        <f t="array" ref="D72">_xlfn.LET(_xlpm.vin,SUBSTITUTE(CLEAN(TRIM(B72)),CHAR(160),""),_xlpm.rawDate,LEFT(TRIM(E72)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72">
        <f>'Ajoneuvorekisteri-Parse Modern '!G123</f>
        <v>19981015</v>
      </c>
      <c r="F72" t="str">
        <f>LEFT(Table34[[#This Row],[Käyttöönotto]],4)</f>
        <v>1998</v>
      </c>
      <c r="G72" t="str">
        <f>'Ajoneuvorekisteri-Parse Modern '!AA123</f>
        <v>2D CONVERTIBLE XKR  2ov 3996cm3</v>
      </c>
      <c r="H72" t="str">
        <f>Ajoneuvorekisteri_Parse_Modern_XK_Range_TieliikenneAvoinData_30_06_2026_csv[[#This Row],[tyyppihyvaksyntanro]]</f>
        <v>e11*2001/116*0272*02</v>
      </c>
      <c r="I72">
        <f>'Ajoneuvorekisteri-Parse Modern '!M123</f>
        <v>1825</v>
      </c>
      <c r="J72">
        <f t="shared" si="5"/>
        <v>0</v>
      </c>
      <c r="K72">
        <f t="shared" si="6"/>
        <v>1</v>
      </c>
      <c r="L72">
        <f t="shared" si="7"/>
        <v>0</v>
      </c>
      <c r="M72">
        <f t="shared" si="8"/>
        <v>1</v>
      </c>
      <c r="N72">
        <f>IF(AND(Table34[[#This Row],[Coupe]]&lt;&gt;1, Table34[[#This Row],[Convertible]]&lt;&gt;1), 1, 0)</f>
        <v>0</v>
      </c>
      <c r="O72" t="str">
        <f t="shared" si="9"/>
        <v>Convertible</v>
      </c>
    </row>
    <row r="73" spans="1:15" x14ac:dyDescent="0.25">
      <c r="A73">
        <f>'Ajoneuvorekisteri-Parse Modern '!AO59</f>
        <v>1644473</v>
      </c>
      <c r="B73" t="str">
        <f>'Ajoneuvorekisteri-Parse Modern '!AN59</f>
        <v>SAJJGAEF4A</v>
      </c>
      <c r="C73" t="str" cm="1">
        <f t="array" ref="C73">_xlfn.LET(_xlpm.v,UPPER(SUBSTITUTE(CLEAN(TRIM(B73)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73" t="str" cm="1">
        <f t="array" ref="D73">_xlfn.LET(_xlpm.vin,SUBSTITUTE(CLEAN(TRIM(B73)),CHAR(160),""),_xlpm.rawDate,LEFT(TRIM(E73)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73">
        <f>'Ajoneuvorekisteri-Parse Modern '!G59</f>
        <v>19981117</v>
      </c>
      <c r="F73" t="str">
        <f>LEFT(Table34[[#This Row],[Käyttöönotto]],4)</f>
        <v>1998</v>
      </c>
      <c r="G73" t="str">
        <f>'Ajoneuvorekisteri-Parse Modern '!AA59</f>
        <v>COUPE XKR 4.0-AUTOMATIC-JGAE/259</v>
      </c>
      <c r="H73" t="str">
        <f>Ajoneuvorekisteri_Parse_Modern_XK_Range_TieliikenneAvoinData_30_06_2026_csv[[#This Row],[tyyppihyvaksyntanro]]</f>
        <v/>
      </c>
      <c r="I73">
        <f>'Ajoneuvorekisteri-Parse Modern '!M59</f>
        <v>1715</v>
      </c>
      <c r="J73">
        <f t="shared" si="5"/>
        <v>0</v>
      </c>
      <c r="K73">
        <f t="shared" si="6"/>
        <v>1</v>
      </c>
      <c r="L73">
        <f t="shared" si="7"/>
        <v>1</v>
      </c>
      <c r="M73">
        <f t="shared" si="8"/>
        <v>0</v>
      </c>
      <c r="N73">
        <f>IF(AND(Table34[[#This Row],[Coupe]]&lt;&gt;1, Table34[[#This Row],[Convertible]]&lt;&gt;1), 1, 0)</f>
        <v>0</v>
      </c>
      <c r="O73" t="str">
        <f t="shared" si="9"/>
        <v>Coupe</v>
      </c>
    </row>
    <row r="74" spans="1:15" x14ac:dyDescent="0.25">
      <c r="A74">
        <f>'Ajoneuvorekisteri-Parse Modern '!AO155</f>
        <v>2724149</v>
      </c>
      <c r="B74" t="str">
        <f>'Ajoneuvorekisteri-Parse Modern '!AN155</f>
        <v>SAJJGAFD4A</v>
      </c>
      <c r="C74" t="str" cm="1">
        <f t="array" ref="C74">_xlfn.LET(_xlpm.v,UPPER(SUBSTITUTE(CLEAN(TRIM(B74)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74" t="str" cm="1">
        <f t="array" ref="D74">_xlfn.LET(_xlpm.vin,SUBSTITUTE(CLEAN(TRIM(B74)),CHAR(160),""),_xlpm.rawDate,LEFT(TRIM(E74)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74">
        <f>'Ajoneuvorekisteri-Parse Modern '!G155</f>
        <v>19981211</v>
      </c>
      <c r="F74" t="str">
        <f>LEFT(Table34[[#This Row],[Käyttöönotto]],4)</f>
        <v>1998</v>
      </c>
      <c r="G74" t="str">
        <f>'Ajoneuvorekisteri-Parse Modern '!AA155</f>
        <v>Jaguar XK8 4.0-AUTOMATIC Avoauto (AE) 2ov 3996cm3 A</v>
      </c>
      <c r="H74" t="str">
        <f>Ajoneuvorekisteri_Parse_Modern_XK_Range_TieliikenneAvoinData_30_06_2026_csv[[#This Row],[tyyppihyvaksyntanro]]</f>
        <v>e11*2001/116*0272*01</v>
      </c>
      <c r="I74">
        <f>'Ajoneuvorekisteri-Parse Modern '!M155</f>
        <v>1780</v>
      </c>
      <c r="J74">
        <f t="shared" si="5"/>
        <v>1</v>
      </c>
      <c r="K74">
        <f t="shared" si="6"/>
        <v>0</v>
      </c>
      <c r="L74">
        <f t="shared" si="7"/>
        <v>0</v>
      </c>
      <c r="M74">
        <f t="shared" si="8"/>
        <v>1</v>
      </c>
      <c r="N74">
        <f>IF(AND(Table34[[#This Row],[Coupe]]&lt;&gt;1, Table34[[#This Row],[Convertible]]&lt;&gt;1), 1, 0)</f>
        <v>0</v>
      </c>
      <c r="O74" t="str">
        <f t="shared" si="9"/>
        <v>Convertible</v>
      </c>
    </row>
    <row r="75" spans="1:15" x14ac:dyDescent="0.25">
      <c r="A75">
        <f>'Ajoneuvorekisteri-Parse Modern '!AO24</f>
        <v>806386</v>
      </c>
      <c r="B75" t="str">
        <f>'Ajoneuvorekisteri-Parse Modern '!AN24</f>
        <v>SAJJGAED4A</v>
      </c>
      <c r="C75" t="str" cm="1">
        <f t="array" ref="C75">_xlfn.LET(_xlpm.v,UPPER(SUBSTITUTE(CLEAN(TRIM(B75)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75" t="str" cm="1">
        <f t="array" ref="D75">_xlfn.LET(_xlpm.vin,SUBSTITUTE(CLEAN(TRIM(B75)),CHAR(160),""),_xlpm.rawDate,LEFT(TRIM(E75)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75">
        <f>'Ajoneuvorekisteri-Parse Modern '!G24</f>
        <v>19981223</v>
      </c>
      <c r="F75" t="str">
        <f>LEFT(Table34[[#This Row],[Käyttöönotto]],4)</f>
        <v>1998</v>
      </c>
      <c r="G75" t="str">
        <f>'Ajoneuvorekisteri-Parse Modern '!AA24</f>
        <v>COUPE XK8 4.0-AUTOMATIC-JGED/259</v>
      </c>
      <c r="H75" t="str">
        <f>Ajoneuvorekisteri_Parse_Modern_XK_Range_TieliikenneAvoinData_30_06_2026_csv[[#This Row],[tyyppihyvaksyntanro]]</f>
        <v>e11*2001/116*0272*02</v>
      </c>
      <c r="I75">
        <f>'Ajoneuvorekisteri-Parse Modern '!M24</f>
        <v>1720</v>
      </c>
      <c r="J75">
        <f t="shared" si="5"/>
        <v>1</v>
      </c>
      <c r="K75">
        <f t="shared" si="6"/>
        <v>0</v>
      </c>
      <c r="L75">
        <f t="shared" si="7"/>
        <v>1</v>
      </c>
      <c r="M75">
        <f t="shared" si="8"/>
        <v>0</v>
      </c>
      <c r="N75">
        <f>IF(AND(Table34[[#This Row],[Coupe]]&lt;&gt;1, Table34[[#This Row],[Convertible]]&lt;&gt;1), 1, 0)</f>
        <v>0</v>
      </c>
      <c r="O75" t="str">
        <f t="shared" si="9"/>
        <v>Coupe</v>
      </c>
    </row>
    <row r="76" spans="1:15" x14ac:dyDescent="0.25">
      <c r="A76">
        <f>'Ajoneuvorekisteri-Parse Modern '!AO101</f>
        <v>2278798</v>
      </c>
      <c r="B76" t="str">
        <f>'Ajoneuvorekisteri-Parse Modern '!AN101</f>
        <v>SAJGX504XX</v>
      </c>
      <c r="C76" t="str" cm="1">
        <f t="array" ref="C76">_xlfn.LET(_xlpm.v,UPPER(SUBSTITUTE(CLEAN(TRIM(B76)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[7=0]</v>
      </c>
      <c r="D76" t="str" cm="1">
        <f t="array" ref="D76">_xlfn.LET(_xlpm.vin,SUBSTITUTE(CLEAN(TRIM(B76)),CHAR(160),""),_xlpm.rawDate,LEFT(TRIM(E76)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76">
        <f>'Ajoneuvorekisteri-Parse Modern '!G101</f>
        <v>19990000</v>
      </c>
      <c r="F76" t="str">
        <f>LEFT(Table34[[#This Row],[Käyttöönotto]],4)</f>
        <v>1999</v>
      </c>
      <c r="G76" t="str">
        <f>'Ajoneuvorekisteri-Parse Modern '!AA101</f>
        <v>XK8 Coup� (AD) 2ov 3996cm3 A</v>
      </c>
      <c r="H76" t="str">
        <f>Ajoneuvorekisteri_Parse_Modern_XK_Range_TieliikenneAvoinData_30_06_2026_csv[[#This Row],[tyyppihyvaksyntanro]]</f>
        <v>E11*95/54*0061</v>
      </c>
      <c r="I76">
        <f>'Ajoneuvorekisteri-Parse Modern '!M101</f>
        <v>1682</v>
      </c>
      <c r="J76">
        <f t="shared" si="5"/>
        <v>1</v>
      </c>
      <c r="K76">
        <f t="shared" si="6"/>
        <v>0</v>
      </c>
      <c r="L76">
        <f t="shared" si="7"/>
        <v>1</v>
      </c>
      <c r="M76">
        <f t="shared" si="8"/>
        <v>0</v>
      </c>
      <c r="N76">
        <f>IF(AND(Table34[[#This Row],[Coupe]]&lt;&gt;1, Table34[[#This Row],[Convertible]]&lt;&gt;1), 1, 0)</f>
        <v>0</v>
      </c>
      <c r="O76" t="str">
        <f t="shared" si="9"/>
        <v>Coupe</v>
      </c>
    </row>
    <row r="77" spans="1:15" x14ac:dyDescent="0.25">
      <c r="A77">
        <f>'Ajoneuvorekisteri-Parse Modern '!AO166</f>
        <v>2876187</v>
      </c>
      <c r="B77" t="str">
        <f>'Ajoneuvorekisteri-Parse Modern '!AN166</f>
        <v>SAJGX2047X</v>
      </c>
      <c r="C77" t="str" cm="1">
        <f t="array" ref="C77">_xlfn.LET(_xlpm.v,UPPER(SUBSTITUTE(CLEAN(TRIM(B77)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[7=0]</v>
      </c>
      <c r="D77" t="str" cm="1">
        <f t="array" ref="D77">_xlfn.LET(_xlpm.vin,SUBSTITUTE(CLEAN(TRIM(B77)),CHAR(160),""),_xlpm.rawDate,LEFT(TRIM(E77)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77">
        <f>'Ajoneuvorekisteri-Parse Modern '!G166</f>
        <v>19990000</v>
      </c>
      <c r="F77" t="str">
        <f>LEFT(Table34[[#This Row],[Käyttöönotto]],4)</f>
        <v>1999</v>
      </c>
      <c r="G77" t="str">
        <f>'Ajoneuvorekisteri-Parse Modern '!AA166</f>
        <v>XK8 Avoauto (AE) 2ov 3996cm3 A</v>
      </c>
      <c r="H77" t="str">
        <f>Ajoneuvorekisteri_Parse_Modern_XK_Range_TieliikenneAvoinData_30_06_2026_csv[[#This Row],[tyyppihyvaksyntanro]]</f>
        <v>e11*2001/116*0272*03</v>
      </c>
      <c r="I77">
        <f>'Ajoneuvorekisteri-Parse Modern '!M166</f>
        <v>1780</v>
      </c>
      <c r="J77">
        <f t="shared" si="5"/>
        <v>1</v>
      </c>
      <c r="K77">
        <f t="shared" si="6"/>
        <v>0</v>
      </c>
      <c r="L77">
        <f t="shared" si="7"/>
        <v>0</v>
      </c>
      <c r="M77">
        <f t="shared" si="8"/>
        <v>1</v>
      </c>
      <c r="N77">
        <f>IF(AND(Table34[[#This Row],[Coupe]]&lt;&gt;1, Table34[[#This Row],[Convertible]]&lt;&gt;1), 1, 0)</f>
        <v>0</v>
      </c>
      <c r="O77" t="str">
        <f t="shared" si="9"/>
        <v>Convertible</v>
      </c>
    </row>
    <row r="78" spans="1:15" x14ac:dyDescent="0.25">
      <c r="A78">
        <f>'Ajoneuvorekisteri-Parse Modern '!AO159</f>
        <v>2836001</v>
      </c>
      <c r="B78" t="str">
        <f>'Ajoneuvorekisteri-Parse Modern '!AN159</f>
        <v>SAJJGXFE4X</v>
      </c>
      <c r="C78" t="str" cm="1">
        <f t="array" ref="C78">_xlfn.LET(_xlpm.v,UPPER(SUBSTITUTE(CLEAN(TRIM(B78)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[8=E]</v>
      </c>
      <c r="D78" t="str" cm="1">
        <f t="array" ref="D78">_xlfn.LET(_xlpm.vin,SUBSTITUTE(CLEAN(TRIM(B78)),CHAR(160),""),_xlpm.rawDate,LEFT(TRIM(E78)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78">
        <f>'Ajoneuvorekisteri-Parse Modern '!G159</f>
        <v>19990000</v>
      </c>
      <c r="F78" t="str">
        <f>LEFT(Table34[[#This Row],[Käyttöönotto]],4)</f>
        <v>1999</v>
      </c>
      <c r="G78" t="str">
        <f>'Ajoneuvorekisteri-Parse Modern '!AA159</f>
        <v>XK8  2ov 3990cm3 A</v>
      </c>
      <c r="H78" t="str">
        <f>Ajoneuvorekisteri_Parse_Modern_XK_Range_TieliikenneAvoinData_30_06_2026_csv[[#This Row],[tyyppihyvaksyntanro]]</f>
        <v>e11*2001/116*0272*00</v>
      </c>
      <c r="I78">
        <f>'Ajoneuvorekisteri-Parse Modern '!M159</f>
        <v>1845</v>
      </c>
      <c r="J78">
        <f t="shared" si="5"/>
        <v>1</v>
      </c>
      <c r="K78">
        <f t="shared" si="6"/>
        <v>0</v>
      </c>
      <c r="L78">
        <f t="shared" si="7"/>
        <v>0</v>
      </c>
      <c r="M78">
        <f t="shared" si="8"/>
        <v>0</v>
      </c>
      <c r="N78">
        <f>IF(AND(Table34[[#This Row],[Coupe]]&lt;&gt;1, Table34[[#This Row],[Convertible]]&lt;&gt;1), 1, 0)</f>
        <v>1</v>
      </c>
      <c r="O78" t="str">
        <f t="shared" si="9"/>
        <v>Unknown</v>
      </c>
    </row>
    <row r="79" spans="1:15" x14ac:dyDescent="0.25">
      <c r="A79">
        <f>'Ajoneuvorekisteri-Parse Modern '!AO82</f>
        <v>2062428</v>
      </c>
      <c r="B79" t="str">
        <f>'Ajoneuvorekisteri-Parse Modern '!AN82</f>
        <v>SAJJGAEF4A</v>
      </c>
      <c r="C79" t="str" cm="1">
        <f t="array" ref="C79">_xlfn.LET(_xlpm.v,UPPER(SUBSTITUTE(CLEAN(TRIM(B79)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79" t="str" cm="1">
        <f t="array" ref="D79">_xlfn.LET(_xlpm.vin,SUBSTITUTE(CLEAN(TRIM(B79)),CHAR(160),""),_xlpm.rawDate,LEFT(TRIM(E79)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79">
        <f>'Ajoneuvorekisteri-Parse Modern '!G82</f>
        <v>19990101</v>
      </c>
      <c r="F79" t="str">
        <f>LEFT(Table34[[#This Row],[Käyttöönotto]],4)</f>
        <v>1999</v>
      </c>
      <c r="G79" t="str">
        <f>'Ajoneuvorekisteri-Parse Modern '!AA82</f>
        <v>XKR Coup� (AD) 2ov 3999cm3 A</v>
      </c>
      <c r="H79" t="str">
        <f>Ajoneuvorekisteri_Parse_Modern_XK_Range_TieliikenneAvoinData_30_06_2026_csv[[#This Row],[tyyppihyvaksyntanro]]</f>
        <v>e11*2001/116*0272*00</v>
      </c>
      <c r="I79">
        <f>'Ajoneuvorekisteri-Parse Modern '!M82</f>
        <v>1735</v>
      </c>
      <c r="J79">
        <f t="shared" si="5"/>
        <v>0</v>
      </c>
      <c r="K79">
        <f t="shared" si="6"/>
        <v>1</v>
      </c>
      <c r="L79">
        <f t="shared" si="7"/>
        <v>1</v>
      </c>
      <c r="M79">
        <f t="shared" si="8"/>
        <v>0</v>
      </c>
      <c r="N79">
        <f>IF(AND(Table34[[#This Row],[Coupe]]&lt;&gt;1, Table34[[#This Row],[Convertible]]&lt;&gt;1), 1, 0)</f>
        <v>0</v>
      </c>
      <c r="O79" t="str">
        <f t="shared" si="9"/>
        <v>Coupe</v>
      </c>
    </row>
    <row r="80" spans="1:15" x14ac:dyDescent="0.25">
      <c r="A80">
        <f>'Ajoneuvorekisteri-Parse Modern '!AO124</f>
        <v>2515753</v>
      </c>
      <c r="B80" t="str">
        <f>'Ajoneuvorekisteri-Parse Modern '!AN124</f>
        <v>SAJGX2043X</v>
      </c>
      <c r="C80" t="str" cm="1">
        <f t="array" ref="C80">_xlfn.LET(_xlpm.v,UPPER(SUBSTITUTE(CLEAN(TRIM(B80)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[7=0]</v>
      </c>
      <c r="D80" t="str" cm="1">
        <f t="array" ref="D80">_xlfn.LET(_xlpm.vin,SUBSTITUTE(CLEAN(TRIM(B80)),CHAR(160),""),_xlpm.rawDate,LEFT(TRIM(E80)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80">
        <f>'Ajoneuvorekisteri-Parse Modern '!G124</f>
        <v>19990101</v>
      </c>
      <c r="F80" t="str">
        <f>LEFT(Table34[[#This Row],[Käyttöönotto]],4)</f>
        <v>1999</v>
      </c>
      <c r="G80" t="str">
        <f>'Ajoneuvorekisteri-Parse Modern '!AA124</f>
        <v>XK8 Avoauto (AE) 2ov 3996cm3 A</v>
      </c>
      <c r="H80" t="str">
        <f>Ajoneuvorekisteri_Parse_Modern_XK_Range_TieliikenneAvoinData_30_06_2026_csv[[#This Row],[tyyppihyvaksyntanro]]</f>
        <v/>
      </c>
      <c r="I80">
        <f>'Ajoneuvorekisteri-Parse Modern '!M124</f>
        <v>1690</v>
      </c>
      <c r="J80">
        <f t="shared" si="5"/>
        <v>1</v>
      </c>
      <c r="K80">
        <f t="shared" si="6"/>
        <v>0</v>
      </c>
      <c r="L80">
        <f t="shared" si="7"/>
        <v>0</v>
      </c>
      <c r="M80">
        <f t="shared" si="8"/>
        <v>1</v>
      </c>
      <c r="N80">
        <f>IF(AND(Table34[[#This Row],[Coupe]]&lt;&gt;1, Table34[[#This Row],[Convertible]]&lt;&gt;1), 1, 0)</f>
        <v>0</v>
      </c>
      <c r="O80" t="str">
        <f t="shared" si="9"/>
        <v>Convertible</v>
      </c>
    </row>
    <row r="81" spans="1:15" x14ac:dyDescent="0.25">
      <c r="A81">
        <f>'Ajoneuvorekisteri-Parse Modern '!AO97</f>
        <v>2192182</v>
      </c>
      <c r="B81" t="str">
        <f>'Ajoneuvorekisteri-Parse Modern '!AN97</f>
        <v>SAJJGAFF4A</v>
      </c>
      <c r="C81" t="str" cm="1">
        <f t="array" ref="C81">_xlfn.LET(_xlpm.v,UPPER(SUBSTITUTE(CLEAN(TRIM(B81)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81" t="str" cm="1">
        <f t="array" ref="D81">_xlfn.LET(_xlpm.vin,SUBSTITUTE(CLEAN(TRIM(B81)),CHAR(160),""),_xlpm.rawDate,LEFT(TRIM(E81)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81">
        <f>'Ajoneuvorekisteri-Parse Modern '!G97</f>
        <v>19990125</v>
      </c>
      <c r="F81" t="str">
        <f>LEFT(Table34[[#This Row],[Käyttöönotto]],4)</f>
        <v>1999</v>
      </c>
      <c r="G81" t="str">
        <f>'Ajoneuvorekisteri-Parse Modern '!AA97</f>
        <v>XKR Cabriolet Avoauto (AE) 2ov 3996cm3 A</v>
      </c>
      <c r="H81" t="str">
        <f>Ajoneuvorekisteri_Parse_Modern_XK_Range_TieliikenneAvoinData_30_06_2026_csv[[#This Row],[tyyppihyvaksyntanro]]</f>
        <v>e11*95/54*0061*08</v>
      </c>
      <c r="I81">
        <f>'Ajoneuvorekisteri-Parse Modern '!M97</f>
        <v>1680</v>
      </c>
      <c r="J81">
        <f t="shared" si="5"/>
        <v>0</v>
      </c>
      <c r="K81">
        <f t="shared" si="6"/>
        <v>1</v>
      </c>
      <c r="L81">
        <f t="shared" si="7"/>
        <v>0</v>
      </c>
      <c r="M81">
        <f t="shared" si="8"/>
        <v>1</v>
      </c>
      <c r="N81">
        <f>IF(AND(Table34[[#This Row],[Coupe]]&lt;&gt;1, Table34[[#This Row],[Convertible]]&lt;&gt;1), 1, 0)</f>
        <v>0</v>
      </c>
      <c r="O81" t="str">
        <f t="shared" si="9"/>
        <v>Convertible</v>
      </c>
    </row>
    <row r="82" spans="1:15" x14ac:dyDescent="0.25">
      <c r="A82">
        <f>'Ajoneuvorekisteri-Parse Modern '!AO15</f>
        <v>532950</v>
      </c>
      <c r="B82" t="str">
        <f>'Ajoneuvorekisteri-Parse Modern '!AN15</f>
        <v>SAJJGAED4A</v>
      </c>
      <c r="C82" t="str" cm="1">
        <f t="array" ref="C82">_xlfn.LET(_xlpm.v,UPPER(SUBSTITUTE(CLEAN(TRIM(B82)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82" t="str" cm="1">
        <f t="array" ref="D82">_xlfn.LET(_xlpm.vin,SUBSTITUTE(CLEAN(TRIM(B82)),CHAR(160),""),_xlpm.rawDate,LEFT(TRIM(E82)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82">
        <f>'Ajoneuvorekisteri-Parse Modern '!G15</f>
        <v>19990205</v>
      </c>
      <c r="F82" t="str">
        <f>LEFT(Table34[[#This Row],[Käyttöönotto]],4)</f>
        <v>1999</v>
      </c>
      <c r="G82" t="str">
        <f>'Ajoneuvorekisteri-Parse Modern '!AA15</f>
        <v>COUPE XK8 4.0-AUTOMATIC-JGED/259</v>
      </c>
      <c r="H82" t="str">
        <f>Ajoneuvorekisteri_Parse_Modern_XK_Range_TieliikenneAvoinData_30_06_2026_csv[[#This Row],[tyyppihyvaksyntanro]]</f>
        <v/>
      </c>
      <c r="I82">
        <f>'Ajoneuvorekisteri-Parse Modern '!M15</f>
        <v>1720</v>
      </c>
      <c r="J82">
        <f t="shared" si="5"/>
        <v>1</v>
      </c>
      <c r="K82">
        <f t="shared" si="6"/>
        <v>0</v>
      </c>
      <c r="L82">
        <f t="shared" si="7"/>
        <v>1</v>
      </c>
      <c r="M82">
        <f t="shared" si="8"/>
        <v>0</v>
      </c>
      <c r="N82">
        <f>IF(AND(Table34[[#This Row],[Coupe]]&lt;&gt;1, Table34[[#This Row],[Convertible]]&lt;&gt;1), 1, 0)</f>
        <v>0</v>
      </c>
      <c r="O82" t="str">
        <f t="shared" si="9"/>
        <v>Coupe</v>
      </c>
    </row>
    <row r="83" spans="1:15" x14ac:dyDescent="0.25">
      <c r="A83">
        <f>'Ajoneuvorekisteri-Parse Modern '!AO134</f>
        <v>2549515</v>
      </c>
      <c r="B83" t="str">
        <f>'Ajoneuvorekisteri-Parse Modern '!AN134</f>
        <v>SAJGX2040X</v>
      </c>
      <c r="C83" t="str" cm="1">
        <f t="array" ref="C83">_xlfn.LET(_xlpm.v,UPPER(SUBSTITUTE(CLEAN(TRIM(B83)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[7=0]</v>
      </c>
      <c r="D83" t="str" cm="1">
        <f t="array" ref="D83">_xlfn.LET(_xlpm.vin,SUBSTITUTE(CLEAN(TRIM(B83)),CHAR(160),""),_xlpm.rawDate,LEFT(TRIM(E83)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83">
        <f>'Ajoneuvorekisteri-Parse Modern '!G134</f>
        <v>19990205</v>
      </c>
      <c r="F83" t="str">
        <f>LEFT(Table34[[#This Row],[Käyttöönotto]],4)</f>
        <v>1999</v>
      </c>
      <c r="G83" t="str">
        <f>'Ajoneuvorekisteri-Parse Modern '!AA134</f>
        <v>XK8 Avoauto (AE) 2ov 3996cm3 A</v>
      </c>
      <c r="H83" t="str">
        <f>Ajoneuvorekisteri_Parse_Modern_XK_Range_TieliikenneAvoinData_30_06_2026_csv[[#This Row],[tyyppihyvaksyntanro]]</f>
        <v>e11*95/54*0061*00</v>
      </c>
      <c r="I83">
        <f>'Ajoneuvorekisteri-Parse Modern '!M134</f>
        <v>1780</v>
      </c>
      <c r="J83">
        <f t="shared" si="5"/>
        <v>1</v>
      </c>
      <c r="K83">
        <f t="shared" si="6"/>
        <v>0</v>
      </c>
      <c r="L83">
        <f t="shared" si="7"/>
        <v>0</v>
      </c>
      <c r="M83">
        <f t="shared" si="8"/>
        <v>1</v>
      </c>
      <c r="N83">
        <f>IF(AND(Table34[[#This Row],[Coupe]]&lt;&gt;1, Table34[[#This Row],[Convertible]]&lt;&gt;1), 1, 0)</f>
        <v>0</v>
      </c>
      <c r="O83" t="str">
        <f t="shared" si="9"/>
        <v>Convertible</v>
      </c>
    </row>
    <row r="84" spans="1:15" x14ac:dyDescent="0.25">
      <c r="A84">
        <f>'Ajoneuvorekisteri-Parse Modern '!AO9</f>
        <v>167621</v>
      </c>
      <c r="B84" t="str">
        <f>'Ajoneuvorekisteri-Parse Modern '!AN9</f>
        <v>SAJJGAED4A</v>
      </c>
      <c r="C84" t="str" cm="1">
        <f t="array" ref="C84">_xlfn.LET(_xlpm.v,UPPER(SUBSTITUTE(CLEAN(TRIM(B84)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84" t="str" cm="1">
        <f t="array" ref="D84">_xlfn.LET(_xlpm.vin,SUBSTITUTE(CLEAN(TRIM(B84)),CHAR(160),""),_xlpm.rawDate,LEFT(TRIM(E84)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84">
        <f>'Ajoneuvorekisteri-Parse Modern '!G9</f>
        <v>19990225</v>
      </c>
      <c r="F84" t="str">
        <f>LEFT(Table34[[#This Row],[Käyttöönotto]],4)</f>
        <v>1999</v>
      </c>
      <c r="G84" t="str">
        <f>'Ajoneuvorekisteri-Parse Modern '!AA9</f>
        <v>COUPE XK8 4.0-AUTOMATIC-JGED/259</v>
      </c>
      <c r="H84" t="str">
        <f>Ajoneuvorekisteri_Parse_Modern_XK_Range_TieliikenneAvoinData_30_06_2026_csv[[#This Row],[tyyppihyvaksyntanro]]</f>
        <v/>
      </c>
      <c r="I84">
        <f>'Ajoneuvorekisteri-Parse Modern '!M9</f>
        <v>1720</v>
      </c>
      <c r="J84">
        <f t="shared" si="5"/>
        <v>1</v>
      </c>
      <c r="K84">
        <f t="shared" si="6"/>
        <v>0</v>
      </c>
      <c r="L84">
        <f t="shared" si="7"/>
        <v>1</v>
      </c>
      <c r="M84">
        <f t="shared" si="8"/>
        <v>0</v>
      </c>
      <c r="N84">
        <f>IF(AND(Table34[[#This Row],[Coupe]]&lt;&gt;1, Table34[[#This Row],[Convertible]]&lt;&gt;1), 1, 0)</f>
        <v>0</v>
      </c>
      <c r="O84" t="str">
        <f t="shared" si="9"/>
        <v>Coupe</v>
      </c>
    </row>
    <row r="85" spans="1:15" x14ac:dyDescent="0.25">
      <c r="A85">
        <f>'Ajoneuvorekisteri-Parse Modern '!AO52</f>
        <v>1428353</v>
      </c>
      <c r="B85" t="str">
        <f>'Ajoneuvorekisteri-Parse Modern '!AN52</f>
        <v>SAJGX2040X</v>
      </c>
      <c r="C85" t="str" cm="1">
        <f t="array" ref="C85">_xlfn.LET(_xlpm.v,UPPER(SUBSTITUTE(CLEAN(TRIM(B85)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[7=0]</v>
      </c>
      <c r="D85" t="str" cm="1">
        <f t="array" ref="D85">_xlfn.LET(_xlpm.vin,SUBSTITUTE(CLEAN(TRIM(B85)),CHAR(160),""),_xlpm.rawDate,LEFT(TRIM(E85)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85">
        <f>'Ajoneuvorekisteri-Parse Modern '!G52</f>
        <v>19990304</v>
      </c>
      <c r="F85" t="str">
        <f>LEFT(Table34[[#This Row],[Käyttöönotto]],4)</f>
        <v>1999</v>
      </c>
      <c r="G85" t="str">
        <f>'Ajoneuvorekisteri-Parse Modern '!AA52</f>
        <v>2D CONVERTIBLE XK8 4.0-AUTOMATIC-JGX2/259</v>
      </c>
      <c r="H85" t="str">
        <f>Ajoneuvorekisteri_Parse_Modern_XK_Range_TieliikenneAvoinData_30_06_2026_csv[[#This Row],[tyyppihyvaksyntanro]]</f>
        <v>E11*95/54*0061*03</v>
      </c>
      <c r="I85">
        <f>'Ajoneuvorekisteri-Parse Modern '!M52</f>
        <v>1720</v>
      </c>
      <c r="J85">
        <f t="shared" si="5"/>
        <v>1</v>
      </c>
      <c r="K85">
        <f t="shared" si="6"/>
        <v>0</v>
      </c>
      <c r="L85">
        <f t="shared" si="7"/>
        <v>0</v>
      </c>
      <c r="M85">
        <f t="shared" si="8"/>
        <v>1</v>
      </c>
      <c r="N85">
        <f>IF(AND(Table34[[#This Row],[Coupe]]&lt;&gt;1, Table34[[#This Row],[Convertible]]&lt;&gt;1), 1, 0)</f>
        <v>0</v>
      </c>
      <c r="O85" t="str">
        <f t="shared" si="9"/>
        <v>Convertible</v>
      </c>
    </row>
    <row r="86" spans="1:15" x14ac:dyDescent="0.25">
      <c r="A86">
        <f>'Ajoneuvorekisteri-Parse Modern '!AO85</f>
        <v>2090552</v>
      </c>
      <c r="B86" t="str">
        <f>'Ajoneuvorekisteri-Parse Modern '!AN85</f>
        <v>SAJJGAEF4A</v>
      </c>
      <c r="C86" t="str" cm="1">
        <f t="array" ref="C86">_xlfn.LET(_xlpm.v,UPPER(SUBSTITUTE(CLEAN(TRIM(B86)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86" t="str" cm="1">
        <f t="array" ref="D86">_xlfn.LET(_xlpm.vin,SUBSTITUTE(CLEAN(TRIM(B86)),CHAR(160),""),_xlpm.rawDate,LEFT(TRIM(E86)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86">
        <f>'Ajoneuvorekisteri-Parse Modern '!G85</f>
        <v>19990305</v>
      </c>
      <c r="F86" t="str">
        <f>LEFT(Table34[[#This Row],[Käyttöönotto]],4)</f>
        <v>1999</v>
      </c>
      <c r="G86" t="str">
        <f>'Ajoneuvorekisteri-Parse Modern '!AA85</f>
        <v>COUPE XKR 4.0 AUTOMATIC-41P/259 Coup� (AD) 2ov 3990cm3 A</v>
      </c>
      <c r="H86" t="str">
        <f>Ajoneuvorekisteri_Parse_Modern_XK_Range_TieliikenneAvoinData_30_06_2026_csv[[#This Row],[tyyppihyvaksyntanro]]</f>
        <v>e11*95/54*0062*05</v>
      </c>
      <c r="I86">
        <f>'Ajoneuvorekisteri-Parse Modern '!M85</f>
        <v>1715</v>
      </c>
      <c r="J86">
        <f t="shared" si="5"/>
        <v>0</v>
      </c>
      <c r="K86">
        <f t="shared" si="6"/>
        <v>1</v>
      </c>
      <c r="L86">
        <f t="shared" si="7"/>
        <v>1</v>
      </c>
      <c r="M86">
        <f t="shared" si="8"/>
        <v>0</v>
      </c>
      <c r="N86">
        <f>IF(AND(Table34[[#This Row],[Coupe]]&lt;&gt;1, Table34[[#This Row],[Convertible]]&lt;&gt;1), 1, 0)</f>
        <v>0</v>
      </c>
      <c r="O86" t="str">
        <f t="shared" si="9"/>
        <v>Coupe</v>
      </c>
    </row>
    <row r="87" spans="1:15" x14ac:dyDescent="0.25">
      <c r="A87">
        <f>'Ajoneuvorekisteri-Parse Modern '!AO64</f>
        <v>1713499</v>
      </c>
      <c r="B87" t="str">
        <f>'Ajoneuvorekisteri-Parse Modern '!AN64</f>
        <v>SAJJGAFD4A</v>
      </c>
      <c r="C87" t="str" cm="1">
        <f t="array" ref="C87">_xlfn.LET(_xlpm.v,UPPER(SUBSTITUTE(CLEAN(TRIM(B87)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87" t="str" cm="1">
        <f t="array" ref="D87">_xlfn.LET(_xlpm.vin,SUBSTITUTE(CLEAN(TRIM(B87)),CHAR(160),""),_xlpm.rawDate,LEFT(TRIM(E87)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87">
        <f>'Ajoneuvorekisteri-Parse Modern '!G64</f>
        <v>19990319</v>
      </c>
      <c r="F87" t="str">
        <f>LEFT(Table34[[#This Row],[Käyttöönotto]],4)</f>
        <v>1999</v>
      </c>
      <c r="G87" t="str">
        <f>'Ajoneuvorekisteri-Parse Modern '!AA64</f>
        <v>2D CONVERTIBLE XK8 4.0-AUTOMATIC-JGFD/259</v>
      </c>
      <c r="H87" t="str">
        <f>Ajoneuvorekisteri_Parse_Modern_XK_Range_TieliikenneAvoinData_30_06_2026_csv[[#This Row],[tyyppihyvaksyntanro]]</f>
        <v>e11*95/54*0061*00</v>
      </c>
      <c r="I87">
        <f>'Ajoneuvorekisteri-Parse Modern '!M64</f>
        <v>1810</v>
      </c>
      <c r="J87">
        <f t="shared" si="5"/>
        <v>1</v>
      </c>
      <c r="K87">
        <f t="shared" si="6"/>
        <v>0</v>
      </c>
      <c r="L87">
        <f t="shared" si="7"/>
        <v>0</v>
      </c>
      <c r="M87">
        <f t="shared" si="8"/>
        <v>1</v>
      </c>
      <c r="N87">
        <f>IF(AND(Table34[[#This Row],[Coupe]]&lt;&gt;1, Table34[[#This Row],[Convertible]]&lt;&gt;1), 1, 0)</f>
        <v>0</v>
      </c>
      <c r="O87" t="str">
        <f t="shared" si="9"/>
        <v>Convertible</v>
      </c>
    </row>
    <row r="88" spans="1:15" x14ac:dyDescent="0.25">
      <c r="A88">
        <f>'Ajoneuvorekisteri-Parse Modern '!AO99</f>
        <v>2213387</v>
      </c>
      <c r="B88" t="str">
        <f>'Ajoneuvorekisteri-Parse Modern '!AN99</f>
        <v>SAJJGAEF4A</v>
      </c>
      <c r="C88" t="str" cm="1">
        <f t="array" ref="C88">_xlfn.LET(_xlpm.v,UPPER(SUBSTITUTE(CLEAN(TRIM(B88)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88" t="str" cm="1">
        <f t="array" ref="D88">_xlfn.LET(_xlpm.vin,SUBSTITUTE(CLEAN(TRIM(B88)),CHAR(160),""),_xlpm.rawDate,LEFT(TRIM(E88)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88">
        <f>'Ajoneuvorekisteri-Parse Modern '!G99</f>
        <v>19990324</v>
      </c>
      <c r="F88" t="str">
        <f>LEFT(Table34[[#This Row],[Käyttöönotto]],4)</f>
        <v>1999</v>
      </c>
      <c r="G88" t="str">
        <f>'Ajoneuvorekisteri-Parse Modern '!AA99</f>
        <v>COUPE XKR 4.2 AUTOMATIC-AA1R/259 Coup� (AD) 2ov 3995cm3 A</v>
      </c>
      <c r="H88" t="str">
        <f>Ajoneuvorekisteri_Parse_Modern_XK_Range_TieliikenneAvoinData_30_06_2026_csv[[#This Row],[tyyppihyvaksyntanro]]</f>
        <v>e11*2001/116*0272*03</v>
      </c>
      <c r="I88">
        <f>'Ajoneuvorekisteri-Parse Modern '!M99</f>
        <v>1725</v>
      </c>
      <c r="J88">
        <f t="shared" si="5"/>
        <v>0</v>
      </c>
      <c r="K88">
        <f t="shared" si="6"/>
        <v>1</v>
      </c>
      <c r="L88">
        <f t="shared" si="7"/>
        <v>1</v>
      </c>
      <c r="M88">
        <f t="shared" si="8"/>
        <v>0</v>
      </c>
      <c r="N88">
        <f>IF(AND(Table34[[#This Row],[Coupe]]&lt;&gt;1, Table34[[#This Row],[Convertible]]&lt;&gt;1), 1, 0)</f>
        <v>0</v>
      </c>
      <c r="O88" t="str">
        <f t="shared" si="9"/>
        <v>Coupe</v>
      </c>
    </row>
    <row r="89" spans="1:15" x14ac:dyDescent="0.25">
      <c r="A89">
        <f>'Ajoneuvorekisteri-Parse Modern '!AO201</f>
        <v>3366859</v>
      </c>
      <c r="B89" t="str">
        <f>'Ajoneuvorekisteri-Parse Modern '!AN201</f>
        <v>SAJJGAEF4A</v>
      </c>
      <c r="C89" t="str" cm="1">
        <f t="array" ref="C89">_xlfn.LET(_xlpm.v,UPPER(SUBSTITUTE(CLEAN(TRIM(B89)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89" t="str" cm="1">
        <f t="array" ref="D89">_xlfn.LET(_xlpm.vin,SUBSTITUTE(CLEAN(TRIM(B89)),CHAR(160),""),_xlpm.rawDate,LEFT(TRIM(E89)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89">
        <f>'Ajoneuvorekisteri-Parse Modern '!G201</f>
        <v>19990331</v>
      </c>
      <c r="F89" t="str">
        <f>LEFT(Table34[[#This Row],[Käyttöönotto]],4)</f>
        <v>1999</v>
      </c>
      <c r="G89" t="str">
        <f>'Ajoneuvorekisteri-Parse Modern '!AA201</f>
        <v>Jaguar Xkr Coup� (AD) 2ov 3990cm3 A</v>
      </c>
      <c r="H89" t="str">
        <f>Ajoneuvorekisteri_Parse_Modern_XK_Range_TieliikenneAvoinData_30_06_2026_csv[[#This Row],[tyyppihyvaksyntanro]]</f>
        <v>e11*2001/116*0272*03</v>
      </c>
      <c r="I89">
        <f>'Ajoneuvorekisteri-Parse Modern '!M201</f>
        <v>1735</v>
      </c>
      <c r="J89">
        <f t="shared" si="5"/>
        <v>0</v>
      </c>
      <c r="K89">
        <f t="shared" si="6"/>
        <v>1</v>
      </c>
      <c r="L89">
        <f t="shared" si="7"/>
        <v>1</v>
      </c>
      <c r="M89">
        <f t="shared" si="8"/>
        <v>0</v>
      </c>
      <c r="N89">
        <f>IF(AND(Table34[[#This Row],[Coupe]]&lt;&gt;1, Table34[[#This Row],[Convertible]]&lt;&gt;1), 1, 0)</f>
        <v>0</v>
      </c>
      <c r="O89" t="str">
        <f t="shared" si="9"/>
        <v>Coupe</v>
      </c>
    </row>
    <row r="90" spans="1:15" x14ac:dyDescent="0.25">
      <c r="A90">
        <f>'Ajoneuvorekisteri-Parse Modern '!AO42</f>
        <v>1239190</v>
      </c>
      <c r="B90" t="str">
        <f>'Ajoneuvorekisteri-Parse Modern '!AN42</f>
        <v>SAJJGAEF4A</v>
      </c>
      <c r="C90" t="str" cm="1">
        <f t="array" ref="C90">_xlfn.LET(_xlpm.v,UPPER(SUBSTITUTE(CLEAN(TRIM(B90)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90" t="str" cm="1">
        <f t="array" ref="D90">_xlfn.LET(_xlpm.vin,SUBSTITUTE(CLEAN(TRIM(B90)),CHAR(160),""),_xlpm.rawDate,LEFT(TRIM(E90)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90">
        <f>'Ajoneuvorekisteri-Parse Modern '!G42</f>
        <v>19990415</v>
      </c>
      <c r="F90" t="str">
        <f>LEFT(Table34[[#This Row],[Käyttöönotto]],4)</f>
        <v>1999</v>
      </c>
      <c r="G90" t="str">
        <f>'Ajoneuvorekisteri-Parse Modern '!AA42</f>
        <v>COUPE XKR 4.0-AUTOMATIC-JGEF/259</v>
      </c>
      <c r="H90" t="str">
        <f>Ajoneuvorekisteri_Parse_Modern_XK_Range_TieliikenneAvoinData_30_06_2026_csv[[#This Row],[tyyppihyvaksyntanro]]</f>
        <v>e11*2001/116*0272*03</v>
      </c>
      <c r="I90">
        <f>'Ajoneuvorekisteri-Parse Modern '!M42</f>
        <v>1735</v>
      </c>
      <c r="J90">
        <f t="shared" si="5"/>
        <v>0</v>
      </c>
      <c r="K90">
        <f t="shared" si="6"/>
        <v>1</v>
      </c>
      <c r="L90">
        <f t="shared" si="7"/>
        <v>1</v>
      </c>
      <c r="M90">
        <f t="shared" si="8"/>
        <v>0</v>
      </c>
      <c r="N90">
        <f>IF(AND(Table34[[#This Row],[Coupe]]&lt;&gt;1, Table34[[#This Row],[Convertible]]&lt;&gt;1), 1, 0)</f>
        <v>0</v>
      </c>
      <c r="O90" t="str">
        <f t="shared" si="9"/>
        <v>Coupe</v>
      </c>
    </row>
    <row r="91" spans="1:15" x14ac:dyDescent="0.25">
      <c r="A91">
        <f>'Ajoneuvorekisteri-Parse Modern '!AO5</f>
        <v>97573</v>
      </c>
      <c r="B91" t="str">
        <f>'Ajoneuvorekisteri-Parse Modern '!AN5</f>
        <v>SAJJGAFF4A</v>
      </c>
      <c r="C91" t="str" cm="1">
        <f t="array" ref="C91">_xlfn.LET(_xlpm.v,UPPER(SUBSTITUTE(CLEAN(TRIM(B91)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91" t="str" cm="1">
        <f t="array" ref="D91">_xlfn.LET(_xlpm.vin,SUBSTITUTE(CLEAN(TRIM(B91)),CHAR(160),""),_xlpm.rawDate,LEFT(TRIM(E91)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91">
        <f>'Ajoneuvorekisteri-Parse Modern '!G5</f>
        <v>19990427</v>
      </c>
      <c r="F91" t="str">
        <f>LEFT(Table34[[#This Row],[Käyttöönotto]],4)</f>
        <v>1999</v>
      </c>
      <c r="G91" t="str">
        <f>'Ajoneuvorekisteri-Parse Modern '!AA5</f>
        <v>2D CONVERTIBLE XKR 4.0-AUTOMATIC-JGFF/259</v>
      </c>
      <c r="H91" t="str">
        <f>Ajoneuvorekisteri_Parse_Modern_XK_Range_TieliikenneAvoinData_30_06_2026_csv[[#This Row],[tyyppihyvaksyntanro]]</f>
        <v>e11*2001/116*0272*01</v>
      </c>
      <c r="I91">
        <f>'Ajoneuvorekisteri-Parse Modern '!M5</f>
        <v>1845</v>
      </c>
      <c r="J91">
        <f t="shared" si="5"/>
        <v>0</v>
      </c>
      <c r="K91">
        <f t="shared" si="6"/>
        <v>1</v>
      </c>
      <c r="L91">
        <f t="shared" si="7"/>
        <v>0</v>
      </c>
      <c r="M91">
        <f t="shared" si="8"/>
        <v>1</v>
      </c>
      <c r="N91">
        <f>IF(AND(Table34[[#This Row],[Coupe]]&lt;&gt;1, Table34[[#This Row],[Convertible]]&lt;&gt;1), 1, 0)</f>
        <v>0</v>
      </c>
      <c r="O91" t="str">
        <f t="shared" si="9"/>
        <v>Convertible</v>
      </c>
    </row>
    <row r="92" spans="1:15" x14ac:dyDescent="0.25">
      <c r="A92">
        <f>'Ajoneuvorekisteri-Parse Modern '!AO36</f>
        <v>1104915</v>
      </c>
      <c r="B92" t="str">
        <f>'Ajoneuvorekisteri-Parse Modern '!AN36</f>
        <v>SAJJGAFD4A</v>
      </c>
      <c r="C92" t="str" cm="1">
        <f t="array" ref="C92">_xlfn.LET(_xlpm.v,UPPER(SUBSTITUTE(CLEAN(TRIM(B92)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92" t="str" cm="1">
        <f t="array" ref="D92">_xlfn.LET(_xlpm.vin,SUBSTITUTE(CLEAN(TRIM(B92)),CHAR(160),""),_xlpm.rawDate,LEFT(TRIM(E92)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92">
        <f>'Ajoneuvorekisteri-Parse Modern '!G36</f>
        <v>19990505</v>
      </c>
      <c r="F92" t="str">
        <f>LEFT(Table34[[#This Row],[Käyttöönotto]],4)</f>
        <v>1999</v>
      </c>
      <c r="G92" t="str">
        <f>'Ajoneuvorekisteri-Parse Modern '!AA36</f>
        <v>2D CONVERTIBLE XK8 4.0-AUTOMATIC-JGFD/259</v>
      </c>
      <c r="H92" t="str">
        <f>Ajoneuvorekisteri_Parse_Modern_XK_Range_TieliikenneAvoinData_30_06_2026_csv[[#This Row],[tyyppihyvaksyntanro]]</f>
        <v/>
      </c>
      <c r="I92">
        <f>'Ajoneuvorekisteri-Parse Modern '!M36</f>
        <v>1810</v>
      </c>
      <c r="J92">
        <f t="shared" si="5"/>
        <v>1</v>
      </c>
      <c r="K92">
        <f t="shared" si="6"/>
        <v>0</v>
      </c>
      <c r="L92">
        <f t="shared" si="7"/>
        <v>0</v>
      </c>
      <c r="M92">
        <f t="shared" si="8"/>
        <v>1</v>
      </c>
      <c r="N92">
        <f>IF(AND(Table34[[#This Row],[Coupe]]&lt;&gt;1, Table34[[#This Row],[Convertible]]&lt;&gt;1), 1, 0)</f>
        <v>0</v>
      </c>
      <c r="O92" t="str">
        <f t="shared" si="9"/>
        <v>Convertible</v>
      </c>
    </row>
    <row r="93" spans="1:15" x14ac:dyDescent="0.25">
      <c r="A93">
        <f>'Ajoneuvorekisteri-Parse Modern '!AO57</f>
        <v>1612618</v>
      </c>
      <c r="B93" t="str">
        <f>'Ajoneuvorekisteri-Parse Modern '!AN57</f>
        <v>SAJJGAED4A</v>
      </c>
      <c r="C93" t="str" cm="1">
        <f t="array" ref="C93">_xlfn.LET(_xlpm.v,UPPER(SUBSTITUTE(CLEAN(TRIM(B93)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93" t="str" cm="1">
        <f t="array" ref="D93">_xlfn.LET(_xlpm.vin,SUBSTITUTE(CLEAN(TRIM(B93)),CHAR(160),""),_xlpm.rawDate,LEFT(TRIM(E93)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93">
        <f>'Ajoneuvorekisteri-Parse Modern '!G57</f>
        <v>19990506</v>
      </c>
      <c r="F93" t="str">
        <f>LEFT(Table34[[#This Row],[Käyttöönotto]],4)</f>
        <v>1999</v>
      </c>
      <c r="G93" t="str">
        <f>'Ajoneuvorekisteri-Parse Modern '!AA57</f>
        <v>COUPE XK8 4.0-AUTOMATIC-JGED/259</v>
      </c>
      <c r="H93" t="str">
        <f>Ajoneuvorekisteri_Parse_Modern_XK_Range_TieliikenneAvoinData_30_06_2026_csv[[#This Row],[tyyppihyvaksyntanro]]</f>
        <v>e11*95/54*0061*02</v>
      </c>
      <c r="I93">
        <f>'Ajoneuvorekisteri-Parse Modern '!M57</f>
        <v>1720</v>
      </c>
      <c r="J93">
        <f t="shared" si="5"/>
        <v>1</v>
      </c>
      <c r="K93">
        <f t="shared" si="6"/>
        <v>0</v>
      </c>
      <c r="L93">
        <f t="shared" si="7"/>
        <v>1</v>
      </c>
      <c r="M93">
        <f t="shared" si="8"/>
        <v>0</v>
      </c>
      <c r="N93">
        <f>IF(AND(Table34[[#This Row],[Coupe]]&lt;&gt;1, Table34[[#This Row],[Convertible]]&lt;&gt;1), 1, 0)</f>
        <v>0</v>
      </c>
      <c r="O93" t="str">
        <f t="shared" si="9"/>
        <v>Coupe</v>
      </c>
    </row>
    <row r="94" spans="1:15" x14ac:dyDescent="0.25">
      <c r="A94">
        <f>'Ajoneuvorekisteri-Parse Modern '!AO49</f>
        <v>1331363</v>
      </c>
      <c r="B94" t="str">
        <f>'Ajoneuvorekisteri-Parse Modern '!AN49</f>
        <v>SAJJGAEF4A</v>
      </c>
      <c r="C94" t="str" cm="1">
        <f t="array" ref="C94">_xlfn.LET(_xlpm.v,UPPER(SUBSTITUTE(CLEAN(TRIM(B94)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94" t="str" cm="1">
        <f t="array" ref="D94">_xlfn.LET(_xlpm.vin,SUBSTITUTE(CLEAN(TRIM(B94)),CHAR(160),""),_xlpm.rawDate,LEFT(TRIM(E94)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94">
        <f>'Ajoneuvorekisteri-Parse Modern '!G49</f>
        <v>19990519</v>
      </c>
      <c r="F94" t="str">
        <f>LEFT(Table34[[#This Row],[Käyttöönotto]],4)</f>
        <v>1999</v>
      </c>
      <c r="G94" t="str">
        <f>'Ajoneuvorekisteri-Parse Modern '!AA49</f>
        <v>COUPE XKR 4.0-AUTOMATIC-JGEF/259</v>
      </c>
      <c r="H94" t="str">
        <f>Ajoneuvorekisteri_Parse_Modern_XK_Range_TieliikenneAvoinData_30_06_2026_csv[[#This Row],[tyyppihyvaksyntanro]]</f>
        <v/>
      </c>
      <c r="I94">
        <f>'Ajoneuvorekisteri-Parse Modern '!M49</f>
        <v>1735</v>
      </c>
      <c r="J94">
        <f t="shared" si="5"/>
        <v>0</v>
      </c>
      <c r="K94">
        <f t="shared" si="6"/>
        <v>1</v>
      </c>
      <c r="L94">
        <f t="shared" si="7"/>
        <v>1</v>
      </c>
      <c r="M94">
        <f t="shared" si="8"/>
        <v>0</v>
      </c>
      <c r="N94">
        <f>IF(AND(Table34[[#This Row],[Coupe]]&lt;&gt;1, Table34[[#This Row],[Convertible]]&lt;&gt;1), 1, 0)</f>
        <v>0</v>
      </c>
      <c r="O94" t="str">
        <f t="shared" si="9"/>
        <v>Coupe</v>
      </c>
    </row>
    <row r="95" spans="1:15" x14ac:dyDescent="0.25">
      <c r="A95">
        <f>'Ajoneuvorekisteri-Parse Modern '!AO171</f>
        <v>2933695</v>
      </c>
      <c r="B95" t="str">
        <f>'Ajoneuvorekisteri-Parse Modern '!AN171</f>
        <v>SAJJGAEF4A</v>
      </c>
      <c r="C95" t="str" cm="1">
        <f t="array" ref="C95">_xlfn.LET(_xlpm.v,UPPER(SUBSTITUTE(CLEAN(TRIM(B95)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95" t="str" cm="1">
        <f t="array" ref="D95">_xlfn.LET(_xlpm.vin,SUBSTITUTE(CLEAN(TRIM(B95)),CHAR(160),""),_xlpm.rawDate,LEFT(TRIM(E95)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95">
        <f>'Ajoneuvorekisteri-Parse Modern '!G171</f>
        <v>19990527</v>
      </c>
      <c r="F95" t="str">
        <f>LEFT(Table34[[#This Row],[Käyttöönotto]],4)</f>
        <v>1999</v>
      </c>
      <c r="G95" t="str">
        <f>'Ajoneuvorekisteri-Parse Modern '!AA171</f>
        <v>XKR COUPE Coup� (AD) 2ov 3996cm3 A</v>
      </c>
      <c r="H95" t="str">
        <f>Ajoneuvorekisteri_Parse_Modern_XK_Range_TieliikenneAvoinData_30_06_2026_csv[[#This Row],[tyyppihyvaksyntanro]]</f>
        <v/>
      </c>
      <c r="I95">
        <f>'Ajoneuvorekisteri-Parse Modern '!M171</f>
        <v>1735</v>
      </c>
      <c r="J95">
        <f t="shared" si="5"/>
        <v>0</v>
      </c>
      <c r="K95">
        <f t="shared" si="6"/>
        <v>1</v>
      </c>
      <c r="L95">
        <f t="shared" si="7"/>
        <v>1</v>
      </c>
      <c r="M95">
        <f t="shared" si="8"/>
        <v>0</v>
      </c>
      <c r="N95">
        <f>IF(AND(Table34[[#This Row],[Coupe]]&lt;&gt;1, Table34[[#This Row],[Convertible]]&lt;&gt;1), 1, 0)</f>
        <v>0</v>
      </c>
      <c r="O95" t="str">
        <f t="shared" si="9"/>
        <v>Coupe</v>
      </c>
    </row>
    <row r="96" spans="1:15" x14ac:dyDescent="0.25">
      <c r="A96">
        <f>'Ajoneuvorekisteri-Parse Modern '!AO38</f>
        <v>1138992</v>
      </c>
      <c r="B96" t="str">
        <f>'Ajoneuvorekisteri-Parse Modern '!AN38</f>
        <v>SAJJGAED4A</v>
      </c>
      <c r="C96" t="str" cm="1">
        <f t="array" ref="C96">_xlfn.LET(_xlpm.v,UPPER(SUBSTITUTE(CLEAN(TRIM(B96)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96" t="str" cm="1">
        <f t="array" ref="D96">_xlfn.LET(_xlpm.vin,SUBSTITUTE(CLEAN(TRIM(B96)),CHAR(160),""),_xlpm.rawDate,LEFT(TRIM(E96)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96">
        <f>'Ajoneuvorekisteri-Parse Modern '!G38</f>
        <v>19990528</v>
      </c>
      <c r="F96" t="str">
        <f>LEFT(Table34[[#This Row],[Käyttöönotto]],4)</f>
        <v>1999</v>
      </c>
      <c r="G96" t="str">
        <f>'Ajoneuvorekisteri-Parse Modern '!AA38</f>
        <v>COUPE XK8 4.0-AUTOMATIC-JGED/259</v>
      </c>
      <c r="H96" t="str">
        <f>Ajoneuvorekisteri_Parse_Modern_XK_Range_TieliikenneAvoinData_30_06_2026_csv[[#This Row],[tyyppihyvaksyntanro]]</f>
        <v/>
      </c>
      <c r="I96">
        <f>'Ajoneuvorekisteri-Parse Modern '!M38</f>
        <v>1720</v>
      </c>
      <c r="J96">
        <f t="shared" si="5"/>
        <v>1</v>
      </c>
      <c r="K96">
        <f t="shared" si="6"/>
        <v>0</v>
      </c>
      <c r="L96">
        <f t="shared" si="7"/>
        <v>1</v>
      </c>
      <c r="M96">
        <f t="shared" si="8"/>
        <v>0</v>
      </c>
      <c r="N96">
        <f>IF(AND(Table34[[#This Row],[Coupe]]&lt;&gt;1, Table34[[#This Row],[Convertible]]&lt;&gt;1), 1, 0)</f>
        <v>0</v>
      </c>
      <c r="O96" t="str">
        <f t="shared" si="9"/>
        <v>Coupe</v>
      </c>
    </row>
    <row r="97" spans="1:15" x14ac:dyDescent="0.25">
      <c r="A97">
        <f>'Ajoneuvorekisteri-Parse Modern '!AO93</f>
        <v>2189637</v>
      </c>
      <c r="B97" t="str">
        <f>'Ajoneuvorekisteri-Parse Modern '!AN93</f>
        <v>SAJJGAED4A</v>
      </c>
      <c r="C97" t="str" cm="1">
        <f t="array" ref="C97">_xlfn.LET(_xlpm.v,UPPER(SUBSTITUTE(CLEAN(TRIM(B97)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97" t="str" cm="1">
        <f t="array" ref="D97">_xlfn.LET(_xlpm.vin,SUBSTITUTE(CLEAN(TRIM(B97)),CHAR(160),""),_xlpm.rawDate,LEFT(TRIM(E97)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97">
        <f>'Ajoneuvorekisteri-Parse Modern '!G93</f>
        <v>19990531</v>
      </c>
      <c r="F97" t="str">
        <f>LEFT(Table34[[#This Row],[Käyttöönotto]],4)</f>
        <v>1999</v>
      </c>
      <c r="G97" t="str">
        <f>'Ajoneuvorekisteri-Parse Modern '!AA93</f>
        <v>XK8 COUPE Coup� (AD) 2ov 3996cm3</v>
      </c>
      <c r="H97" t="str">
        <f>Ajoneuvorekisteri_Parse_Modern_XK_Range_TieliikenneAvoinData_30_06_2026_csv[[#This Row],[tyyppihyvaksyntanro]]</f>
        <v>e11*95/54*0062*03</v>
      </c>
      <c r="I97">
        <f>'Ajoneuvorekisteri-Parse Modern '!M93</f>
        <v>1690</v>
      </c>
      <c r="J97">
        <f t="shared" si="5"/>
        <v>1</v>
      </c>
      <c r="K97">
        <f t="shared" si="6"/>
        <v>0</v>
      </c>
      <c r="L97">
        <f t="shared" si="7"/>
        <v>1</v>
      </c>
      <c r="M97">
        <f t="shared" si="8"/>
        <v>0</v>
      </c>
      <c r="N97">
        <f>IF(AND(Table34[[#This Row],[Coupe]]&lt;&gt;1, Table34[[#This Row],[Convertible]]&lt;&gt;1), 1, 0)</f>
        <v>0</v>
      </c>
      <c r="O97" t="str">
        <f t="shared" si="9"/>
        <v>Coupe</v>
      </c>
    </row>
    <row r="98" spans="1:15" x14ac:dyDescent="0.25">
      <c r="A98">
        <f>'Ajoneuvorekisteri-Parse Modern '!AO167</f>
        <v>2895491</v>
      </c>
      <c r="B98" t="str">
        <f>'Ajoneuvorekisteri-Parse Modern '!AN167</f>
        <v>SAJJGAED4A</v>
      </c>
      <c r="C98" t="str" cm="1">
        <f t="array" ref="C98">_xlfn.LET(_xlpm.v,UPPER(SUBSTITUTE(CLEAN(TRIM(B98)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98" t="str" cm="1">
        <f t="array" ref="D98">_xlfn.LET(_xlpm.vin,SUBSTITUTE(CLEAN(TRIM(B98)),CHAR(160),""),_xlpm.rawDate,LEFT(TRIM(E98)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98">
        <f>'Ajoneuvorekisteri-Parse Modern '!G167</f>
        <v>19990611</v>
      </c>
      <c r="F98" t="str">
        <f>LEFT(Table34[[#This Row],[Käyttöönotto]],4)</f>
        <v>1999</v>
      </c>
      <c r="G98" t="str">
        <f>'Ajoneuvorekisteri-Parse Modern '!AA167</f>
        <v>XK8 Coup� (AD) 2ov 3996cm3 A</v>
      </c>
      <c r="H98" t="str">
        <f>Ajoneuvorekisteri_Parse_Modern_XK_Range_TieliikenneAvoinData_30_06_2026_csv[[#This Row],[tyyppihyvaksyntanro]]</f>
        <v>e11*95/54*0061*04</v>
      </c>
      <c r="I98">
        <f>'Ajoneuvorekisteri-Parse Modern '!M167</f>
        <v>1720</v>
      </c>
      <c r="J98">
        <f t="shared" si="5"/>
        <v>1</v>
      </c>
      <c r="K98">
        <f t="shared" si="6"/>
        <v>0</v>
      </c>
      <c r="L98">
        <f t="shared" si="7"/>
        <v>1</v>
      </c>
      <c r="M98">
        <f t="shared" si="8"/>
        <v>0</v>
      </c>
      <c r="N98">
        <f>IF(AND(Table34[[#This Row],[Coupe]]&lt;&gt;1, Table34[[#This Row],[Convertible]]&lt;&gt;1), 1, 0)</f>
        <v>0</v>
      </c>
      <c r="O98" t="str">
        <f t="shared" si="9"/>
        <v>Coupe</v>
      </c>
    </row>
    <row r="99" spans="1:15" x14ac:dyDescent="0.25">
      <c r="A99">
        <f>'Ajoneuvorekisteri-Parse Modern '!AO173</f>
        <v>2979132</v>
      </c>
      <c r="B99" t="str">
        <f>'Ajoneuvorekisteri-Parse Modern '!AN173</f>
        <v>SAJJGAFF4A</v>
      </c>
      <c r="C99" t="str" cm="1">
        <f t="array" ref="C99">_xlfn.LET(_xlpm.v,UPPER(SUBSTITUTE(CLEAN(TRIM(B99)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99" t="str" cm="1">
        <f t="array" ref="D99">_xlfn.LET(_xlpm.vin,SUBSTITUTE(CLEAN(TRIM(B99)),CHAR(160),""),_xlpm.rawDate,LEFT(TRIM(E99)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99">
        <f>'Ajoneuvorekisteri-Parse Modern '!G173</f>
        <v>19990617</v>
      </c>
      <c r="F99" t="str">
        <f>LEFT(Table34[[#This Row],[Käyttöönotto]],4)</f>
        <v>1999</v>
      </c>
      <c r="G99" t="str">
        <f>'Ajoneuvorekisteri-Parse Modern '!AA173</f>
        <v>XKR  Avoauto (AE) 2ov 3996cm3 A</v>
      </c>
      <c r="H99" t="str">
        <f>Ajoneuvorekisteri_Parse_Modern_XK_Range_TieliikenneAvoinData_30_06_2026_csv[[#This Row],[tyyppihyvaksyntanro]]</f>
        <v/>
      </c>
      <c r="I99">
        <f>'Ajoneuvorekisteri-Parse Modern '!M173</f>
        <v>1825</v>
      </c>
      <c r="J99">
        <f t="shared" si="5"/>
        <v>0</v>
      </c>
      <c r="K99">
        <f t="shared" si="6"/>
        <v>1</v>
      </c>
      <c r="L99">
        <f t="shared" si="7"/>
        <v>0</v>
      </c>
      <c r="M99">
        <f t="shared" si="8"/>
        <v>1</v>
      </c>
      <c r="N99">
        <f>IF(AND(Table34[[#This Row],[Coupe]]&lt;&gt;1, Table34[[#This Row],[Convertible]]&lt;&gt;1), 1, 0)</f>
        <v>0</v>
      </c>
      <c r="O99" t="str">
        <f t="shared" si="9"/>
        <v>Convertible</v>
      </c>
    </row>
    <row r="100" spans="1:15" x14ac:dyDescent="0.25">
      <c r="A100">
        <f>'Ajoneuvorekisteri-Parse Modern '!AO28</f>
        <v>957208</v>
      </c>
      <c r="B100" t="str">
        <f>'Ajoneuvorekisteri-Parse Modern '!AN28</f>
        <v>SAJJGAFD4A</v>
      </c>
      <c r="C100" t="str" cm="1">
        <f t="array" ref="C100">_xlfn.LET(_xlpm.v,UPPER(SUBSTITUTE(CLEAN(TRIM(B100)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100" t="str" cm="1">
        <f t="array" ref="D100">_xlfn.LET(_xlpm.vin,SUBSTITUTE(CLEAN(TRIM(B100)),CHAR(160),""),_xlpm.rawDate,LEFT(TRIM(E100)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100">
        <f>'Ajoneuvorekisteri-Parse Modern '!G28</f>
        <v>19990621</v>
      </c>
      <c r="F100" t="str">
        <f>LEFT(Table34[[#This Row],[Käyttöönotto]],4)</f>
        <v>1999</v>
      </c>
      <c r="G100" t="str">
        <f>'Ajoneuvorekisteri-Parse Modern '!AA28</f>
        <v>2D CONVERTIBLE XK8 4.0-AUTOMATIC-JGFD/259</v>
      </c>
      <c r="H100" t="str">
        <f>Ajoneuvorekisteri_Parse_Modern_XK_Range_TieliikenneAvoinData_30_06_2026_csv[[#This Row],[tyyppihyvaksyntanro]]</f>
        <v/>
      </c>
      <c r="I100">
        <f>'Ajoneuvorekisteri-Parse Modern '!M28</f>
        <v>1810</v>
      </c>
      <c r="J100">
        <f t="shared" si="5"/>
        <v>1</v>
      </c>
      <c r="K100">
        <f t="shared" si="6"/>
        <v>0</v>
      </c>
      <c r="L100">
        <f t="shared" si="7"/>
        <v>0</v>
      </c>
      <c r="M100">
        <f t="shared" si="8"/>
        <v>1</v>
      </c>
      <c r="N100">
        <f>IF(AND(Table34[[#This Row],[Coupe]]&lt;&gt;1, Table34[[#This Row],[Convertible]]&lt;&gt;1), 1, 0)</f>
        <v>0</v>
      </c>
      <c r="O100" t="str">
        <f t="shared" si="9"/>
        <v>Convertible</v>
      </c>
    </row>
    <row r="101" spans="1:15" x14ac:dyDescent="0.25">
      <c r="A101">
        <f>'Ajoneuvorekisteri-Parse Modern '!AO31</f>
        <v>989686</v>
      </c>
      <c r="B101" t="str">
        <f>'Ajoneuvorekisteri-Parse Modern '!AN31</f>
        <v>SAJJGAFF4A</v>
      </c>
      <c r="C101" t="str" cm="1">
        <f t="array" ref="C101">_xlfn.LET(_xlpm.v,UPPER(SUBSTITUTE(CLEAN(TRIM(B101)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101" t="str" cm="1">
        <f t="array" ref="D101">_xlfn.LET(_xlpm.vin,SUBSTITUTE(CLEAN(TRIM(B101)),CHAR(160),""),_xlpm.rawDate,LEFT(TRIM(E101)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101">
        <f>'Ajoneuvorekisteri-Parse Modern '!G31</f>
        <v>19990628</v>
      </c>
      <c r="F101" t="str">
        <f>LEFT(Table34[[#This Row],[Käyttöönotto]],4)</f>
        <v>1999</v>
      </c>
      <c r="G101" t="str">
        <f>'Ajoneuvorekisteri-Parse Modern '!AA31</f>
        <v>2D CONVERTIBLE XKR 4.0-AUTOMATIC-JGFF/259</v>
      </c>
      <c r="H101" t="str">
        <f>Ajoneuvorekisteri_Parse_Modern_XK_Range_TieliikenneAvoinData_30_06_2026_csv[[#This Row],[tyyppihyvaksyntanro]]</f>
        <v/>
      </c>
      <c r="I101">
        <f>'Ajoneuvorekisteri-Parse Modern '!M31</f>
        <v>1845</v>
      </c>
      <c r="J101">
        <f t="shared" si="5"/>
        <v>0</v>
      </c>
      <c r="K101">
        <f t="shared" si="6"/>
        <v>1</v>
      </c>
      <c r="L101">
        <f t="shared" si="7"/>
        <v>0</v>
      </c>
      <c r="M101">
        <f t="shared" si="8"/>
        <v>1</v>
      </c>
      <c r="N101">
        <f>IF(AND(Table34[[#This Row],[Coupe]]&lt;&gt;1, Table34[[#This Row],[Convertible]]&lt;&gt;1), 1, 0)</f>
        <v>0</v>
      </c>
      <c r="O101" t="str">
        <f t="shared" si="9"/>
        <v>Convertible</v>
      </c>
    </row>
    <row r="102" spans="1:15" x14ac:dyDescent="0.25">
      <c r="A102">
        <f>'Ajoneuvorekisteri-Parse Modern '!AO106</f>
        <v>2304342</v>
      </c>
      <c r="B102" t="str">
        <f>'Ajoneuvorekisteri-Parse Modern '!AN106</f>
        <v>SAJGX2043X</v>
      </c>
      <c r="C102" t="str" cm="1">
        <f t="array" ref="C102">_xlfn.LET(_xlpm.v,UPPER(SUBSTITUTE(CLEAN(TRIM(B102)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[7=0]</v>
      </c>
      <c r="D102" t="str" cm="1">
        <f t="array" ref="D102">_xlfn.LET(_xlpm.vin,SUBSTITUTE(CLEAN(TRIM(B102)),CHAR(160),""),_xlpm.rawDate,LEFT(TRIM(E102)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102">
        <f>'Ajoneuvorekisteri-Parse Modern '!G106</f>
        <v>19990701</v>
      </c>
      <c r="F102" t="str">
        <f>LEFT(Table34[[#This Row],[Käyttöönotto]],4)</f>
        <v>1999</v>
      </c>
      <c r="G102" t="str">
        <f>'Ajoneuvorekisteri-Parse Modern '!AA106</f>
        <v>XK8 CONVERTIBLE Avoauto (AE) 2ov 3990cm3 A</v>
      </c>
      <c r="H102" t="str">
        <f>Ajoneuvorekisteri_Parse_Modern_XK_Range_TieliikenneAvoinData_30_06_2026_csv[[#This Row],[tyyppihyvaksyntanro]]</f>
        <v>e11*95/54*0062*07</v>
      </c>
      <c r="I102">
        <f>'Ajoneuvorekisteri-Parse Modern '!M106</f>
        <v>1780</v>
      </c>
      <c r="J102">
        <f t="shared" si="5"/>
        <v>1</v>
      </c>
      <c r="K102">
        <f t="shared" si="6"/>
        <v>0</v>
      </c>
      <c r="L102">
        <f t="shared" si="7"/>
        <v>0</v>
      </c>
      <c r="M102">
        <f t="shared" si="8"/>
        <v>1</v>
      </c>
      <c r="N102">
        <f>IF(AND(Table34[[#This Row],[Coupe]]&lt;&gt;1, Table34[[#This Row],[Convertible]]&lt;&gt;1), 1, 0)</f>
        <v>0</v>
      </c>
      <c r="O102" t="str">
        <f t="shared" si="9"/>
        <v>Convertible</v>
      </c>
    </row>
    <row r="103" spans="1:15" x14ac:dyDescent="0.25">
      <c r="A103">
        <f>'Ajoneuvorekisteri-Parse Modern '!AO112</f>
        <v>2353263</v>
      </c>
      <c r="B103" t="str">
        <f>'Ajoneuvorekisteri-Parse Modern '!AN112</f>
        <v>SAJJGXFE4X</v>
      </c>
      <c r="C103" t="str" cm="1">
        <f t="array" ref="C103">_xlfn.LET(_xlpm.v,UPPER(SUBSTITUTE(CLEAN(TRIM(B103)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[8=E]</v>
      </c>
      <c r="D103" t="str" cm="1">
        <f t="array" ref="D103">_xlfn.LET(_xlpm.vin,SUBSTITUTE(CLEAN(TRIM(B103)),CHAR(160),""),_xlpm.rawDate,LEFT(TRIM(E103)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103">
        <f>'Ajoneuvorekisteri-Parse Modern '!G112</f>
        <v>19990701</v>
      </c>
      <c r="F103" t="str">
        <f>LEFT(Table34[[#This Row],[Käyttöönotto]],4)</f>
        <v>1999</v>
      </c>
      <c r="G103" t="str">
        <f>'Ajoneuvorekisteri-Parse Modern '!AA112</f>
        <v>2D CONVERTIBLE XK8 Avoauto (AE) 2ov 3996cm3</v>
      </c>
      <c r="H103" t="str">
        <f>Ajoneuvorekisteri_Parse_Modern_XK_Range_TieliikenneAvoinData_30_06_2026_csv[[#This Row],[tyyppihyvaksyntanro]]</f>
        <v>e11*95/54*0061*03</v>
      </c>
      <c r="I103">
        <f>'Ajoneuvorekisteri-Parse Modern '!M112</f>
        <v>1780</v>
      </c>
      <c r="J103">
        <f t="shared" si="5"/>
        <v>1</v>
      </c>
      <c r="K103">
        <f t="shared" si="6"/>
        <v>0</v>
      </c>
      <c r="L103">
        <f t="shared" si="7"/>
        <v>0</v>
      </c>
      <c r="M103">
        <f t="shared" si="8"/>
        <v>1</v>
      </c>
      <c r="N103">
        <f>IF(AND(Table34[[#This Row],[Coupe]]&lt;&gt;1, Table34[[#This Row],[Convertible]]&lt;&gt;1), 1, 0)</f>
        <v>0</v>
      </c>
      <c r="O103" t="str">
        <f t="shared" si="9"/>
        <v>Convertible</v>
      </c>
    </row>
    <row r="104" spans="1:15" x14ac:dyDescent="0.25">
      <c r="A104">
        <f>'Ajoneuvorekisteri-Parse Modern '!AO114</f>
        <v>2378320</v>
      </c>
      <c r="B104" t="str">
        <f>'Ajoneuvorekisteri-Parse Modern '!AN114</f>
        <v>SAJJGAFF4A</v>
      </c>
      <c r="C104" t="str" cm="1">
        <f t="array" ref="C104">_xlfn.LET(_xlpm.v,UPPER(SUBSTITUTE(CLEAN(TRIM(B104)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104" t="str" cm="1">
        <f t="array" ref="D104">_xlfn.LET(_xlpm.vin,SUBSTITUTE(CLEAN(TRIM(B104)),CHAR(160),""),_xlpm.rawDate,LEFT(TRIM(E104)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104">
        <f>'Ajoneuvorekisteri-Parse Modern '!G114</f>
        <v>19990709</v>
      </c>
      <c r="F104" t="str">
        <f>LEFT(Table34[[#This Row],[Käyttöönotto]],4)</f>
        <v>1999</v>
      </c>
      <c r="G104" t="str">
        <f>'Ajoneuvorekisteri-Parse Modern '!AA114</f>
        <v>XK Avoauto (AE) 2ov 3990cm3</v>
      </c>
      <c r="H104" t="str">
        <f>Ajoneuvorekisteri_Parse_Modern_XK_Range_TieliikenneAvoinData_30_06_2026_csv[[#This Row],[tyyppihyvaksyntanro]]</f>
        <v/>
      </c>
      <c r="I104">
        <f>'Ajoneuvorekisteri-Parse Modern '!M114</f>
        <v>1845</v>
      </c>
      <c r="J104">
        <f t="shared" si="5"/>
        <v>1</v>
      </c>
      <c r="K104">
        <f t="shared" si="6"/>
        <v>0</v>
      </c>
      <c r="L104">
        <f t="shared" si="7"/>
        <v>0</v>
      </c>
      <c r="M104">
        <f t="shared" si="8"/>
        <v>1</v>
      </c>
      <c r="N104">
        <f>IF(AND(Table34[[#This Row],[Coupe]]&lt;&gt;1, Table34[[#This Row],[Convertible]]&lt;&gt;1), 1, 0)</f>
        <v>0</v>
      </c>
      <c r="O104" t="str">
        <f t="shared" si="9"/>
        <v>Convertible</v>
      </c>
    </row>
    <row r="105" spans="1:15" x14ac:dyDescent="0.25">
      <c r="A105">
        <f>'Ajoneuvorekisteri-Parse Modern '!AO65</f>
        <v>1738693</v>
      </c>
      <c r="B105" t="str">
        <f>'Ajoneuvorekisteri-Parse Modern '!AN65</f>
        <v>SAJJGAED4A</v>
      </c>
      <c r="C105" t="str" cm="1">
        <f t="array" ref="C105">_xlfn.LET(_xlpm.v,UPPER(SUBSTITUTE(CLEAN(TRIM(B105)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105" t="str" cm="1">
        <f t="array" ref="D105">_xlfn.LET(_xlpm.vin,SUBSTITUTE(CLEAN(TRIM(B105)),CHAR(160),""),_xlpm.rawDate,LEFT(TRIM(E105)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E105">
        <f>'Ajoneuvorekisteri-Parse Modern '!G65</f>
        <v>19990716</v>
      </c>
      <c r="F105" t="str">
        <f>LEFT(Table34[[#This Row],[Käyttöönotto]],4)</f>
        <v>1999</v>
      </c>
      <c r="G105" t="str">
        <f>'Ajoneuvorekisteri-Parse Modern '!AA65</f>
        <v>COUPE XK8 4.0-AUTOMATIC-JGED/259</v>
      </c>
      <c r="H105" t="str">
        <f>Ajoneuvorekisteri_Parse_Modern_XK_Range_TieliikenneAvoinData_30_06_2026_csv[[#This Row],[tyyppihyvaksyntanro]]</f>
        <v>e11*2001/116*0272*00</v>
      </c>
      <c r="I105">
        <f>'Ajoneuvorekisteri-Parse Modern '!M65</f>
        <v>1720</v>
      </c>
      <c r="J105">
        <f t="shared" si="5"/>
        <v>1</v>
      </c>
      <c r="K105">
        <f t="shared" si="6"/>
        <v>0</v>
      </c>
      <c r="L105">
        <f t="shared" si="7"/>
        <v>1</v>
      </c>
      <c r="M105">
        <f t="shared" si="8"/>
        <v>0</v>
      </c>
      <c r="N105">
        <f>IF(AND(Table34[[#This Row],[Coupe]]&lt;&gt;1, Table34[[#This Row],[Convertible]]&lt;&gt;1), 1, 0)</f>
        <v>0</v>
      </c>
      <c r="O105" t="str">
        <f t="shared" si="9"/>
        <v>Coupe</v>
      </c>
    </row>
    <row r="106" spans="1:15" x14ac:dyDescent="0.25">
      <c r="A106">
        <f>'Ajoneuvorekisteri-Parse Modern '!AO67</f>
        <v>1740752</v>
      </c>
      <c r="B106" t="str">
        <f>'Ajoneuvorekisteri-Parse Modern '!AN67</f>
        <v>SAJJGAEF4A</v>
      </c>
      <c r="C106" t="str" cm="1">
        <f t="array" ref="C106">_xlfn.LET(_xlpm.v,UPPER(SUBSTITUTE(CLEAN(TRIM(B106)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106" t="str" cm="1">
        <f t="array" ref="D106">_xlfn.LET(_xlpm.vin,SUBSTITUTE(CLEAN(TRIM(B106)),CHAR(160),""),_xlpm.rawDate,LEFT(TRIM(E106)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106">
        <f>'Ajoneuvorekisteri-Parse Modern '!G67</f>
        <v>19990818</v>
      </c>
      <c r="F106" t="str">
        <f>LEFT(Table34[[#This Row],[Käyttöönotto]],4)</f>
        <v>1999</v>
      </c>
      <c r="G106" t="str">
        <f>'Ajoneuvorekisteri-Parse Modern '!AA67</f>
        <v>COUPE XKR 4.0-AUTOMATIC-JGEF/259</v>
      </c>
      <c r="H106" t="str">
        <f>Ajoneuvorekisteri_Parse_Modern_XK_Range_TieliikenneAvoinData_30_06_2026_csv[[#This Row],[tyyppihyvaksyntanro]]</f>
        <v/>
      </c>
      <c r="I106">
        <f>'Ajoneuvorekisteri-Parse Modern '!M67</f>
        <v>1735</v>
      </c>
      <c r="J106">
        <f t="shared" si="5"/>
        <v>0</v>
      </c>
      <c r="K106">
        <f t="shared" si="6"/>
        <v>1</v>
      </c>
      <c r="L106">
        <f t="shared" si="7"/>
        <v>1</v>
      </c>
      <c r="M106">
        <f t="shared" si="8"/>
        <v>0</v>
      </c>
      <c r="N106">
        <f>IF(AND(Table34[[#This Row],[Coupe]]&lt;&gt;1, Table34[[#This Row],[Convertible]]&lt;&gt;1), 1, 0)</f>
        <v>0</v>
      </c>
      <c r="O106" t="str">
        <f t="shared" si="9"/>
        <v>Coupe</v>
      </c>
    </row>
    <row r="107" spans="1:15" x14ac:dyDescent="0.25">
      <c r="A107">
        <f>'Ajoneuvorekisteri-Parse Modern '!AO122</f>
        <v>2489995</v>
      </c>
      <c r="B107" t="str">
        <f>'Ajoneuvorekisteri-Parse Modern '!AN122</f>
        <v>SAJJGAFD4A</v>
      </c>
      <c r="C107" t="str" cm="1">
        <f t="array" ref="C107">_xlfn.LET(_xlpm.v,UPPER(SUBSTITUTE(CLEAN(TRIM(B107)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107" t="str" cm="1">
        <f t="array" ref="D107">_xlfn.LET(_xlpm.vin,SUBSTITUTE(CLEAN(TRIM(B107)),CHAR(160),""),_xlpm.rawDate,LEFT(TRIM(E107)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107">
        <f>'Ajoneuvorekisteri-Parse Modern '!G122</f>
        <v>19990826</v>
      </c>
      <c r="F107" t="str">
        <f>LEFT(Table34[[#This Row],[Käyttöönotto]],4)</f>
        <v>1999</v>
      </c>
      <c r="G107" t="str">
        <f>'Ajoneuvorekisteri-Parse Modern '!AA122</f>
        <v>XK8 Avoauto (AE) 2ov 3990cm3 A</v>
      </c>
      <c r="H107" t="str">
        <f>Ajoneuvorekisteri_Parse_Modern_XK_Range_TieliikenneAvoinData_30_06_2026_csv[[#This Row],[tyyppihyvaksyntanro]]</f>
        <v>E11*2001/116*0272*03</v>
      </c>
      <c r="I107">
        <f>'Ajoneuvorekisteri-Parse Modern '!M122</f>
        <v>1810</v>
      </c>
      <c r="J107">
        <f t="shared" si="5"/>
        <v>1</v>
      </c>
      <c r="K107">
        <f t="shared" si="6"/>
        <v>0</v>
      </c>
      <c r="L107">
        <f t="shared" si="7"/>
        <v>0</v>
      </c>
      <c r="M107">
        <f t="shared" si="8"/>
        <v>1</v>
      </c>
      <c r="N107">
        <f>IF(AND(Table34[[#This Row],[Coupe]]&lt;&gt;1, Table34[[#This Row],[Convertible]]&lt;&gt;1), 1, 0)</f>
        <v>0</v>
      </c>
      <c r="O107" t="str">
        <f t="shared" si="9"/>
        <v>Convertible</v>
      </c>
    </row>
    <row r="108" spans="1:15" x14ac:dyDescent="0.25">
      <c r="A108">
        <f>'Ajoneuvorekisteri-Parse Modern '!AO176</f>
        <v>3039527</v>
      </c>
      <c r="B108" t="str">
        <f>'Ajoneuvorekisteri-Parse Modern '!AN176</f>
        <v>SAJJA42C8Y</v>
      </c>
      <c r="C108" t="str" cm="1">
        <f t="array" ref="C108">_xlfn.LET(_xlpm.v,UPPER(SUBSTITUTE(CLEAN(TRIM(B108)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XK8-XKR_CONVERTIBLE_USA_AUTO_LHD_EMISSION_C_2000MY</v>
      </c>
      <c r="D108" t="str" cm="1">
        <f t="array" ref="D108">_xlfn.LET(_xlpm.vin,SUBSTITUTE(CLEAN(TRIM(B108)),CHAR(160),""),_xlpm.rawDate,LEFT(TRIM(E108)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108">
        <f>'Ajoneuvorekisteri-Parse Modern '!G176</f>
        <v>19990901</v>
      </c>
      <c r="F108" t="str">
        <f>LEFT(Table34[[#This Row],[Käyttöönotto]],4)</f>
        <v>1999</v>
      </c>
      <c r="G108" t="str">
        <f>'Ajoneuvorekisteri-Parse Modern '!AA176</f>
        <v>XK8 Convertible Avoauto (AE) 2ov 3996cm3 A</v>
      </c>
      <c r="H108" t="str">
        <f>Ajoneuvorekisteri_Parse_Modern_XK_Range_TieliikenneAvoinData_30_06_2026_csv[[#This Row],[tyyppihyvaksyntanro]]</f>
        <v>E11*95/54*0061*02</v>
      </c>
      <c r="I108">
        <f>'Ajoneuvorekisteri-Parse Modern '!M176</f>
        <v>1825</v>
      </c>
      <c r="J108">
        <f t="shared" si="5"/>
        <v>1</v>
      </c>
      <c r="K108">
        <f t="shared" si="6"/>
        <v>0</v>
      </c>
      <c r="L108">
        <f t="shared" si="7"/>
        <v>0</v>
      </c>
      <c r="M108">
        <f t="shared" si="8"/>
        <v>1</v>
      </c>
      <c r="N108">
        <f>IF(AND(Table34[[#This Row],[Coupe]]&lt;&gt;1, Table34[[#This Row],[Convertible]]&lt;&gt;1), 1, 0)</f>
        <v>0</v>
      </c>
      <c r="O108" t="str">
        <f t="shared" si="9"/>
        <v>Convertible</v>
      </c>
    </row>
    <row r="109" spans="1:15" x14ac:dyDescent="0.25">
      <c r="A109">
        <f>'Ajoneuvorekisteri-Parse Modern '!AO103</f>
        <v>2282295</v>
      </c>
      <c r="B109" t="str">
        <f>'Ajoneuvorekisteri-Parse Modern '!AN103</f>
        <v>SAJJGAEF4A</v>
      </c>
      <c r="C109" t="str" cm="1">
        <f t="array" ref="C109">_xlfn.LET(_xlpm.v,UPPER(SUBSTITUTE(CLEAN(TRIM(B109)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109" t="str" cm="1">
        <f t="array" ref="D109">_xlfn.LET(_xlpm.vin,SUBSTITUTE(CLEAN(TRIM(B109)),CHAR(160),""),_xlpm.rawDate,LEFT(TRIM(E109)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109">
        <f>'Ajoneuvorekisteri-Parse Modern '!G103</f>
        <v>19990920</v>
      </c>
      <c r="F109" t="str">
        <f>LEFT(Table34[[#This Row],[Käyttöönotto]],4)</f>
        <v>1999</v>
      </c>
      <c r="G109" t="str">
        <f>'Ajoneuvorekisteri-Parse Modern '!AA103</f>
        <v>XK Coup� (AD) 2ov 3996cm3 A</v>
      </c>
      <c r="H109" t="str">
        <f>Ajoneuvorekisteri_Parse_Modern_XK_Range_TieliikenneAvoinData_30_06_2026_csv[[#This Row],[tyyppihyvaksyntanro]]</f>
        <v>e11*95/54*0061*05</v>
      </c>
      <c r="I109">
        <f>'Ajoneuvorekisteri-Parse Modern '!M103</f>
        <v>1715</v>
      </c>
      <c r="J109">
        <f t="shared" si="5"/>
        <v>1</v>
      </c>
      <c r="K109">
        <f t="shared" si="6"/>
        <v>0</v>
      </c>
      <c r="L109">
        <f t="shared" si="7"/>
        <v>1</v>
      </c>
      <c r="M109">
        <f t="shared" si="8"/>
        <v>0</v>
      </c>
      <c r="N109">
        <f>IF(AND(Table34[[#This Row],[Coupe]]&lt;&gt;1, Table34[[#This Row],[Convertible]]&lt;&gt;1), 1, 0)</f>
        <v>0</v>
      </c>
      <c r="O109" t="str">
        <f t="shared" si="9"/>
        <v>Coupe</v>
      </c>
    </row>
    <row r="110" spans="1:15" x14ac:dyDescent="0.25">
      <c r="A110">
        <f>'Ajoneuvorekisteri-Parse Modern '!AO63</f>
        <v>1691274</v>
      </c>
      <c r="B110" t="str">
        <f>'Ajoneuvorekisteri-Parse Modern '!AN63</f>
        <v>SAJAA41J2Y</v>
      </c>
      <c r="C110" t="str" cm="1">
        <f t="array" ref="C110">_xlfn.LET(_xlpm.v,UPPER(SUBSTITUTE(CLEAN(TRIM(B110)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XK8-XKR_COUPE_MEXICO_AUTO_LHD_EMISSION_J_2000MY</v>
      </c>
      <c r="D110" t="str" cm="1">
        <f t="array" ref="D110">_xlfn.LET(_xlpm.vin,SUBSTITUTE(CLEAN(TRIM(B110)),CHAR(160),""),_xlpm.rawDate,LEFT(TRIM(E110)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110">
        <f>'Ajoneuvorekisteri-Parse Modern '!G63</f>
        <v>19990927</v>
      </c>
      <c r="F110" t="str">
        <f>LEFT(Table34[[#This Row],[Käyttöönotto]],4)</f>
        <v>1999</v>
      </c>
      <c r="G110" t="str">
        <f>'Ajoneuvorekisteri-Parse Modern '!AA63</f>
        <v>COUPE XKR 4.0-AUTOMATIC-41J/259</v>
      </c>
      <c r="H110" t="str">
        <f>Ajoneuvorekisteri_Parse_Modern_XK_Range_TieliikenneAvoinData_30_06_2026_csv[[#This Row],[tyyppihyvaksyntanro]]</f>
        <v>e11*2001/116*0272*07</v>
      </c>
      <c r="I110">
        <f>'Ajoneuvorekisteri-Parse Modern '!M63</f>
        <v>1735</v>
      </c>
      <c r="J110">
        <f t="shared" si="5"/>
        <v>0</v>
      </c>
      <c r="K110">
        <f t="shared" si="6"/>
        <v>1</v>
      </c>
      <c r="L110">
        <f t="shared" si="7"/>
        <v>1</v>
      </c>
      <c r="M110">
        <f t="shared" si="8"/>
        <v>0</v>
      </c>
      <c r="N110">
        <f>IF(AND(Table34[[#This Row],[Coupe]]&lt;&gt;1, Table34[[#This Row],[Convertible]]&lt;&gt;1), 1, 0)</f>
        <v>0</v>
      </c>
      <c r="O110" t="str">
        <f t="shared" si="9"/>
        <v>Coupe</v>
      </c>
    </row>
    <row r="111" spans="1:15" x14ac:dyDescent="0.25">
      <c r="A111">
        <f>'Ajoneuvorekisteri-Parse Modern '!AO26</f>
        <v>906178</v>
      </c>
      <c r="B111" t="str">
        <f>'Ajoneuvorekisteri-Parse Modern '!AN26</f>
        <v>SAJJGAED4A</v>
      </c>
      <c r="C111" t="str" cm="1">
        <f t="array" ref="C111">_xlfn.LET(_xlpm.v,UPPER(SUBSTITUTE(CLEAN(TRIM(B111)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D111" t="str" cm="1">
        <f t="array" ref="D111">_xlfn.LET(_xlpm.vin,SUBSTITUTE(CLEAN(TRIM(B111)),CHAR(160),""),_xlpm.rawDate,LEFT(TRIM(E111)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111">
        <f>'Ajoneuvorekisteri-Parse Modern '!G26</f>
        <v>19991018</v>
      </c>
      <c r="F111" t="str">
        <f>LEFT(Table34[[#This Row],[Käyttöönotto]],4)</f>
        <v>1999</v>
      </c>
      <c r="G111" t="str">
        <f>'Ajoneuvorekisteri-Parse Modern '!AA26</f>
        <v>COUPE XK8 4.0-AUTOMATIC-JGED/259</v>
      </c>
      <c r="H111" t="str">
        <f>Ajoneuvorekisteri_Parse_Modern_XK_Range_TieliikenneAvoinData_30_06_2026_csv[[#This Row],[tyyppihyvaksyntanro]]</f>
        <v/>
      </c>
      <c r="I111">
        <f>'Ajoneuvorekisteri-Parse Modern '!M26</f>
        <v>1690</v>
      </c>
      <c r="J111">
        <f t="shared" si="5"/>
        <v>1</v>
      </c>
      <c r="K111">
        <f t="shared" si="6"/>
        <v>0</v>
      </c>
      <c r="L111">
        <f t="shared" si="7"/>
        <v>1</v>
      </c>
      <c r="M111">
        <f t="shared" si="8"/>
        <v>0</v>
      </c>
      <c r="N111">
        <f>IF(AND(Table34[[#This Row],[Coupe]]&lt;&gt;1, Table34[[#This Row],[Convertible]]&lt;&gt;1), 1, 0)</f>
        <v>0</v>
      </c>
      <c r="O111" t="str">
        <f t="shared" si="9"/>
        <v>Coupe</v>
      </c>
    </row>
    <row r="112" spans="1:15" x14ac:dyDescent="0.25">
      <c r="A112">
        <f>'Ajoneuvorekisteri-Parse Modern '!AO229</f>
        <v>3794414</v>
      </c>
      <c r="B112" t="str">
        <f>'Ajoneuvorekisteri-Parse Modern '!AN229</f>
        <v>SAJGX2049X</v>
      </c>
      <c r="C112" t="str" cm="1">
        <f t="array" ref="C112">_xlfn.LET(_xlpm.v,UPPER(SUBSTITUTE(CLEAN(TRIM(B112)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[7=0]</v>
      </c>
      <c r="D112" t="str" cm="1">
        <f t="array" ref="D112">_xlfn.LET(_xlpm.vin,SUBSTITUTE(CLEAN(TRIM(B112)),CHAR(160),""),_xlpm.rawDate,LEFT(TRIM(E112)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112">
        <f>'Ajoneuvorekisteri-Parse Modern '!G229</f>
        <v>19991231</v>
      </c>
      <c r="F112" t="str">
        <f>LEFT(Table34[[#This Row],[Käyttöönotto]],4)</f>
        <v>1999</v>
      </c>
      <c r="G112" t="str">
        <f>'Ajoneuvorekisteri-Parse Modern '!AA229</f>
        <v>XK Avoauto (AE) 2ov 3990cm3 A</v>
      </c>
      <c r="H112" t="str">
        <f>Ajoneuvorekisteri_Parse_Modern_XK_Range_TieliikenneAvoinData_30_06_2026_csv[[#This Row],[tyyppihyvaksyntanro]]</f>
        <v/>
      </c>
      <c r="I112">
        <f>'Ajoneuvorekisteri-Parse Modern '!M229</f>
        <v>1720</v>
      </c>
      <c r="J112">
        <f t="shared" si="5"/>
        <v>1</v>
      </c>
      <c r="K112">
        <f t="shared" si="6"/>
        <v>0</v>
      </c>
      <c r="L112">
        <f t="shared" si="7"/>
        <v>0</v>
      </c>
      <c r="M112">
        <f t="shared" si="8"/>
        <v>1</v>
      </c>
      <c r="N112">
        <f>IF(AND(Table34[[#This Row],[Coupe]]&lt;&gt;1, Table34[[#This Row],[Convertible]]&lt;&gt;1), 1, 0)</f>
        <v>0</v>
      </c>
      <c r="O112" t="str">
        <f t="shared" si="9"/>
        <v>Convertible</v>
      </c>
    </row>
    <row r="113" spans="1:15" x14ac:dyDescent="0.25">
      <c r="A113">
        <f>'Ajoneuvorekisteri-Parse Modern '!AO233</f>
        <v>4008992</v>
      </c>
      <c r="B113" t="str">
        <f>'Ajoneuvorekisteri-Parse Modern '!AN233</f>
        <v>SAJJA42CXY</v>
      </c>
      <c r="C113" t="str" cm="1">
        <f t="array" ref="C113">_xlfn.LET(_xlpm.v,UPPER(SUBSTITUTE(CLEAN(TRIM(B113)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XK8-XKR_CONVERTIBLE_USA_AUTO_LHD_EMISSION_C_2000MY</v>
      </c>
      <c r="D113" t="str" cm="1">
        <f t="array" ref="D113">_xlfn.LET(_xlpm.vin,SUBSTITUTE(CLEAN(TRIM(B113)),CHAR(160),""),_xlpm.rawDate,LEFT(TRIM(E113)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113">
        <f>'Ajoneuvorekisteri-Parse Modern '!G233</f>
        <v>20000000</v>
      </c>
      <c r="F113" t="str">
        <f>LEFT(Table34[[#This Row],[Käyttöönotto]],4)</f>
        <v>2000</v>
      </c>
      <c r="G113" t="str">
        <f>'Ajoneuvorekisteri-Parse Modern '!AA233</f>
        <v>XK Avoauto (AE) 2ov 3990cm3 A</v>
      </c>
      <c r="H113" t="str">
        <f>Ajoneuvorekisteri_Parse_Modern_XK_Range_TieliikenneAvoinData_30_06_2026_csv[[#This Row],[tyyppihyvaksyntanro]]</f>
        <v>e11*95/54*0061*05</v>
      </c>
      <c r="I113">
        <f>'Ajoneuvorekisteri-Parse Modern '!M233</f>
        <v>1780</v>
      </c>
      <c r="J113">
        <f t="shared" si="5"/>
        <v>1</v>
      </c>
      <c r="K113">
        <f t="shared" si="6"/>
        <v>0</v>
      </c>
      <c r="L113">
        <f t="shared" si="7"/>
        <v>0</v>
      </c>
      <c r="M113">
        <f t="shared" si="8"/>
        <v>1</v>
      </c>
      <c r="N113">
        <f>IF(AND(Table34[[#This Row],[Coupe]]&lt;&gt;1, Table34[[#This Row],[Convertible]]&lt;&gt;1), 1, 0)</f>
        <v>0</v>
      </c>
      <c r="O113" t="str">
        <f t="shared" si="9"/>
        <v>Convertible</v>
      </c>
    </row>
    <row r="114" spans="1:15" x14ac:dyDescent="0.25">
      <c r="A114">
        <f>'Ajoneuvorekisteri-Parse Modern '!AO131</f>
        <v>2540915</v>
      </c>
      <c r="B114" t="str">
        <f>'Ajoneuvorekisteri-Parse Modern '!AN131</f>
        <v>SAJJA42C9Y</v>
      </c>
      <c r="C114" t="str" cm="1">
        <f t="array" ref="C114">_xlfn.LET(_xlpm.v,UPPER(SUBSTITUTE(CLEAN(TRIM(B114)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XK8-XKR_CONVERTIBLE_USA_AUTO_LHD_EMISSION_C_2000MY</v>
      </c>
      <c r="D114" t="str" cm="1">
        <f t="array" ref="D114">_xlfn.LET(_xlpm.vin,SUBSTITUTE(CLEAN(TRIM(B114)),CHAR(160),""),_xlpm.rawDate,LEFT(TRIM(E114)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114">
        <f>'Ajoneuvorekisteri-Parse Modern '!G131</f>
        <v>20000101</v>
      </c>
      <c r="F114" t="str">
        <f>LEFT(Table34[[#This Row],[Käyttöönotto]],4)</f>
        <v>2000</v>
      </c>
      <c r="G114" t="str">
        <f>'Ajoneuvorekisteri-Parse Modern '!AA131</f>
        <v>XK Avoauto (AE) 2ov 3996cm3 A</v>
      </c>
      <c r="H114" t="str">
        <f>Ajoneuvorekisteri_Parse_Modern_XK_Range_TieliikenneAvoinData_30_06_2026_csv[[#This Row],[tyyppihyvaksyntanro]]</f>
        <v/>
      </c>
      <c r="I114">
        <f>'Ajoneuvorekisteri-Parse Modern '!M131</f>
        <v>1780</v>
      </c>
      <c r="J114">
        <f t="shared" si="5"/>
        <v>1</v>
      </c>
      <c r="K114">
        <f t="shared" si="6"/>
        <v>0</v>
      </c>
      <c r="L114">
        <f t="shared" si="7"/>
        <v>0</v>
      </c>
      <c r="M114">
        <f t="shared" si="8"/>
        <v>1</v>
      </c>
      <c r="N114">
        <f>IF(AND(Table34[[#This Row],[Coupe]]&lt;&gt;1, Table34[[#This Row],[Convertible]]&lt;&gt;1), 1, 0)</f>
        <v>0</v>
      </c>
      <c r="O114" t="str">
        <f t="shared" si="9"/>
        <v>Convertible</v>
      </c>
    </row>
    <row r="115" spans="1:15" x14ac:dyDescent="0.25">
      <c r="A115">
        <f>'Ajoneuvorekisteri-Parse Modern '!AO140</f>
        <v>2644851</v>
      </c>
      <c r="B115" t="str">
        <f>'Ajoneuvorekisteri-Parse Modern '!AN140</f>
        <v>SAJJA42B8Y</v>
      </c>
      <c r="C115" t="str" cm="1">
        <f t="array" ref="C115">_xlfn.LET(_xlpm.v,UPPER(SUBSTITUTE(CLEAN(TRIM(B115)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XK8-XKR_CONVERTIBLE_USA_AUTO_LHD_EMISSION_B_2000MY</v>
      </c>
      <c r="D115" t="str" cm="1">
        <f t="array" ref="D115">_xlfn.LET(_xlpm.vin,SUBSTITUTE(CLEAN(TRIM(B115)),CHAR(160),""),_xlpm.rawDate,LEFT(TRIM(E115)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115">
        <f>'Ajoneuvorekisteri-Parse Modern '!G140</f>
        <v>20000104</v>
      </c>
      <c r="F115" t="str">
        <f>LEFT(Table34[[#This Row],[Käyttöönotto]],4)</f>
        <v>2000</v>
      </c>
      <c r="G115" t="str">
        <f>'Ajoneuvorekisteri-Parse Modern '!AA140</f>
        <v>2D CONVERTIBLE XKR 4.0-AUTOMATIC-42B/259 Avoauto (AE) 2ov 3990cm3 A</v>
      </c>
      <c r="H115" t="str">
        <f>Ajoneuvorekisteri_Parse_Modern_XK_Range_TieliikenneAvoinData_30_06_2026_csv[[#This Row],[tyyppihyvaksyntanro]]</f>
        <v/>
      </c>
      <c r="I115">
        <f>'Ajoneuvorekisteri-Parse Modern '!M140</f>
        <v>1825</v>
      </c>
      <c r="J115">
        <f t="shared" si="5"/>
        <v>0</v>
      </c>
      <c r="K115">
        <f t="shared" si="6"/>
        <v>1</v>
      </c>
      <c r="L115">
        <f t="shared" si="7"/>
        <v>0</v>
      </c>
      <c r="M115">
        <f t="shared" si="8"/>
        <v>1</v>
      </c>
      <c r="N115">
        <f>IF(AND(Table34[[#This Row],[Coupe]]&lt;&gt;1, Table34[[#This Row],[Convertible]]&lt;&gt;1), 1, 0)</f>
        <v>0</v>
      </c>
      <c r="O115" t="str">
        <f t="shared" si="9"/>
        <v>Convertible</v>
      </c>
    </row>
    <row r="116" spans="1:15" x14ac:dyDescent="0.25">
      <c r="A116">
        <f>'Ajoneuvorekisteri-Parse Modern '!AO39</f>
        <v>1227207</v>
      </c>
      <c r="B116" t="str">
        <f>'Ajoneuvorekisteri-Parse Modern '!AN39</f>
        <v>SAJAA42J7Y</v>
      </c>
      <c r="C116" t="str" cm="1">
        <f t="array" ref="C116">_xlfn.LET(_xlpm.v,UPPER(SUBSTITUTE(CLEAN(TRIM(B116)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XK8-XKR_CONVERTIBLE_MEXICO_AUTO_LHD_EMISSION_J_2000MY</v>
      </c>
      <c r="D116" t="str" cm="1">
        <f t="array" ref="D116">_xlfn.LET(_xlpm.vin,SUBSTITUTE(CLEAN(TRIM(B116)),CHAR(160),""),_xlpm.rawDate,LEFT(TRIM(E116)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116">
        <f>'Ajoneuvorekisteri-Parse Modern '!G39</f>
        <v>20000105</v>
      </c>
      <c r="F116" t="str">
        <f>LEFT(Table34[[#This Row],[Käyttöönotto]],4)</f>
        <v>2000</v>
      </c>
      <c r="G116" t="str">
        <f>'Ajoneuvorekisteri-Parse Modern '!AA39</f>
        <v>2D CONVERTIBLE XKR 4.0-AUTOMATIC-JGFF/259</v>
      </c>
      <c r="H116" t="str">
        <f>Ajoneuvorekisteri_Parse_Modern_XK_Range_TieliikenneAvoinData_30_06_2026_csv[[#This Row],[tyyppihyvaksyntanro]]</f>
        <v/>
      </c>
      <c r="I116">
        <f>'Ajoneuvorekisteri-Parse Modern '!M39</f>
        <v>1845</v>
      </c>
      <c r="J116">
        <f t="shared" si="5"/>
        <v>0</v>
      </c>
      <c r="K116">
        <f t="shared" si="6"/>
        <v>1</v>
      </c>
      <c r="L116">
        <f t="shared" si="7"/>
        <v>0</v>
      </c>
      <c r="M116">
        <f t="shared" si="8"/>
        <v>1</v>
      </c>
      <c r="N116">
        <f>IF(AND(Table34[[#This Row],[Coupe]]&lt;&gt;1, Table34[[#This Row],[Convertible]]&lt;&gt;1), 1, 0)</f>
        <v>0</v>
      </c>
      <c r="O116" t="str">
        <f t="shared" si="9"/>
        <v>Convertible</v>
      </c>
    </row>
    <row r="117" spans="1:15" x14ac:dyDescent="0.25">
      <c r="A117">
        <f>'Ajoneuvorekisteri-Parse Modern '!AO45</f>
        <v>1300025</v>
      </c>
      <c r="B117" t="str">
        <f>'Ajoneuvorekisteri-Parse Modern '!AN45</f>
        <v>SAJAA41J5Y</v>
      </c>
      <c r="C117" t="str" cm="1">
        <f t="array" ref="C117">_xlfn.LET(_xlpm.v,UPPER(SUBSTITUTE(CLEAN(TRIM(B117)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XK8-XKR_COUPE_MEXICO_AUTO_LHD_EMISSION_J_2000MY</v>
      </c>
      <c r="D117" t="str" cm="1">
        <f t="array" ref="D117">_xlfn.LET(_xlpm.vin,SUBSTITUTE(CLEAN(TRIM(B117)),CHAR(160),""),_xlpm.rawDate,LEFT(TRIM(E117)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117">
        <f>'Ajoneuvorekisteri-Parse Modern '!G45</f>
        <v>20000106</v>
      </c>
      <c r="F117" t="str">
        <f>LEFT(Table34[[#This Row],[Käyttöönotto]],4)</f>
        <v>2000</v>
      </c>
      <c r="G117" t="str">
        <f>'Ajoneuvorekisteri-Parse Modern '!AA45</f>
        <v>COUPE XKR 4.0-AUTOMATIC-AA1J/259</v>
      </c>
      <c r="H117" t="str">
        <f>Ajoneuvorekisteri_Parse_Modern_XK_Range_TieliikenneAvoinData_30_06_2026_csv[[#This Row],[tyyppihyvaksyntanro]]</f>
        <v/>
      </c>
      <c r="I117">
        <f>'Ajoneuvorekisteri-Parse Modern '!M45</f>
        <v>1735</v>
      </c>
      <c r="J117">
        <f t="shared" si="5"/>
        <v>0</v>
      </c>
      <c r="K117">
        <f t="shared" si="6"/>
        <v>1</v>
      </c>
      <c r="L117">
        <f t="shared" si="7"/>
        <v>1</v>
      </c>
      <c r="M117">
        <f t="shared" si="8"/>
        <v>0</v>
      </c>
      <c r="N117">
        <f>IF(AND(Table34[[#This Row],[Coupe]]&lt;&gt;1, Table34[[#This Row],[Convertible]]&lt;&gt;1), 1, 0)</f>
        <v>0</v>
      </c>
      <c r="O117" t="str">
        <f t="shared" si="9"/>
        <v>Coupe</v>
      </c>
    </row>
    <row r="118" spans="1:15" x14ac:dyDescent="0.25">
      <c r="A118">
        <f>'Ajoneuvorekisteri-Parse Modern '!AO76</f>
        <v>1974202</v>
      </c>
      <c r="B118" t="str">
        <f>'Ajoneuvorekisteri-Parse Modern '!AN76</f>
        <v>SAJAA41E2Y</v>
      </c>
      <c r="C118" t="str" cm="1">
        <f t="array" ref="C118">_xlfn.LET(_xlpm.v,UPPER(SUBSTITUTE(CLEAN(TRIM(B118)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XK8-XKR_COUPE_MEXICO_AUTO_LHD_EMISSION_E_2000MY</v>
      </c>
      <c r="D118" t="str" cm="1">
        <f t="array" ref="D118">_xlfn.LET(_xlpm.vin,SUBSTITUTE(CLEAN(TRIM(B118)),CHAR(160),""),_xlpm.rawDate,LEFT(TRIM(E118)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118">
        <f>'Ajoneuvorekisteri-Parse Modern '!G76</f>
        <v>20000107</v>
      </c>
      <c r="F118" t="str">
        <f>LEFT(Table34[[#This Row],[Käyttöönotto]],4)</f>
        <v>2000</v>
      </c>
      <c r="G118" t="str">
        <f>'Ajoneuvorekisteri-Parse Modern '!AA76</f>
        <v>XK8 Coup� (AD) 2ov 3996cm3</v>
      </c>
      <c r="H118" t="str">
        <f>Ajoneuvorekisteri_Parse_Modern_XK_Range_TieliikenneAvoinData_30_06_2026_csv[[#This Row],[tyyppihyvaksyntanro]]</f>
        <v/>
      </c>
      <c r="I118">
        <f>'Ajoneuvorekisteri-Parse Modern '!M76</f>
        <v>1690</v>
      </c>
      <c r="J118">
        <f t="shared" si="5"/>
        <v>1</v>
      </c>
      <c r="K118">
        <f t="shared" si="6"/>
        <v>0</v>
      </c>
      <c r="L118">
        <f t="shared" si="7"/>
        <v>1</v>
      </c>
      <c r="M118">
        <f t="shared" si="8"/>
        <v>0</v>
      </c>
      <c r="N118">
        <f>IF(AND(Table34[[#This Row],[Coupe]]&lt;&gt;1, Table34[[#This Row],[Convertible]]&lt;&gt;1), 1, 0)</f>
        <v>0</v>
      </c>
      <c r="O118" t="str">
        <f t="shared" si="9"/>
        <v>Coupe</v>
      </c>
    </row>
    <row r="119" spans="1:15" x14ac:dyDescent="0.25">
      <c r="A119">
        <f>'Ajoneuvorekisteri-Parse Modern '!AO8</f>
        <v>155675</v>
      </c>
      <c r="B119" t="str">
        <f>'Ajoneuvorekisteri-Parse Modern '!AN8</f>
        <v>SAJAA41J1Y</v>
      </c>
      <c r="C119" t="str" cm="1">
        <f t="array" ref="C119">_xlfn.LET(_xlpm.v,UPPER(SUBSTITUTE(CLEAN(TRIM(B119)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XK8-XKR_COUPE_MEXICO_AUTO_LHD_EMISSION_J_2000MY</v>
      </c>
      <c r="D119" t="str" cm="1">
        <f t="array" ref="D119">_xlfn.LET(_xlpm.vin,SUBSTITUTE(CLEAN(TRIM(B119)),CHAR(160),""),_xlpm.rawDate,LEFT(TRIM(E119)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119">
        <f>'Ajoneuvorekisteri-Parse Modern '!G8</f>
        <v>20000111</v>
      </c>
      <c r="F119" t="str">
        <f>LEFT(Table34[[#This Row],[Käyttöönotto]],4)</f>
        <v>2000</v>
      </c>
      <c r="G119" t="str">
        <f>'Ajoneuvorekisteri-Parse Modern '!AA8</f>
        <v>COUPE XKR 4.0-AUTOMATIC-JGEF/259</v>
      </c>
      <c r="H119" t="str">
        <f>Ajoneuvorekisteri_Parse_Modern_XK_Range_TieliikenneAvoinData_30_06_2026_csv[[#This Row],[tyyppihyvaksyntanro]]</f>
        <v/>
      </c>
      <c r="I119">
        <f>'Ajoneuvorekisteri-Parse Modern '!M8</f>
        <v>1735</v>
      </c>
      <c r="J119">
        <f t="shared" si="5"/>
        <v>0</v>
      </c>
      <c r="K119">
        <f t="shared" si="6"/>
        <v>1</v>
      </c>
      <c r="L119">
        <f t="shared" si="7"/>
        <v>1</v>
      </c>
      <c r="M119">
        <f t="shared" si="8"/>
        <v>0</v>
      </c>
      <c r="N119">
        <f>IF(AND(Table34[[#This Row],[Coupe]]&lt;&gt;1, Table34[[#This Row],[Convertible]]&lt;&gt;1), 1, 0)</f>
        <v>0</v>
      </c>
      <c r="O119" t="str">
        <f t="shared" si="9"/>
        <v>Coupe</v>
      </c>
    </row>
    <row r="120" spans="1:15" x14ac:dyDescent="0.25">
      <c r="A120">
        <f>'Ajoneuvorekisteri-Parse Modern '!AO14</f>
        <v>471735</v>
      </c>
      <c r="B120" t="str">
        <f>'Ajoneuvorekisteri-Parse Modern '!AN14</f>
        <v>SAJAA42EXY</v>
      </c>
      <c r="C120" t="str" cm="1">
        <f t="array" ref="C120">_xlfn.LET(_xlpm.v,UPPER(SUBSTITUTE(CLEAN(TRIM(B120)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XK8-XKR_CONVERTIBLE_MEXICO_AUTO_LHD_EMISSION_E_2000MY</v>
      </c>
      <c r="D120" t="str" cm="1">
        <f t="array" ref="D120">_xlfn.LET(_xlpm.vin,SUBSTITUTE(CLEAN(TRIM(B120)),CHAR(160),""),_xlpm.rawDate,LEFT(TRIM(E120)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120">
        <f>'Ajoneuvorekisteri-Parse Modern '!G14</f>
        <v>20000111</v>
      </c>
      <c r="F120" t="str">
        <f>LEFT(Table34[[#This Row],[Käyttöönotto]],4)</f>
        <v>2000</v>
      </c>
      <c r="G120" t="str">
        <f>'Ajoneuvorekisteri-Parse Modern '!AA14</f>
        <v>2D CONVERTIBLE XK8 4.0-AUTOMATIC-AA2E/259</v>
      </c>
      <c r="H120" t="str">
        <f>Ajoneuvorekisteri_Parse_Modern_XK_Range_TieliikenneAvoinData_30_06_2026_csv[[#This Row],[tyyppihyvaksyntanro]]</f>
        <v>e11*95/54*0062*06</v>
      </c>
      <c r="I120">
        <f>'Ajoneuvorekisteri-Parse Modern '!M14</f>
        <v>1780</v>
      </c>
      <c r="J120">
        <f t="shared" si="5"/>
        <v>1</v>
      </c>
      <c r="K120">
        <f t="shared" si="6"/>
        <v>0</v>
      </c>
      <c r="L120">
        <f t="shared" si="7"/>
        <v>0</v>
      </c>
      <c r="M120">
        <f t="shared" si="8"/>
        <v>1</v>
      </c>
      <c r="N120">
        <f>IF(AND(Table34[[#This Row],[Coupe]]&lt;&gt;1, Table34[[#This Row],[Convertible]]&lt;&gt;1), 1, 0)</f>
        <v>0</v>
      </c>
      <c r="O120" t="str">
        <f t="shared" si="9"/>
        <v>Convertible</v>
      </c>
    </row>
    <row r="121" spans="1:15" x14ac:dyDescent="0.25">
      <c r="A121">
        <f>'Ajoneuvorekisteri-Parse Modern '!AO144</f>
        <v>2668635</v>
      </c>
      <c r="B121" t="str">
        <f>'Ajoneuvorekisteri-Parse Modern '!AN144</f>
        <v>SAJJA41C8Y</v>
      </c>
      <c r="C121" t="str" cm="1">
        <f t="array" ref="C121">_xlfn.LET(_xlpm.v,UPPER(SUBSTITUTE(CLEAN(TRIM(B121)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XK8-XKR_COUPE_USA_AUTO_LHD_EMISSION_C_2000MY</v>
      </c>
      <c r="D121" t="str" cm="1">
        <f t="array" ref="D121">_xlfn.LET(_xlpm.vin,SUBSTITUTE(CLEAN(TRIM(B121)),CHAR(160),""),_xlpm.rawDate,LEFT(TRIM(E121)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121">
        <f>'Ajoneuvorekisteri-Parse Modern '!G144</f>
        <v>20000127</v>
      </c>
      <c r="F121" t="str">
        <f>LEFT(Table34[[#This Row],[Käyttöönotto]],4)</f>
        <v>2000</v>
      </c>
      <c r="G121" t="str">
        <f>'Ajoneuvorekisteri-Parse Modern '!AA144</f>
        <v>XK Coup� (AD) 2ov 3996cm3 A</v>
      </c>
      <c r="H121" t="str">
        <f>Ajoneuvorekisteri_Parse_Modern_XK_Range_TieliikenneAvoinData_30_06_2026_csv[[#This Row],[tyyppihyvaksyntanro]]</f>
        <v>e11*2001/116*0272*01</v>
      </c>
      <c r="I121">
        <f>'Ajoneuvorekisteri-Parse Modern '!M144</f>
        <v>1690</v>
      </c>
      <c r="J121">
        <f t="shared" si="5"/>
        <v>1</v>
      </c>
      <c r="K121">
        <f t="shared" si="6"/>
        <v>0</v>
      </c>
      <c r="L121">
        <f t="shared" si="7"/>
        <v>1</v>
      </c>
      <c r="M121">
        <f t="shared" si="8"/>
        <v>0</v>
      </c>
      <c r="N121">
        <f>IF(AND(Table34[[#This Row],[Coupe]]&lt;&gt;1, Table34[[#This Row],[Convertible]]&lt;&gt;1), 1, 0)</f>
        <v>0</v>
      </c>
      <c r="O121" t="str">
        <f t="shared" si="9"/>
        <v>Coupe</v>
      </c>
    </row>
    <row r="122" spans="1:15" x14ac:dyDescent="0.25">
      <c r="A122">
        <f>'Ajoneuvorekisteri-Parse Modern '!AO146</f>
        <v>2683121</v>
      </c>
      <c r="B122" t="str">
        <f>'Ajoneuvorekisteri-Parse Modern '!AN146</f>
        <v>SAJAA41E3Y</v>
      </c>
      <c r="C122" t="str" cm="1">
        <f t="array" ref="C122">_xlfn.LET(_xlpm.v,UPPER(SUBSTITUTE(CLEAN(TRIM(B122)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XK8-XKR_COUPE_MEXICO_AUTO_LHD_EMISSION_E_2000MY</v>
      </c>
      <c r="D122" t="str" cm="1">
        <f t="array" ref="D122">_xlfn.LET(_xlpm.vin,SUBSTITUTE(CLEAN(TRIM(B122)),CHAR(160),""),_xlpm.rawDate,LEFT(TRIM(E122)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122">
        <f>'Ajoneuvorekisteri-Parse Modern '!G146</f>
        <v>20000222</v>
      </c>
      <c r="F122" t="str">
        <f>LEFT(Table34[[#This Row],[Käyttöönotto]],4)</f>
        <v>2000</v>
      </c>
      <c r="G122" t="str">
        <f>'Ajoneuvorekisteri-Parse Modern '!AA146</f>
        <v>XK8 Coup� (AD) 2ov 3996cm3 A</v>
      </c>
      <c r="H122" t="str">
        <f>Ajoneuvorekisteri_Parse_Modern_XK_Range_TieliikenneAvoinData_30_06_2026_csv[[#This Row],[tyyppihyvaksyntanro]]</f>
        <v>e11*95/54*0062*03</v>
      </c>
      <c r="I122">
        <f>'Ajoneuvorekisteri-Parse Modern '!M146</f>
        <v>1630</v>
      </c>
      <c r="J122">
        <f t="shared" si="5"/>
        <v>1</v>
      </c>
      <c r="K122">
        <f t="shared" si="6"/>
        <v>0</v>
      </c>
      <c r="L122">
        <f t="shared" si="7"/>
        <v>1</v>
      </c>
      <c r="M122">
        <f t="shared" si="8"/>
        <v>0</v>
      </c>
      <c r="N122">
        <f>IF(AND(Table34[[#This Row],[Coupe]]&lt;&gt;1, Table34[[#This Row],[Convertible]]&lt;&gt;1), 1, 0)</f>
        <v>0</v>
      </c>
      <c r="O122" t="str">
        <f t="shared" si="9"/>
        <v>Coupe</v>
      </c>
    </row>
    <row r="123" spans="1:15" x14ac:dyDescent="0.25">
      <c r="A123">
        <f>'Ajoneuvorekisteri-Parse Modern '!AO244</f>
        <v>4250103</v>
      </c>
      <c r="B123" t="str">
        <f>'Ajoneuvorekisteri-Parse Modern '!AN244</f>
        <v>SAJAA41J5Y</v>
      </c>
      <c r="C123" t="str" cm="1">
        <f t="array" ref="C123">_xlfn.LET(_xlpm.v,UPPER(SUBSTITUTE(CLEAN(TRIM(B123)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XK8-XKR_COUPE_MEXICO_AUTO_LHD_EMISSION_J_2000MY</v>
      </c>
      <c r="D123" t="str" cm="1">
        <f t="array" ref="D123">_xlfn.LET(_xlpm.vin,SUBSTITUTE(CLEAN(TRIM(B123)),CHAR(160),""),_xlpm.rawDate,LEFT(TRIM(E123)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123">
        <f>'Ajoneuvorekisteri-Parse Modern '!G244</f>
        <v>20000316</v>
      </c>
      <c r="F123" t="str">
        <f>LEFT(Table34[[#This Row],[Käyttöönotto]],4)</f>
        <v>2000</v>
      </c>
      <c r="G123" t="str">
        <f>'Ajoneuvorekisteri-Parse Modern '!AA244</f>
        <v>XKR Coupe Coup� (AD) 2ov 3990cm3 A</v>
      </c>
      <c r="H123" t="str">
        <f>Ajoneuvorekisteri_Parse_Modern_XK_Range_TieliikenneAvoinData_30_06_2026_csv[[#This Row],[tyyppihyvaksyntanro]]</f>
        <v/>
      </c>
      <c r="I123">
        <f>'Ajoneuvorekisteri-Parse Modern '!M244</f>
        <v>1740</v>
      </c>
      <c r="J123">
        <f t="shared" si="5"/>
        <v>0</v>
      </c>
      <c r="K123">
        <f t="shared" si="6"/>
        <v>1</v>
      </c>
      <c r="L123">
        <f t="shared" si="7"/>
        <v>1</v>
      </c>
      <c r="M123">
        <f t="shared" si="8"/>
        <v>0</v>
      </c>
      <c r="N123">
        <f>IF(AND(Table34[[#This Row],[Coupe]]&lt;&gt;1, Table34[[#This Row],[Convertible]]&lt;&gt;1), 1, 0)</f>
        <v>0</v>
      </c>
      <c r="O123" t="str">
        <f t="shared" si="9"/>
        <v>Coupe</v>
      </c>
    </row>
    <row r="124" spans="1:15" x14ac:dyDescent="0.25">
      <c r="A124">
        <f>'Ajoneuvorekisteri-Parse Modern '!AO248</f>
        <v>4509882</v>
      </c>
      <c r="B124" t="str">
        <f>'Ajoneuvorekisteri-Parse Modern '!AN248</f>
        <v>SAJAA41J0Y</v>
      </c>
      <c r="C124" t="str" cm="1">
        <f t="array" ref="C124">_xlfn.LET(_xlpm.v,UPPER(SUBSTITUTE(CLEAN(TRIM(B124)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XK8-XKR_COUPE_MEXICO_AUTO_LHD_EMISSION_J_2000MY</v>
      </c>
      <c r="D124" t="str" cm="1">
        <f t="array" ref="D124">_xlfn.LET(_xlpm.vin,SUBSTITUTE(CLEAN(TRIM(B124)),CHAR(160),""),_xlpm.rawDate,LEFT(TRIM(E124)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124">
        <f>'Ajoneuvorekisteri-Parse Modern '!G248</f>
        <v>20000427</v>
      </c>
      <c r="F124" t="str">
        <f>LEFT(Table34[[#This Row],[Käyttöönotto]],4)</f>
        <v>2000</v>
      </c>
      <c r="G124" t="str">
        <f>'Ajoneuvorekisteri-Parse Modern '!AA248</f>
        <v>XKR 2 Dr. Sport Coupe Coup� (AD) 2ov 3996cm3 A</v>
      </c>
      <c r="H124" t="str">
        <f>Ajoneuvorekisteri_Parse_Modern_XK_Range_TieliikenneAvoinData_30_06_2026_csv[[#This Row],[tyyppihyvaksyntanro]]</f>
        <v/>
      </c>
      <c r="I124">
        <f>'Ajoneuvorekisteri-Parse Modern '!M248</f>
        <v>1570</v>
      </c>
      <c r="J124">
        <f t="shared" si="5"/>
        <v>0</v>
      </c>
      <c r="K124">
        <f t="shared" si="6"/>
        <v>1</v>
      </c>
      <c r="L124">
        <f t="shared" si="7"/>
        <v>1</v>
      </c>
      <c r="M124">
        <f t="shared" si="8"/>
        <v>0</v>
      </c>
      <c r="N124">
        <f>IF(AND(Table34[[#This Row],[Coupe]]&lt;&gt;1, Table34[[#This Row],[Convertible]]&lt;&gt;1), 1, 0)</f>
        <v>0</v>
      </c>
      <c r="O124" t="str">
        <f t="shared" si="9"/>
        <v>Coupe</v>
      </c>
    </row>
    <row r="125" spans="1:15" x14ac:dyDescent="0.25">
      <c r="A125">
        <f>'Ajoneuvorekisteri-Parse Modern '!AO139</f>
        <v>2601464</v>
      </c>
      <c r="B125" t="str">
        <f>'Ajoneuvorekisteri-Parse Modern '!AN139</f>
        <v>SAJAA41J1Y</v>
      </c>
      <c r="C125" t="str" cm="1">
        <f t="array" ref="C125">_xlfn.LET(_xlpm.v,UPPER(SUBSTITUTE(CLEAN(TRIM(B125)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XK8-XKR_COUPE_MEXICO_AUTO_LHD_EMISSION_J_2000MY</v>
      </c>
      <c r="D125" t="str" cm="1">
        <f t="array" ref="D125">_xlfn.LET(_xlpm.vin,SUBSTITUTE(CLEAN(TRIM(B125)),CHAR(160),""),_xlpm.rawDate,LEFT(TRIM(E125)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125">
        <f>'Ajoneuvorekisteri-Parse Modern '!G139</f>
        <v>20000502</v>
      </c>
      <c r="F125" t="str">
        <f>LEFT(Table34[[#This Row],[Käyttöönotto]],4)</f>
        <v>2000</v>
      </c>
      <c r="G125" t="str">
        <f>'Ajoneuvorekisteri-Parse Modern '!AA139</f>
        <v>XKR Coup� (AD) 2ov 3996cm3 A</v>
      </c>
      <c r="H125" t="str">
        <f>Ajoneuvorekisteri_Parse_Modern_XK_Range_TieliikenneAvoinData_30_06_2026_csv[[#This Row],[tyyppihyvaksyntanro]]</f>
        <v/>
      </c>
      <c r="I125">
        <f>'Ajoneuvorekisteri-Parse Modern '!M139</f>
        <v>1715</v>
      </c>
      <c r="J125">
        <f t="shared" si="5"/>
        <v>0</v>
      </c>
      <c r="K125">
        <f t="shared" si="6"/>
        <v>1</v>
      </c>
      <c r="L125">
        <f t="shared" si="7"/>
        <v>1</v>
      </c>
      <c r="M125">
        <f t="shared" si="8"/>
        <v>0</v>
      </c>
      <c r="N125">
        <f>IF(AND(Table34[[#This Row],[Coupe]]&lt;&gt;1, Table34[[#This Row],[Convertible]]&lt;&gt;1), 1, 0)</f>
        <v>0</v>
      </c>
      <c r="O125" t="str">
        <f t="shared" si="9"/>
        <v>Coupe</v>
      </c>
    </row>
    <row r="126" spans="1:15" x14ac:dyDescent="0.25">
      <c r="A126">
        <f>'Ajoneuvorekisteri-Parse Modern '!AO66</f>
        <v>1739317</v>
      </c>
      <c r="B126" t="str">
        <f>'Ajoneuvorekisteri-Parse Modern '!AN66</f>
        <v>SAJAA41JXY</v>
      </c>
      <c r="C126" t="str" cm="1">
        <f t="array" ref="C126">_xlfn.LET(_xlpm.v,UPPER(SUBSTITUTE(CLEAN(TRIM(B126)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XK8-XKR_COUPE_MEXICO_AUTO_LHD_EMISSION_J_2000MY</v>
      </c>
      <c r="D126" t="str" cm="1">
        <f t="array" ref="D126">_xlfn.LET(_xlpm.vin,SUBSTITUTE(CLEAN(TRIM(B126)),CHAR(160),""),_xlpm.rawDate,LEFT(TRIM(E126)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126">
        <f>'Ajoneuvorekisteri-Parse Modern '!G66</f>
        <v>20000511</v>
      </c>
      <c r="F126" t="str">
        <f>LEFT(Table34[[#This Row],[Käyttöönotto]],4)</f>
        <v>2000</v>
      </c>
      <c r="G126" t="str">
        <f>'Ajoneuvorekisteri-Parse Modern '!AA66</f>
        <v>COUPE XKR 4.0 AUTOMATIC-41P/259</v>
      </c>
      <c r="H126" t="str">
        <f>Ajoneuvorekisteri_Parse_Modern_XK_Range_TieliikenneAvoinData_30_06_2026_csv[[#This Row],[tyyppihyvaksyntanro]]</f>
        <v/>
      </c>
      <c r="I126">
        <f>'Ajoneuvorekisteri-Parse Modern '!M66</f>
        <v>1715</v>
      </c>
      <c r="J126">
        <f t="shared" si="5"/>
        <v>0</v>
      </c>
      <c r="K126">
        <f t="shared" si="6"/>
        <v>1</v>
      </c>
      <c r="L126">
        <f t="shared" si="7"/>
        <v>1</v>
      </c>
      <c r="M126">
        <f t="shared" si="8"/>
        <v>0</v>
      </c>
      <c r="N126">
        <f>IF(AND(Table34[[#This Row],[Coupe]]&lt;&gt;1, Table34[[#This Row],[Convertible]]&lt;&gt;1), 1, 0)</f>
        <v>0</v>
      </c>
      <c r="O126" t="str">
        <f t="shared" si="9"/>
        <v>Coupe</v>
      </c>
    </row>
    <row r="127" spans="1:15" x14ac:dyDescent="0.25">
      <c r="A127">
        <f>'Ajoneuvorekisteri-Parse Modern '!AO132</f>
        <v>2541443</v>
      </c>
      <c r="B127" t="str">
        <f>'Ajoneuvorekisteri-Parse Modern '!AN132</f>
        <v>SAJAA41E9Y</v>
      </c>
      <c r="C127" t="str" cm="1">
        <f t="array" ref="C127">_xlfn.LET(_xlpm.v,UPPER(SUBSTITUTE(CLEAN(TRIM(B127)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XK8-XKR_COUPE_MEXICO_AUTO_LHD_EMISSION_E_2000MY</v>
      </c>
      <c r="D127" t="str" cm="1">
        <f t="array" ref="D127">_xlfn.LET(_xlpm.vin,SUBSTITUTE(CLEAN(TRIM(B127)),CHAR(160),""),_xlpm.rawDate,LEFT(TRIM(E127)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127">
        <f>'Ajoneuvorekisteri-Parse Modern '!G132</f>
        <v>20000607</v>
      </c>
      <c r="F127" t="str">
        <f>LEFT(Table34[[#This Row],[Käyttöönotto]],4)</f>
        <v>2000</v>
      </c>
      <c r="G127" t="str">
        <f>'Ajoneuvorekisteri-Parse Modern '!AA132</f>
        <v>XK Coup� (AD) 2ov 3996cm3 A</v>
      </c>
      <c r="H127" t="str">
        <f>Ajoneuvorekisteri_Parse_Modern_XK_Range_TieliikenneAvoinData_30_06_2026_csv[[#This Row],[tyyppihyvaksyntanro]]</f>
        <v/>
      </c>
      <c r="I127">
        <f>'Ajoneuvorekisteri-Parse Modern '!M132</f>
        <v>1720</v>
      </c>
      <c r="J127">
        <f t="shared" si="5"/>
        <v>1</v>
      </c>
      <c r="K127">
        <f t="shared" si="6"/>
        <v>0</v>
      </c>
      <c r="L127">
        <f t="shared" si="7"/>
        <v>1</v>
      </c>
      <c r="M127">
        <f t="shared" si="8"/>
        <v>0</v>
      </c>
      <c r="N127">
        <f>IF(AND(Table34[[#This Row],[Coupe]]&lt;&gt;1, Table34[[#This Row],[Convertible]]&lt;&gt;1), 1, 0)</f>
        <v>0</v>
      </c>
      <c r="O127" t="str">
        <f t="shared" si="9"/>
        <v>Coupe</v>
      </c>
    </row>
    <row r="128" spans="1:15" x14ac:dyDescent="0.25">
      <c r="A128">
        <f>'Ajoneuvorekisteri-Parse Modern '!AO98</f>
        <v>2192254</v>
      </c>
      <c r="B128" t="str">
        <f>'Ajoneuvorekisteri-Parse Modern '!AN98</f>
        <v>SAJAA41E0Y</v>
      </c>
      <c r="C128" t="str" cm="1">
        <f t="array" ref="C128">_xlfn.LET(_xlpm.v,UPPER(SUBSTITUTE(CLEAN(TRIM(B128)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XK8-XKR_COUPE_MEXICO_AUTO_LHD_EMISSION_E_2000MY</v>
      </c>
      <c r="D128" t="str" cm="1">
        <f t="array" ref="D128">_xlfn.LET(_xlpm.vin,SUBSTITUTE(CLEAN(TRIM(B128)),CHAR(160),""),_xlpm.rawDate,LEFT(TRIM(E128)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128">
        <f>'Ajoneuvorekisteri-Parse Modern '!G98</f>
        <v>20000621</v>
      </c>
      <c r="F128" t="str">
        <f>LEFT(Table34[[#This Row],[Käyttöönotto]],4)</f>
        <v>2000</v>
      </c>
      <c r="G128" t="str">
        <f>'Ajoneuvorekisteri-Parse Modern '!AA98</f>
        <v>XK  Coup� (AD) 2ov 3996cm3 A</v>
      </c>
      <c r="H128" t="str">
        <f>Ajoneuvorekisteri_Parse_Modern_XK_Range_TieliikenneAvoinData_30_06_2026_csv[[#This Row],[tyyppihyvaksyntanro]]</f>
        <v/>
      </c>
      <c r="I128">
        <f>'Ajoneuvorekisteri-Parse Modern '!M98</f>
        <v>1715</v>
      </c>
      <c r="J128">
        <f t="shared" si="5"/>
        <v>1</v>
      </c>
      <c r="K128">
        <f t="shared" si="6"/>
        <v>0</v>
      </c>
      <c r="L128">
        <f t="shared" si="7"/>
        <v>1</v>
      </c>
      <c r="M128">
        <f t="shared" si="8"/>
        <v>0</v>
      </c>
      <c r="N128">
        <f>IF(AND(Table34[[#This Row],[Coupe]]&lt;&gt;1, Table34[[#This Row],[Convertible]]&lt;&gt;1), 1, 0)</f>
        <v>0</v>
      </c>
      <c r="O128" t="str">
        <f t="shared" si="9"/>
        <v>Coupe</v>
      </c>
    </row>
    <row r="129" spans="1:15" x14ac:dyDescent="0.25">
      <c r="A129">
        <f>'Ajoneuvorekisteri-Parse Modern '!AO184</f>
        <v>3180599</v>
      </c>
      <c r="B129" t="str">
        <f>'Ajoneuvorekisteri-Parse Modern '!AN184</f>
        <v>SAJAA41J0Y</v>
      </c>
      <c r="C129" t="str" cm="1">
        <f t="array" ref="C129">_xlfn.LET(_xlpm.v,UPPER(SUBSTITUTE(CLEAN(TRIM(B129)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XK8-XKR_COUPE_MEXICO_AUTO_LHD_EMISSION_J_2000MY</v>
      </c>
      <c r="D129" t="str" cm="1">
        <f t="array" ref="D129">_xlfn.LET(_xlpm.vin,SUBSTITUTE(CLEAN(TRIM(B129)),CHAR(160),""),_xlpm.rawDate,LEFT(TRIM(E129)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129">
        <f>'Ajoneuvorekisteri-Parse Modern '!G184</f>
        <v>20000621</v>
      </c>
      <c r="F129" t="str">
        <f>LEFT(Table34[[#This Row],[Käyttöönotto]],4)</f>
        <v>2000</v>
      </c>
      <c r="G129" t="str">
        <f>'Ajoneuvorekisteri-Parse Modern '!AA184</f>
        <v>JAGUAR XKR COUPE  2ov 3990cm3 A</v>
      </c>
      <c r="H129" t="str">
        <f>Ajoneuvorekisteri_Parse_Modern_XK_Range_TieliikenneAvoinData_30_06_2026_csv[[#This Row],[tyyppihyvaksyntanro]]</f>
        <v>e11*2001/116*0272*00</v>
      </c>
      <c r="I129">
        <f>'Ajoneuvorekisteri-Parse Modern '!M184</f>
        <v>1715</v>
      </c>
      <c r="J129">
        <f t="shared" si="5"/>
        <v>0</v>
      </c>
      <c r="K129">
        <f t="shared" si="6"/>
        <v>1</v>
      </c>
      <c r="L129">
        <f t="shared" si="7"/>
        <v>1</v>
      </c>
      <c r="M129">
        <f t="shared" si="8"/>
        <v>0</v>
      </c>
      <c r="N129">
        <f>IF(AND(Table34[[#This Row],[Coupe]]&lt;&gt;1, Table34[[#This Row],[Convertible]]&lt;&gt;1), 1, 0)</f>
        <v>0</v>
      </c>
      <c r="O129" t="str">
        <f t="shared" si="9"/>
        <v>Coupe</v>
      </c>
    </row>
    <row r="130" spans="1:15" x14ac:dyDescent="0.25">
      <c r="A130">
        <f>'Ajoneuvorekisteri-Parse Modern '!AO219</f>
        <v>3621981</v>
      </c>
      <c r="B130" t="str">
        <f>'Ajoneuvorekisteri-Parse Modern '!AN219</f>
        <v>SAJAA42N11</v>
      </c>
      <c r="C130" t="str" cm="1">
        <f t="array" ref="C130">_xlfn.LET(_xlpm.v,UPPER(SUBSTITUTE(CLEAN(TRIM(B130)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XK8-XKR_CONVERTIBLE_MEXICO_AUTO_LHD_EMISSION_N_2001MY</v>
      </c>
      <c r="D130" t="str" cm="1">
        <f t="array" ref="D130">_xlfn.LET(_xlpm.vin,SUBSTITUTE(CLEAN(TRIM(B130)),CHAR(160),""),_xlpm.rawDate,LEFT(TRIM(E130)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130">
        <f>'Ajoneuvorekisteri-Parse Modern '!G219</f>
        <v>20000911</v>
      </c>
      <c r="F130" t="str">
        <f>LEFT(Table34[[#This Row],[Käyttöönotto]],4)</f>
        <v>2000</v>
      </c>
      <c r="G130" t="str">
        <f>'Ajoneuvorekisteri-Parse Modern '!AA219</f>
        <v>XKR Avoauto (AE) 2ov 3996cm3 A</v>
      </c>
      <c r="H130" t="str">
        <f>Ajoneuvorekisteri_Parse_Modern_XK_Range_TieliikenneAvoinData_30_06_2026_csv[[#This Row],[tyyppihyvaksyntanro]]</f>
        <v/>
      </c>
      <c r="I130">
        <f>'Ajoneuvorekisteri-Parse Modern '!M219</f>
        <v>1825</v>
      </c>
      <c r="J130">
        <f t="shared" ref="J130:J193" si="10">IF(AND(
    OR(
        ISNUMBER(SEARCH("XK ", G130)),
        ISNUMBER(SEARCH("XK8", G130))
    ),
    F130 &gt; 2005
), 1, 0)</f>
        <v>0</v>
      </c>
      <c r="K130">
        <f t="shared" ref="K130:K193" si="11">IF(OR(
    ISNUMBER(SEARCH("XKR", G130)),
), 1, 0)</f>
        <v>1</v>
      </c>
      <c r="L130">
        <f t="shared" ref="L130:L193" si="12">IF(OR(
    ISNUMBER(SEARCH("COUPE", G130)),
    ISNUMBER(SEARCH("COUPÉ", G130)),
    ISNUMBER(SEARCH("COUP�", G130))
), 1, 0)</f>
        <v>0</v>
      </c>
      <c r="M130">
        <f t="shared" ref="M130:M193" si="13">IF(OR(
    ISNUMBER(SEARCH("CONVERTIBLE",G130)),
    ISNUMBER(SEARCH("AVOAUTO",G130)),
    ISNUMBER(SEARCH("AVO",G130)),
    ISNUMBER(SEARCH("CABRIO",G130))
),1,0)</f>
        <v>1</v>
      </c>
      <c r="N130">
        <f>IF(AND(Table34[[#This Row],[Coupe]]&lt;&gt;1, Table34[[#This Row],[Convertible]]&lt;&gt;1), 1, 0)</f>
        <v>0</v>
      </c>
      <c r="O130" t="str">
        <f t="shared" ref="O130:O193" si="14">IF(L130=1, "Coupe", IF(M130=1, "Convertible", "Unknown"))</f>
        <v>Convertible</v>
      </c>
    </row>
    <row r="131" spans="1:15" x14ac:dyDescent="0.25">
      <c r="A131">
        <f>'Ajoneuvorekisteri-Parse Modern '!AO198</f>
        <v>3353723</v>
      </c>
      <c r="B131" t="str">
        <f>'Ajoneuvorekisteri-Parse Modern '!AN198</f>
        <v>SAJAA42N41</v>
      </c>
      <c r="C131" t="str" cm="1">
        <f t="array" ref="C131">_xlfn.LET(_xlpm.v,UPPER(SUBSTITUTE(CLEAN(TRIM(B131)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XK8-XKR_CONVERTIBLE_MEXICO_AUTO_LHD_EMISSION_N_2001MY</v>
      </c>
      <c r="D131" t="str" cm="1">
        <f t="array" ref="D131">_xlfn.LET(_xlpm.vin,SUBSTITUTE(CLEAN(TRIM(B131)),CHAR(160),""),_xlpm.rawDate,LEFT(TRIM(E131)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E131">
        <f>'Ajoneuvorekisteri-Parse Modern '!G198</f>
        <v>20001228</v>
      </c>
      <c r="F131" t="str">
        <f>LEFT(Table34[[#This Row],[Käyttöönotto]],4)</f>
        <v>2000</v>
      </c>
      <c r="G131" t="str">
        <f>'Ajoneuvorekisteri-Parse Modern '!AA198</f>
        <v>XKR Convertible Avoauto (AE) 2ov 3996cm3 A</v>
      </c>
      <c r="H131" t="str">
        <f>Ajoneuvorekisteri_Parse_Modern_XK_Range_TieliikenneAvoinData_30_06_2026_csv[[#This Row],[tyyppihyvaksyntanro]]</f>
        <v/>
      </c>
      <c r="I131">
        <f>'Ajoneuvorekisteri-Parse Modern '!M198</f>
        <v>1825</v>
      </c>
      <c r="J131">
        <f t="shared" si="10"/>
        <v>0</v>
      </c>
      <c r="K131">
        <f t="shared" si="11"/>
        <v>1</v>
      </c>
      <c r="L131">
        <f t="shared" si="12"/>
        <v>0</v>
      </c>
      <c r="M131">
        <f t="shared" si="13"/>
        <v>1</v>
      </c>
      <c r="N131">
        <f>IF(AND(Table34[[#This Row],[Coupe]]&lt;&gt;1, Table34[[#This Row],[Convertible]]&lt;&gt;1), 1, 0)</f>
        <v>0</v>
      </c>
      <c r="O131" t="str">
        <f t="shared" si="14"/>
        <v>Convertible</v>
      </c>
    </row>
    <row r="132" spans="1:15" x14ac:dyDescent="0.25">
      <c r="A132">
        <f>'Ajoneuvorekisteri-Parse Modern '!AO111</f>
        <v>2348282</v>
      </c>
      <c r="B132" t="str">
        <f>'Ajoneuvorekisteri-Parse Modern '!AN111</f>
        <v>SAJDA42C31</v>
      </c>
      <c r="C132" t="str" cm="1">
        <f t="array" ref="C132">_xlfn.LET(_xlpm.v,UPPER(SUBSTITUTE(CLEAN(TRIM(B132)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XK8-XKR_CONVERTIBLE_USA_AUTO_LHD_EMISSION_C_2001MY</v>
      </c>
      <c r="D132" t="str" cm="1">
        <f t="array" ref="D132">_xlfn.LET(_xlpm.vin,SUBSTITUTE(CLEAN(TRIM(B132)),CHAR(160),""),_xlpm.rawDate,LEFT(TRIM(E132)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A11051–A22928</v>
      </c>
      <c r="E132">
        <f>'Ajoneuvorekisteri-Parse Modern '!G111</f>
        <v>20010000</v>
      </c>
      <c r="F132" t="str">
        <f>LEFT(Table34[[#This Row],[Käyttöönotto]],4)</f>
        <v>2001</v>
      </c>
      <c r="G132" t="str">
        <f>'Ajoneuvorekisteri-Parse Modern '!AA111</f>
        <v>XK Avoauto (AE) 2ov 3996cm3 A</v>
      </c>
      <c r="H132" t="str">
        <f>Ajoneuvorekisteri_Parse_Modern_XK_Range_TieliikenneAvoinData_30_06_2026_csv[[#This Row],[tyyppihyvaksyntanro]]</f>
        <v>e11*95/54*0061*01</v>
      </c>
      <c r="I132">
        <f>'Ajoneuvorekisteri-Parse Modern '!M111</f>
        <v>1705</v>
      </c>
      <c r="J132">
        <f t="shared" si="10"/>
        <v>1</v>
      </c>
      <c r="K132">
        <f t="shared" si="11"/>
        <v>0</v>
      </c>
      <c r="L132">
        <f t="shared" si="12"/>
        <v>0</v>
      </c>
      <c r="M132">
        <f t="shared" si="13"/>
        <v>1</v>
      </c>
      <c r="N132">
        <f>IF(AND(Table34[[#This Row],[Coupe]]&lt;&gt;1, Table34[[#This Row],[Convertible]]&lt;&gt;1), 1, 0)</f>
        <v>0</v>
      </c>
      <c r="O132" t="str">
        <f t="shared" si="14"/>
        <v>Convertible</v>
      </c>
    </row>
    <row r="133" spans="1:15" x14ac:dyDescent="0.25">
      <c r="A133">
        <f>'Ajoneuvorekisteri-Parse Modern '!AO116</f>
        <v>2394027</v>
      </c>
      <c r="B133" t="str">
        <f>'Ajoneuvorekisteri-Parse Modern '!AN116</f>
        <v>SAJDA42C41</v>
      </c>
      <c r="C133" t="str" cm="1">
        <f t="array" ref="C133">_xlfn.LET(_xlpm.v,UPPER(SUBSTITUTE(CLEAN(TRIM(B133)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XK8-XKR_CONVERTIBLE_USA_AUTO_LHD_EMISSION_C_2001MY</v>
      </c>
      <c r="D133" t="str" cm="1">
        <f t="array" ref="D133">_xlfn.LET(_xlpm.vin,SUBSTITUTE(CLEAN(TRIM(B133)),CHAR(160),""),_xlpm.rawDate,LEFT(TRIM(E133)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A11051–A22928</v>
      </c>
      <c r="E133">
        <f>'Ajoneuvorekisteri-Parse Modern '!G116</f>
        <v>20010000</v>
      </c>
      <c r="F133" t="str">
        <f>LEFT(Table34[[#This Row],[Käyttöönotto]],4)</f>
        <v>2001</v>
      </c>
      <c r="G133" t="str">
        <f>'Ajoneuvorekisteri-Parse Modern '!AA116</f>
        <v>2D CONVERTIBLE XK8 4.0-AUTOMATIC-41N/259 Avoauto (AE) 2ov 3990cm3 A</v>
      </c>
      <c r="H133" t="str">
        <f>Ajoneuvorekisteri_Parse_Modern_XK_Range_TieliikenneAvoinData_30_06_2026_csv[[#This Row],[tyyppihyvaksyntanro]]</f>
        <v/>
      </c>
      <c r="I133">
        <f>'Ajoneuvorekisteri-Parse Modern '!M116</f>
        <v>1870</v>
      </c>
      <c r="J133">
        <f t="shared" si="10"/>
        <v>1</v>
      </c>
      <c r="K133">
        <f t="shared" si="11"/>
        <v>0</v>
      </c>
      <c r="L133">
        <f t="shared" si="12"/>
        <v>0</v>
      </c>
      <c r="M133">
        <f t="shared" si="13"/>
        <v>1</v>
      </c>
      <c r="N133">
        <f>IF(AND(Table34[[#This Row],[Coupe]]&lt;&gt;1, Table34[[#This Row],[Convertible]]&lt;&gt;1), 1, 0)</f>
        <v>0</v>
      </c>
      <c r="O133" t="str">
        <f t="shared" si="14"/>
        <v>Convertible</v>
      </c>
    </row>
    <row r="134" spans="1:15" x14ac:dyDescent="0.25">
      <c r="A134">
        <f>'Ajoneuvorekisteri-Parse Modern '!AO135</f>
        <v>2565287</v>
      </c>
      <c r="B134" t="str">
        <f>'Ajoneuvorekisteri-Parse Modern '!AN135</f>
        <v>SAJDA42B11</v>
      </c>
      <c r="C134" t="str" cm="1">
        <f t="array" ref="C134">_xlfn.LET(_xlpm.v,UPPER(SUBSTITUTE(CLEAN(TRIM(B134)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XK8-XKR_CONVERTIBLE_USA_AUTO_LHD_EMISSION_B_2001MY</v>
      </c>
      <c r="D134" t="str" cm="1">
        <f t="array" ref="D134">_xlfn.LET(_xlpm.vin,SUBSTITUTE(CLEAN(TRIM(B134)),CHAR(160),""),_xlpm.rawDate,LEFT(TRIM(E134)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A11051–A22928</v>
      </c>
      <c r="E134">
        <f>'Ajoneuvorekisteri-Parse Modern '!G135</f>
        <v>20010000</v>
      </c>
      <c r="F134" t="str">
        <f>LEFT(Table34[[#This Row],[Käyttöönotto]],4)</f>
        <v>2001</v>
      </c>
      <c r="G134" t="str">
        <f>'Ajoneuvorekisteri-Parse Modern '!AA135</f>
        <v>2D CONVERTIBLE XKR 4.0-AUTOMATIC  2ov 3990cm3 A</v>
      </c>
      <c r="H134" t="str">
        <f>Ajoneuvorekisteri_Parse_Modern_XK_Range_TieliikenneAvoinData_30_06_2026_csv[[#This Row],[tyyppihyvaksyntanro]]</f>
        <v/>
      </c>
      <c r="I134">
        <f>'Ajoneuvorekisteri-Parse Modern '!M135</f>
        <v>1825</v>
      </c>
      <c r="J134">
        <f t="shared" si="10"/>
        <v>0</v>
      </c>
      <c r="K134">
        <f t="shared" si="11"/>
        <v>1</v>
      </c>
      <c r="L134">
        <f t="shared" si="12"/>
        <v>0</v>
      </c>
      <c r="M134">
        <f t="shared" si="13"/>
        <v>1</v>
      </c>
      <c r="N134">
        <f>IF(AND(Table34[[#This Row],[Coupe]]&lt;&gt;1, Table34[[#This Row],[Convertible]]&lt;&gt;1), 1, 0)</f>
        <v>0</v>
      </c>
      <c r="O134" t="str">
        <f t="shared" si="14"/>
        <v>Convertible</v>
      </c>
    </row>
    <row r="135" spans="1:15" x14ac:dyDescent="0.25">
      <c r="A135">
        <f>'Ajoneuvorekisteri-Parse Modern '!AO156</f>
        <v>2742153</v>
      </c>
      <c r="B135" t="str">
        <f>'Ajoneuvorekisteri-Parse Modern '!AN156</f>
        <v>SAJDA42B71</v>
      </c>
      <c r="C135" t="str" cm="1">
        <f t="array" ref="C135">_xlfn.LET(_xlpm.v,UPPER(SUBSTITUTE(CLEAN(TRIM(B135)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XK8-XKR_CONVERTIBLE_USA_AUTO_LHD_EMISSION_B_2001MY</v>
      </c>
      <c r="D135" t="str" cm="1">
        <f t="array" ref="D135">_xlfn.LET(_xlpm.vin,SUBSTITUTE(CLEAN(TRIM(B135)),CHAR(160),""),_xlpm.rawDate,LEFT(TRIM(E135)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A11051–A22928</v>
      </c>
      <c r="E135">
        <f>'Ajoneuvorekisteri-Parse Modern '!G156</f>
        <v>20010000</v>
      </c>
      <c r="F135" t="str">
        <f>LEFT(Table34[[#This Row],[Käyttöönotto]],4)</f>
        <v>2001</v>
      </c>
      <c r="G135" t="str">
        <f>'Ajoneuvorekisteri-Parse Modern '!AA156</f>
        <v>XKR Avoauto (AE) 2ov 3990cm3 A</v>
      </c>
      <c r="H135" t="str">
        <f>Ajoneuvorekisteri_Parse_Modern_XK_Range_TieliikenneAvoinData_30_06_2026_csv[[#This Row],[tyyppihyvaksyntanro]]</f>
        <v/>
      </c>
      <c r="I135">
        <f>'Ajoneuvorekisteri-Parse Modern '!M156</f>
        <v>1860</v>
      </c>
      <c r="J135">
        <f t="shared" si="10"/>
        <v>0</v>
      </c>
      <c r="K135">
        <f t="shared" si="11"/>
        <v>1</v>
      </c>
      <c r="L135">
        <f t="shared" si="12"/>
        <v>0</v>
      </c>
      <c r="M135">
        <f t="shared" si="13"/>
        <v>1</v>
      </c>
      <c r="N135">
        <f>IF(AND(Table34[[#This Row],[Coupe]]&lt;&gt;1, Table34[[#This Row],[Convertible]]&lt;&gt;1), 1, 0)</f>
        <v>0</v>
      </c>
      <c r="O135" t="str">
        <f t="shared" si="14"/>
        <v>Convertible</v>
      </c>
    </row>
    <row r="136" spans="1:15" x14ac:dyDescent="0.25">
      <c r="A136">
        <f>'Ajoneuvorekisteri-Parse Modern '!AO170</f>
        <v>2931159</v>
      </c>
      <c r="B136" t="str">
        <f>'Ajoneuvorekisteri-Parse Modern '!AN170</f>
        <v>SAJDA42B91</v>
      </c>
      <c r="C136" t="str" cm="1">
        <f t="array" ref="C136">_xlfn.LET(_xlpm.v,UPPER(SUBSTITUTE(CLEAN(TRIM(B136)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XK8-XKR_CONVERTIBLE_USA_AUTO_LHD_EMISSION_B_2001MY</v>
      </c>
      <c r="D136" t="str" cm="1">
        <f t="array" ref="D136">_xlfn.LET(_xlpm.vin,SUBSTITUTE(CLEAN(TRIM(B136)),CHAR(160),""),_xlpm.rawDate,LEFT(TRIM(E136)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A11051–A22928</v>
      </c>
      <c r="E136">
        <f>'Ajoneuvorekisteri-Parse Modern '!G170</f>
        <v>20010000</v>
      </c>
      <c r="F136" t="str">
        <f>LEFT(Table34[[#This Row],[Käyttöönotto]],4)</f>
        <v>2001</v>
      </c>
      <c r="G136" t="str">
        <f>'Ajoneuvorekisteri-Parse Modern '!AA170</f>
        <v>XKR Avoauto (AE) 2ov 3996cm3 A</v>
      </c>
      <c r="H136" t="str">
        <f>Ajoneuvorekisteri_Parse_Modern_XK_Range_TieliikenneAvoinData_30_06_2026_csv[[#This Row],[tyyppihyvaksyntanro]]</f>
        <v/>
      </c>
      <c r="I136">
        <f>'Ajoneuvorekisteri-Parse Modern '!M170</f>
        <v>1860</v>
      </c>
      <c r="J136">
        <f t="shared" si="10"/>
        <v>0</v>
      </c>
      <c r="K136">
        <f t="shared" si="11"/>
        <v>1</v>
      </c>
      <c r="L136">
        <f t="shared" si="12"/>
        <v>0</v>
      </c>
      <c r="M136">
        <f t="shared" si="13"/>
        <v>1</v>
      </c>
      <c r="N136">
        <f>IF(AND(Table34[[#This Row],[Coupe]]&lt;&gt;1, Table34[[#This Row],[Convertible]]&lt;&gt;1), 1, 0)</f>
        <v>0</v>
      </c>
      <c r="O136" t="str">
        <f t="shared" si="14"/>
        <v>Convertible</v>
      </c>
    </row>
    <row r="137" spans="1:15" x14ac:dyDescent="0.25">
      <c r="A137">
        <f>'Ajoneuvorekisteri-Parse Modern '!AO56</f>
        <v>1611584</v>
      </c>
      <c r="B137" t="str">
        <f>'Ajoneuvorekisteri-Parse Modern '!AN56</f>
        <v>SAJAA41N61</v>
      </c>
      <c r="C137" t="str" cm="1">
        <f t="array" ref="C137">_xlfn.LET(_xlpm.v,UPPER(SUBSTITUTE(CLEAN(TRIM(B137)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XK8-XKR_COUPE_MEXICO_AUTO_LHD_EMISSION_N_2001MY</v>
      </c>
      <c r="D137" t="str" cm="1">
        <f t="array" ref="D137">_xlfn.LET(_xlpm.vin,SUBSTITUTE(CLEAN(TRIM(B137)),CHAR(160),""),_xlpm.rawDate,LEFT(TRIM(E137)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A11051–A22928</v>
      </c>
      <c r="E137">
        <f>'Ajoneuvorekisteri-Parse Modern '!G56</f>
        <v>20010228</v>
      </c>
      <c r="F137" t="str">
        <f>LEFT(Table34[[#This Row],[Käyttöönotto]],4)</f>
        <v>2001</v>
      </c>
      <c r="G137" t="str">
        <f>'Ajoneuvorekisteri-Parse Modern '!AA56</f>
        <v>COUPE XKR 4.0 AUTOMATIC-41P/259</v>
      </c>
      <c r="H137" t="str">
        <f>Ajoneuvorekisteri_Parse_Modern_XK_Range_TieliikenneAvoinData_30_06_2026_csv[[#This Row],[tyyppihyvaksyntanro]]</f>
        <v/>
      </c>
      <c r="I137">
        <f>'Ajoneuvorekisteri-Parse Modern '!M56</f>
        <v>1715</v>
      </c>
      <c r="J137">
        <f t="shared" si="10"/>
        <v>0</v>
      </c>
      <c r="K137">
        <f t="shared" si="11"/>
        <v>1</v>
      </c>
      <c r="L137">
        <f t="shared" si="12"/>
        <v>1</v>
      </c>
      <c r="M137">
        <f t="shared" si="13"/>
        <v>0</v>
      </c>
      <c r="N137">
        <f>IF(AND(Table34[[#This Row],[Coupe]]&lt;&gt;1, Table34[[#This Row],[Convertible]]&lt;&gt;1), 1, 0)</f>
        <v>0</v>
      </c>
      <c r="O137" t="str">
        <f t="shared" si="14"/>
        <v>Coupe</v>
      </c>
    </row>
    <row r="138" spans="1:15" x14ac:dyDescent="0.25">
      <c r="A138">
        <f>'Ajoneuvorekisteri-Parse Modern '!AO115</f>
        <v>2384361</v>
      </c>
      <c r="B138" t="str">
        <f>'Ajoneuvorekisteri-Parse Modern '!AN115</f>
        <v>SAJDA42C61</v>
      </c>
      <c r="C138" t="str" cm="1">
        <f t="array" ref="C138">_xlfn.LET(_xlpm.v,UPPER(SUBSTITUTE(CLEAN(TRIM(B138)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XK8-XKR_CONVERTIBLE_USA_AUTO_LHD_EMISSION_C_2001MY</v>
      </c>
      <c r="D138" t="str" cm="1">
        <f t="array" ref="D138">_xlfn.LET(_xlpm.vin,SUBSTITUTE(CLEAN(TRIM(B138)),CHAR(160),""),_xlpm.rawDate,LEFT(TRIM(E138)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A11051–A22928</v>
      </c>
      <c r="E138">
        <f>'Ajoneuvorekisteri-Parse Modern '!G115</f>
        <v>20010301</v>
      </c>
      <c r="F138" t="str">
        <f>LEFT(Table34[[#This Row],[Käyttöönotto]],4)</f>
        <v>2001</v>
      </c>
      <c r="G138" t="str">
        <f>'Ajoneuvorekisteri-Parse Modern '!AA115</f>
        <v>XK8 Avoauto (AE) 2ov 3996cm3 A</v>
      </c>
      <c r="H138" t="str">
        <f>Ajoneuvorekisteri_Parse_Modern_XK_Range_TieliikenneAvoinData_30_06_2026_csv[[#This Row],[tyyppihyvaksyntanro]]</f>
        <v>e11*95/54*0061*08</v>
      </c>
      <c r="I138">
        <f>'Ajoneuvorekisteri-Parse Modern '!M115</f>
        <v>1810</v>
      </c>
      <c r="J138">
        <f t="shared" si="10"/>
        <v>1</v>
      </c>
      <c r="K138">
        <f t="shared" si="11"/>
        <v>0</v>
      </c>
      <c r="L138">
        <f t="shared" si="12"/>
        <v>0</v>
      </c>
      <c r="M138">
        <f t="shared" si="13"/>
        <v>1</v>
      </c>
      <c r="N138">
        <f>IF(AND(Table34[[#This Row],[Coupe]]&lt;&gt;1, Table34[[#This Row],[Convertible]]&lt;&gt;1), 1, 0)</f>
        <v>0</v>
      </c>
      <c r="O138" t="str">
        <f t="shared" si="14"/>
        <v>Convertible</v>
      </c>
    </row>
    <row r="139" spans="1:15" x14ac:dyDescent="0.25">
      <c r="A139">
        <f>'Ajoneuvorekisteri-Parse Modern '!AO183</f>
        <v>3175710</v>
      </c>
      <c r="B139" t="str">
        <f>'Ajoneuvorekisteri-Parse Modern '!AN183</f>
        <v>SAJAA42N21</v>
      </c>
      <c r="C139" t="str" cm="1">
        <f t="array" ref="C139">_xlfn.LET(_xlpm.v,UPPER(SUBSTITUTE(CLEAN(TRIM(B139)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XK8-XKR_CONVERTIBLE_MEXICO_AUTO_LHD_EMISSION_N_2001MY</v>
      </c>
      <c r="D139" t="str" cm="1">
        <f t="array" ref="D139">_xlfn.LET(_xlpm.vin,SUBSTITUTE(CLEAN(TRIM(B139)),CHAR(160),""),_xlpm.rawDate,LEFT(TRIM(E139)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A11051–A22928</v>
      </c>
      <c r="E139">
        <f>'Ajoneuvorekisteri-Parse Modern '!G183</f>
        <v>20010508</v>
      </c>
      <c r="F139" t="str">
        <f>LEFT(Table34[[#This Row],[Käyttöönotto]],4)</f>
        <v>2001</v>
      </c>
      <c r="G139" t="str">
        <f>'Ajoneuvorekisteri-Parse Modern '!AA183</f>
        <v>XKR CONVERTIBLE Avoauto (AE) 2ov 3990cm3 A</v>
      </c>
      <c r="H139" t="str">
        <f>Ajoneuvorekisteri_Parse_Modern_XK_Range_TieliikenneAvoinData_30_06_2026_csv[[#This Row],[tyyppihyvaksyntanro]]</f>
        <v>e11*95/54*0061*04</v>
      </c>
      <c r="I139">
        <f>'Ajoneuvorekisteri-Parse Modern '!M183</f>
        <v>1825</v>
      </c>
      <c r="J139">
        <f t="shared" si="10"/>
        <v>0</v>
      </c>
      <c r="K139">
        <f t="shared" si="11"/>
        <v>1</v>
      </c>
      <c r="L139">
        <f t="shared" si="12"/>
        <v>0</v>
      </c>
      <c r="M139">
        <f t="shared" si="13"/>
        <v>1</v>
      </c>
      <c r="N139">
        <f>IF(AND(Table34[[#This Row],[Coupe]]&lt;&gt;1, Table34[[#This Row],[Convertible]]&lt;&gt;1), 1, 0)</f>
        <v>0</v>
      </c>
      <c r="O139" t="str">
        <f t="shared" si="14"/>
        <v>Convertible</v>
      </c>
    </row>
    <row r="140" spans="1:15" x14ac:dyDescent="0.25">
      <c r="A140">
        <f>'Ajoneuvorekisteri-Parse Modern '!AO13</f>
        <v>423185</v>
      </c>
      <c r="B140" t="str">
        <f>'Ajoneuvorekisteri-Parse Modern '!AN13</f>
        <v>SAJAA41M11</v>
      </c>
      <c r="C140" t="str" cm="1">
        <f t="array" ref="C140">_xlfn.LET(_xlpm.v,UPPER(SUBSTITUTE(CLEAN(TRIM(B140)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XK8-XKR_COUPE_MEXICO_AUTO_LHD_EMISSION_M_2001MY</v>
      </c>
      <c r="D140" t="str" cm="1">
        <f t="array" ref="D140">_xlfn.LET(_xlpm.vin,SUBSTITUTE(CLEAN(TRIM(B140)),CHAR(160),""),_xlpm.rawDate,LEFT(TRIM(E140)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A11051–A22928</v>
      </c>
      <c r="E140">
        <f>'Ajoneuvorekisteri-Parse Modern '!G13</f>
        <v>20010706</v>
      </c>
      <c r="F140" t="str">
        <f>LEFT(Table34[[#This Row],[Käyttöönotto]],4)</f>
        <v>2001</v>
      </c>
      <c r="G140" t="str">
        <f>'Ajoneuvorekisteri-Parse Modern '!AA13</f>
        <v>COUPE XK8 4.0 AUTOMATIC-41N/259</v>
      </c>
      <c r="H140" t="str">
        <f>Ajoneuvorekisteri_Parse_Modern_XK_Range_TieliikenneAvoinData_30_06_2026_csv[[#This Row],[tyyppihyvaksyntanro]]</f>
        <v/>
      </c>
      <c r="I140">
        <f>'Ajoneuvorekisteri-Parse Modern '!M13</f>
        <v>1690</v>
      </c>
      <c r="J140">
        <f t="shared" si="10"/>
        <v>1</v>
      </c>
      <c r="K140">
        <f t="shared" si="11"/>
        <v>0</v>
      </c>
      <c r="L140">
        <f t="shared" si="12"/>
        <v>1</v>
      </c>
      <c r="M140">
        <f t="shared" si="13"/>
        <v>0</v>
      </c>
      <c r="N140">
        <f>IF(AND(Table34[[#This Row],[Coupe]]&lt;&gt;1, Table34[[#This Row],[Convertible]]&lt;&gt;1), 1, 0)</f>
        <v>0</v>
      </c>
      <c r="O140" t="str">
        <f t="shared" si="14"/>
        <v>Coupe</v>
      </c>
    </row>
    <row r="141" spans="1:15" x14ac:dyDescent="0.25">
      <c r="A141">
        <f>'Ajoneuvorekisteri-Parse Modern '!AO70</f>
        <v>1931247</v>
      </c>
      <c r="B141" t="str">
        <f>'Ajoneuvorekisteri-Parse Modern '!AN70</f>
        <v>SAJAA41M52</v>
      </c>
      <c r="C141" t="str" cm="1">
        <f t="array" ref="C141">_xlfn.LET(_xlpm.v,UPPER(SUBSTITUTE(CLEAN(TRIM(B141)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XK8-XKR_COUPE_MEXICO_AUTO_LHD_EMISSION_M_2002MY</v>
      </c>
      <c r="D141" t="str" cm="1">
        <f t="array" ref="D141">_xlfn.LET(_xlpm.vin,SUBSTITUTE(CLEAN(TRIM(B141)),CHAR(160),""),_xlpm.rawDate,LEFT(TRIM(E141)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A22929–A30644</v>
      </c>
      <c r="E141">
        <f>'Ajoneuvorekisteri-Parse Modern '!G70</f>
        <v>20010827</v>
      </c>
      <c r="F141" t="str">
        <f>LEFT(Table34[[#This Row],[Käyttöönotto]],4)</f>
        <v>2001</v>
      </c>
      <c r="G141" t="str">
        <f>'Ajoneuvorekisteri-Parse Modern '!AA70</f>
        <v>XK Coup� (AD) 2ov 3996cm3 A</v>
      </c>
      <c r="H141" t="str">
        <f>Ajoneuvorekisteri_Parse_Modern_XK_Range_TieliikenneAvoinData_30_06_2026_csv[[#This Row],[tyyppihyvaksyntanro]]</f>
        <v>e11*2001/116*0272*07</v>
      </c>
      <c r="I141">
        <f>'Ajoneuvorekisteri-Parse Modern '!M70</f>
        <v>1690</v>
      </c>
      <c r="J141">
        <f t="shared" si="10"/>
        <v>1</v>
      </c>
      <c r="K141">
        <f t="shared" si="11"/>
        <v>0</v>
      </c>
      <c r="L141">
        <f t="shared" si="12"/>
        <v>1</v>
      </c>
      <c r="M141">
        <f t="shared" si="13"/>
        <v>0</v>
      </c>
      <c r="N141">
        <f>IF(AND(Table34[[#This Row],[Coupe]]&lt;&gt;1, Table34[[#This Row],[Convertible]]&lt;&gt;1), 1, 0)</f>
        <v>0</v>
      </c>
      <c r="O141" t="str">
        <f t="shared" si="14"/>
        <v>Coupe</v>
      </c>
    </row>
    <row r="142" spans="1:15" x14ac:dyDescent="0.25">
      <c r="A142">
        <f>'Ajoneuvorekisteri-Parse Modern '!AO96</f>
        <v>2192116</v>
      </c>
      <c r="B142" t="str">
        <f>'Ajoneuvorekisteri-Parse Modern '!AN96</f>
        <v>SAJDA42C62</v>
      </c>
      <c r="C142" t="str" cm="1">
        <f t="array" ref="C142">_xlfn.LET(_xlpm.v,UPPER(SUBSTITUTE(CLEAN(TRIM(B142)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XK8-XKR_CONVERTIBLE_USA_AUTO_LHD_EMISSION_C_2002MY</v>
      </c>
      <c r="D142" t="str" cm="1">
        <f t="array" ref="D142">_xlfn.LET(_xlpm.vin,SUBSTITUTE(CLEAN(TRIM(B142)),CHAR(160),""),_xlpm.rawDate,LEFT(TRIM(E142)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A22929–A30644</v>
      </c>
      <c r="E142">
        <f>'Ajoneuvorekisteri-Parse Modern '!G96</f>
        <v>20011205</v>
      </c>
      <c r="F142" t="str">
        <f>LEFT(Table34[[#This Row],[Käyttöönotto]],4)</f>
        <v>2001</v>
      </c>
      <c r="G142" t="str">
        <f>'Ajoneuvorekisteri-Parse Modern '!AA96</f>
        <v>2D CONVERTIBLE XK8 4.0-AUTOMATIC-DA42/259 Avoauto (AE) 2ov 3990cm3 A</v>
      </c>
      <c r="H142" t="str">
        <f>Ajoneuvorekisteri_Parse_Modern_XK_Range_TieliikenneAvoinData_30_06_2026_csv[[#This Row],[tyyppihyvaksyntanro]]</f>
        <v/>
      </c>
      <c r="I142">
        <f>'Ajoneuvorekisteri-Parse Modern '!M96</f>
        <v>1840</v>
      </c>
      <c r="J142">
        <f t="shared" si="10"/>
        <v>1</v>
      </c>
      <c r="K142">
        <f t="shared" si="11"/>
        <v>0</v>
      </c>
      <c r="L142">
        <f t="shared" si="12"/>
        <v>0</v>
      </c>
      <c r="M142">
        <f t="shared" si="13"/>
        <v>1</v>
      </c>
      <c r="N142">
        <f>IF(AND(Table34[[#This Row],[Coupe]]&lt;&gt;1, Table34[[#This Row],[Convertible]]&lt;&gt;1), 1, 0)</f>
        <v>0</v>
      </c>
      <c r="O142" t="str">
        <f t="shared" si="14"/>
        <v>Convertible</v>
      </c>
    </row>
    <row r="143" spans="1:15" x14ac:dyDescent="0.25">
      <c r="A143">
        <f>'Ajoneuvorekisteri-Parse Modern '!AO142</f>
        <v>2655980</v>
      </c>
      <c r="B143" t="str">
        <f>'Ajoneuvorekisteri-Parse Modern '!AN142</f>
        <v>SAJDA42B02</v>
      </c>
      <c r="C143" t="str" cm="1">
        <f t="array" ref="C143">_xlfn.LET(_xlpm.v,UPPER(SUBSTITUTE(CLEAN(TRIM(B143)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XK8-XKR_CONVERTIBLE_USA_AUTO_LHD_EMISSION_B_2002MY</v>
      </c>
      <c r="D143" t="str" cm="1">
        <f t="array" ref="D143">_xlfn.LET(_xlpm.vin,SUBSTITUTE(CLEAN(TRIM(B143)),CHAR(160),""),_xlpm.rawDate,LEFT(TRIM(E143)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A22929–A30644</v>
      </c>
      <c r="E143">
        <f>'Ajoneuvorekisteri-Parse Modern '!G142</f>
        <v>20020000</v>
      </c>
      <c r="F143" t="str">
        <f>LEFT(Table34[[#This Row],[Käyttöönotto]],4)</f>
        <v>2002</v>
      </c>
      <c r="G143" t="str">
        <f>'Ajoneuvorekisteri-Parse Modern '!AA142</f>
        <v>XKR Avoauto (AE) 2ov 3990cm3 A</v>
      </c>
      <c r="H143" t="str">
        <f>Ajoneuvorekisteri_Parse_Modern_XK_Range_TieliikenneAvoinData_30_06_2026_csv[[#This Row],[tyyppihyvaksyntanro]]</f>
        <v/>
      </c>
      <c r="I143">
        <f>'Ajoneuvorekisteri-Parse Modern '!M142</f>
        <v>1880</v>
      </c>
      <c r="J143">
        <f t="shared" si="10"/>
        <v>0</v>
      </c>
      <c r="K143">
        <f t="shared" si="11"/>
        <v>1</v>
      </c>
      <c r="L143">
        <f t="shared" si="12"/>
        <v>0</v>
      </c>
      <c r="M143">
        <f t="shared" si="13"/>
        <v>1</v>
      </c>
      <c r="N143">
        <f>IF(AND(Table34[[#This Row],[Coupe]]&lt;&gt;1, Table34[[#This Row],[Convertible]]&lt;&gt;1), 1, 0)</f>
        <v>0</v>
      </c>
      <c r="O143" t="str">
        <f t="shared" si="14"/>
        <v>Convertible</v>
      </c>
    </row>
    <row r="144" spans="1:15" x14ac:dyDescent="0.25">
      <c r="A144">
        <f>'Ajoneuvorekisteri-Parse Modern '!AO180</f>
        <v>3100222</v>
      </c>
      <c r="B144" t="str">
        <f>'Ajoneuvorekisteri-Parse Modern '!AN180</f>
        <v>SAJDA42C22</v>
      </c>
      <c r="C144" t="str" cm="1">
        <f t="array" ref="C144">_xlfn.LET(_xlpm.v,UPPER(SUBSTITUTE(CLEAN(TRIM(B144)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XK8-XKR_CONVERTIBLE_USA_AUTO_LHD_EMISSION_C_2002MY</v>
      </c>
      <c r="D144" t="str" cm="1">
        <f t="array" ref="D144">_xlfn.LET(_xlpm.vin,SUBSTITUTE(CLEAN(TRIM(B144)),CHAR(160),""),_xlpm.rawDate,LEFT(TRIM(E144)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A22929–A30644</v>
      </c>
      <c r="E144">
        <f>'Ajoneuvorekisteri-Parse Modern '!G180</f>
        <v>20020000</v>
      </c>
      <c r="F144" t="str">
        <f>LEFT(Table34[[#This Row],[Käyttöönotto]],4)</f>
        <v>2002</v>
      </c>
      <c r="G144" t="str">
        <f>'Ajoneuvorekisteri-Parse Modern '!AA180</f>
        <v>XK8 Convertible Avoauto (AE) 2ov 3996cm3 A</v>
      </c>
      <c r="H144" t="str">
        <f>Ajoneuvorekisteri_Parse_Modern_XK_Range_TieliikenneAvoinData_30_06_2026_csv[[#This Row],[tyyppihyvaksyntanro]]</f>
        <v/>
      </c>
      <c r="I144">
        <f>'Ajoneuvorekisteri-Parse Modern '!M180</f>
        <v>1780</v>
      </c>
      <c r="J144">
        <f t="shared" si="10"/>
        <v>1</v>
      </c>
      <c r="K144">
        <f t="shared" si="11"/>
        <v>0</v>
      </c>
      <c r="L144">
        <f t="shared" si="12"/>
        <v>0</v>
      </c>
      <c r="M144">
        <f t="shared" si="13"/>
        <v>1</v>
      </c>
      <c r="N144">
        <f>IF(AND(Table34[[#This Row],[Coupe]]&lt;&gt;1, Table34[[#This Row],[Convertible]]&lt;&gt;1), 1, 0)</f>
        <v>0</v>
      </c>
      <c r="O144" t="str">
        <f t="shared" si="14"/>
        <v>Convertible</v>
      </c>
    </row>
    <row r="145" spans="1:15" x14ac:dyDescent="0.25">
      <c r="A145">
        <f>'Ajoneuvorekisteri-Parse Modern '!AO217</f>
        <v>3593247</v>
      </c>
      <c r="B145" t="str">
        <f>'Ajoneuvorekisteri-Parse Modern '!AN217</f>
        <v>SAJDA42B72</v>
      </c>
      <c r="C145" t="str" cm="1">
        <f t="array" ref="C145">_xlfn.LET(_xlpm.v,UPPER(SUBSTITUTE(CLEAN(TRIM(B145)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XK8-XKR_CONVERTIBLE_USA_AUTO_LHD_EMISSION_B_2002MY</v>
      </c>
      <c r="D145" t="str" cm="1">
        <f t="array" ref="D145">_xlfn.LET(_xlpm.vin,SUBSTITUTE(CLEAN(TRIM(B145)),CHAR(160),""),_xlpm.rawDate,LEFT(TRIM(E145)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A22929–A30644</v>
      </c>
      <c r="E145">
        <f>'Ajoneuvorekisteri-Parse Modern '!G217</f>
        <v>20020000</v>
      </c>
      <c r="F145" t="str">
        <f>LEFT(Table34[[#This Row],[Käyttöönotto]],4)</f>
        <v>2002</v>
      </c>
      <c r="G145" t="str">
        <f>'Ajoneuvorekisteri-Parse Modern '!AA217</f>
        <v>2D CONVERTIBLE XKR 4.0-AUTOMATIC-42B/259 Avoauto (AE) 2ov 4196cm3 A</v>
      </c>
      <c r="H145" t="str">
        <f>Ajoneuvorekisteri_Parse_Modern_XK_Range_TieliikenneAvoinData_30_06_2026_csv[[#This Row],[tyyppihyvaksyntanro]]</f>
        <v>e11*95/54*0061*02</v>
      </c>
      <c r="I145">
        <f>'Ajoneuvorekisteri-Parse Modern '!M217</f>
        <v>1695</v>
      </c>
      <c r="J145">
        <f t="shared" si="10"/>
        <v>0</v>
      </c>
      <c r="K145">
        <f t="shared" si="11"/>
        <v>1</v>
      </c>
      <c r="L145">
        <f t="shared" si="12"/>
        <v>0</v>
      </c>
      <c r="M145">
        <f t="shared" si="13"/>
        <v>1</v>
      </c>
      <c r="N145">
        <f>IF(AND(Table34[[#This Row],[Coupe]]&lt;&gt;1, Table34[[#This Row],[Convertible]]&lt;&gt;1), 1, 0)</f>
        <v>0</v>
      </c>
      <c r="O145" t="str">
        <f t="shared" si="14"/>
        <v>Convertible</v>
      </c>
    </row>
    <row r="146" spans="1:15" x14ac:dyDescent="0.25">
      <c r="A146">
        <f>'Ajoneuvorekisteri-Parse Modern '!AO109</f>
        <v>2321043</v>
      </c>
      <c r="B146" t="str">
        <f>'Ajoneuvorekisteri-Parse Modern '!AN109</f>
        <v>SAJAA41M71</v>
      </c>
      <c r="C146" t="str" cm="1">
        <f t="array" ref="C146">_xlfn.LET(_xlpm.v,UPPER(SUBSTITUTE(CLEAN(TRIM(B146)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XK8-XKR_COUPE_MEXICO_AUTO_LHD_EMISSION_M_2001MY</v>
      </c>
      <c r="D146" t="str" cm="1">
        <f t="array" ref="D146">_xlfn.LET(_xlpm.vin,SUBSTITUTE(CLEAN(TRIM(B146)),CHAR(160),""),_xlpm.rawDate,LEFT(TRIM(E146)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A11051–A22928</v>
      </c>
      <c r="E146">
        <f>'Ajoneuvorekisteri-Parse Modern '!G109</f>
        <v>20020426</v>
      </c>
      <c r="F146" t="str">
        <f>LEFT(Table34[[#This Row],[Käyttöönotto]],4)</f>
        <v>2002</v>
      </c>
      <c r="G146" t="str">
        <f>'Ajoneuvorekisteri-Parse Modern '!AA109</f>
        <v>XK Coup� (AD) 2ov 3990cm3 A</v>
      </c>
      <c r="H146" t="str">
        <f>Ajoneuvorekisteri_Parse_Modern_XK_Range_TieliikenneAvoinData_30_06_2026_csv[[#This Row],[tyyppihyvaksyntanro]]</f>
        <v>e11*95/54*0061</v>
      </c>
      <c r="I146">
        <f>'Ajoneuvorekisteri-Parse Modern '!M109</f>
        <v>1690</v>
      </c>
      <c r="J146">
        <f t="shared" si="10"/>
        <v>1</v>
      </c>
      <c r="K146">
        <f t="shared" si="11"/>
        <v>0</v>
      </c>
      <c r="L146">
        <f t="shared" si="12"/>
        <v>1</v>
      </c>
      <c r="M146">
        <f t="shared" si="13"/>
        <v>0</v>
      </c>
      <c r="N146">
        <f>IF(AND(Table34[[#This Row],[Coupe]]&lt;&gt;1, Table34[[#This Row],[Convertible]]&lt;&gt;1), 1, 0)</f>
        <v>0</v>
      </c>
      <c r="O146" t="str">
        <f t="shared" si="14"/>
        <v>Coupe</v>
      </c>
    </row>
    <row r="147" spans="1:15" x14ac:dyDescent="0.25">
      <c r="A147">
        <f>'Ajoneuvorekisteri-Parse Modern '!AO113</f>
        <v>2354513</v>
      </c>
      <c r="B147" t="str">
        <f>'Ajoneuvorekisteri-Parse Modern '!AN113</f>
        <v>SAJAA41N82</v>
      </c>
      <c r="C147" t="str" cm="1">
        <f t="array" ref="C147">_xlfn.LET(_xlpm.v,UPPER(SUBSTITUTE(CLEAN(TRIM(B147)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XK8-XKR_COUPE_MEXICO_AUTO_LHD_EMISSION_N_2002MY</v>
      </c>
      <c r="D147" t="str" cm="1">
        <f t="array" ref="D147">_xlfn.LET(_xlpm.vin,SUBSTITUTE(CLEAN(TRIM(B147)),CHAR(160),""),_xlpm.rawDate,LEFT(TRIM(E147)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A22929–A30644</v>
      </c>
      <c r="E147">
        <f>'Ajoneuvorekisteri-Parse Modern '!G113</f>
        <v>20020524</v>
      </c>
      <c r="F147" t="str">
        <f>LEFT(Table34[[#This Row],[Käyttöönotto]],4)</f>
        <v>2002</v>
      </c>
      <c r="G147" t="str">
        <f>'Ajoneuvorekisteri-Parse Modern '!AA113</f>
        <v>XKR Coup� (AD) 2ov 3990cm3 A</v>
      </c>
      <c r="H147" t="str">
        <f>Ajoneuvorekisteri_Parse_Modern_XK_Range_TieliikenneAvoinData_30_06_2026_csv[[#This Row],[tyyppihyvaksyntanro]]</f>
        <v>e11*95/54*0061*02</v>
      </c>
      <c r="I147">
        <f>'Ajoneuvorekisteri-Parse Modern '!M113</f>
        <v>1690</v>
      </c>
      <c r="J147">
        <f t="shared" si="10"/>
        <v>0</v>
      </c>
      <c r="K147">
        <f t="shared" si="11"/>
        <v>1</v>
      </c>
      <c r="L147">
        <f t="shared" si="12"/>
        <v>1</v>
      </c>
      <c r="M147">
        <f t="shared" si="13"/>
        <v>0</v>
      </c>
      <c r="N147">
        <f>IF(AND(Table34[[#This Row],[Coupe]]&lt;&gt;1, Table34[[#This Row],[Convertible]]&lt;&gt;1), 1, 0)</f>
        <v>0</v>
      </c>
      <c r="O147" t="str">
        <f t="shared" si="14"/>
        <v>Coupe</v>
      </c>
    </row>
    <row r="148" spans="1:15" x14ac:dyDescent="0.25">
      <c r="A148">
        <f>'Ajoneuvorekisteri-Parse Modern '!AO86</f>
        <v>2095455</v>
      </c>
      <c r="B148" t="str">
        <f>'Ajoneuvorekisteri-Parse Modern '!AN86</f>
        <v>SAJAA42M71</v>
      </c>
      <c r="C148" t="str" cm="1">
        <f t="array" ref="C148">_xlfn.LET(_xlpm.v,UPPER(SUBSTITUTE(CLEAN(TRIM(B148)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XK8-XKR_CONVERTIBLE_MEXICO_AUTO_LHD_EMISSION_M_2001MY</v>
      </c>
      <c r="D148" t="str" cm="1">
        <f t="array" ref="D148">_xlfn.LET(_xlpm.vin,SUBSTITUTE(CLEAN(TRIM(B148)),CHAR(160),""),_xlpm.rawDate,LEFT(TRIM(E148)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A11051–A22928</v>
      </c>
      <c r="E148">
        <f>'Ajoneuvorekisteri-Parse Modern '!G86</f>
        <v>20020712</v>
      </c>
      <c r="F148" t="str">
        <f>LEFT(Table34[[#This Row],[Käyttöönotto]],4)</f>
        <v>2002</v>
      </c>
      <c r="G148" t="str">
        <f>'Ajoneuvorekisteri-Parse Modern '!AA86</f>
        <v>XK8 CONVERTIBLE Avoauto (AE) 2ov 3996cm3 A</v>
      </c>
      <c r="H148" t="str">
        <f>Ajoneuvorekisteri_Parse_Modern_XK_Range_TieliikenneAvoinData_30_06_2026_csv[[#This Row],[tyyppihyvaksyntanro]]</f>
        <v/>
      </c>
      <c r="I148">
        <f>'Ajoneuvorekisteri-Parse Modern '!M86</f>
        <v>1780</v>
      </c>
      <c r="J148">
        <f t="shared" si="10"/>
        <v>1</v>
      </c>
      <c r="K148">
        <f t="shared" si="11"/>
        <v>0</v>
      </c>
      <c r="L148">
        <f t="shared" si="12"/>
        <v>0</v>
      </c>
      <c r="M148">
        <f t="shared" si="13"/>
        <v>1</v>
      </c>
      <c r="N148">
        <f>IF(AND(Table34[[#This Row],[Coupe]]&lt;&gt;1, Table34[[#This Row],[Convertible]]&lt;&gt;1), 1, 0)</f>
        <v>0</v>
      </c>
      <c r="O148" t="str">
        <f t="shared" si="14"/>
        <v>Convertible</v>
      </c>
    </row>
    <row r="149" spans="1:15" x14ac:dyDescent="0.25">
      <c r="A149">
        <f>'Ajoneuvorekisteri-Parse Modern '!AO6</f>
        <v>99569</v>
      </c>
      <c r="B149" t="str">
        <f>'Ajoneuvorekisteri-Parse Modern '!AN6</f>
        <v>SAJAA42RX3</v>
      </c>
      <c r="C149" t="str" cm="1">
        <f t="array" ref="C149">_xlfn.LET(_xlpm.v,UPPER(SUBSTITUTE(CLEAN(TRIM(B149)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XK8-XKR_CONVERTIBLE_MEXICO_AUTO_LHD_EMISSION_R_2003MY</v>
      </c>
      <c r="D149" t="str" cm="1">
        <f t="array" ref="D149">_xlfn.LET(_xlpm.vin,SUBSTITUTE(CLEAN(TRIM(B149)),CHAR(160),""),_xlpm.rawDate,LEFT(TRIM(E149)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A30645–A36873</v>
      </c>
      <c r="E149">
        <f>'Ajoneuvorekisteri-Parse Modern '!G6</f>
        <v>20020905</v>
      </c>
      <c r="F149" t="str">
        <f>LEFT(Table34[[#This Row],[Käyttöönotto]],4)</f>
        <v>2002</v>
      </c>
      <c r="G149" t="str">
        <f>'Ajoneuvorekisteri-Parse Modern '!AA6</f>
        <v>2D CONVERTIBLE XKR 4.2-AUTOMATIC-42R/259</v>
      </c>
      <c r="H149" t="str">
        <f>Ajoneuvorekisteri_Parse_Modern_XK_Range_TieliikenneAvoinData_30_06_2026_csv[[#This Row],[tyyppihyvaksyntanro]]</f>
        <v/>
      </c>
      <c r="I149">
        <f>'Ajoneuvorekisteri-Parse Modern '!M6</f>
        <v>1770</v>
      </c>
      <c r="J149">
        <f t="shared" si="10"/>
        <v>0</v>
      </c>
      <c r="K149">
        <f t="shared" si="11"/>
        <v>1</v>
      </c>
      <c r="L149">
        <f t="shared" si="12"/>
        <v>0</v>
      </c>
      <c r="M149">
        <f t="shared" si="13"/>
        <v>1</v>
      </c>
      <c r="N149">
        <f>IF(AND(Table34[[#This Row],[Coupe]]&lt;&gt;1, Table34[[#This Row],[Convertible]]&lt;&gt;1), 1, 0)</f>
        <v>0</v>
      </c>
      <c r="O149" t="str">
        <f t="shared" si="14"/>
        <v>Convertible</v>
      </c>
    </row>
    <row r="150" spans="1:15" x14ac:dyDescent="0.25">
      <c r="A150">
        <f>'Ajoneuvorekisteri-Parse Modern '!AO232</f>
        <v>3969198</v>
      </c>
      <c r="B150" t="str">
        <f>'Ajoneuvorekisteri-Parse Modern '!AN232</f>
        <v>SAJAC42RX3</v>
      </c>
      <c r="C150" t="str" cm="1">
        <f t="array" ref="C150">_xlfn.LET(_xlpm.v,UPPER(SUBSTITUTE(CLEAN(TRIM(B150)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</v>
      </c>
      <c r="D150" t="str" cm="1">
        <f t="array" ref="D150">_xlfn.LET(_xlpm.vin,SUBSTITUTE(CLEAN(TRIM(B150)),CHAR(160),""),_xlpm.rawDate,LEFT(TRIM(E150)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A30645–A36873</v>
      </c>
      <c r="E150">
        <f>'Ajoneuvorekisteri-Parse Modern '!G232</f>
        <v>20021010</v>
      </c>
      <c r="F150" t="str">
        <f>LEFT(Table34[[#This Row],[Käyttöönotto]],4)</f>
        <v>2002</v>
      </c>
      <c r="G150" t="str">
        <f>'Ajoneuvorekisteri-Parse Modern '!AA232</f>
        <v>XK Avoauto (AE) 2ov 4190cm3</v>
      </c>
      <c r="H150" t="str">
        <f>Ajoneuvorekisteri_Parse_Modern_XK_Range_TieliikenneAvoinData_30_06_2026_csv[[#This Row],[tyyppihyvaksyntanro]]</f>
        <v>e11*2001/116*0272*00</v>
      </c>
      <c r="I150">
        <f>'Ajoneuvorekisteri-Parse Modern '!M232</f>
        <v>1770</v>
      </c>
      <c r="J150">
        <f t="shared" si="10"/>
        <v>1</v>
      </c>
      <c r="K150">
        <f t="shared" si="11"/>
        <v>0</v>
      </c>
      <c r="L150">
        <f t="shared" si="12"/>
        <v>0</v>
      </c>
      <c r="M150">
        <f t="shared" si="13"/>
        <v>1</v>
      </c>
      <c r="N150">
        <f>IF(AND(Table34[[#This Row],[Coupe]]&lt;&gt;1, Table34[[#This Row],[Convertible]]&lt;&gt;1), 1, 0)</f>
        <v>0</v>
      </c>
      <c r="O150" t="str">
        <f t="shared" si="14"/>
        <v>Convertible</v>
      </c>
    </row>
    <row r="151" spans="1:15" x14ac:dyDescent="0.25">
      <c r="A151">
        <f>'Ajoneuvorekisteri-Parse Modern '!AO120</f>
        <v>2476262</v>
      </c>
      <c r="B151" t="str">
        <f>'Ajoneuvorekisteri-Parse Modern '!AN120</f>
        <v>SAJAA42PX3</v>
      </c>
      <c r="C151" t="str" cm="1">
        <f t="array" ref="C151">_xlfn.LET(_xlpm.v,UPPER(SUBSTITUTE(CLEAN(TRIM(B151)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XK8-XKR_CONVERTIBLE_MEXICO_AUTO_LHD_EMISSION_P_2003MY</v>
      </c>
      <c r="D151" t="str" cm="1">
        <f t="array" ref="D151">_xlfn.LET(_xlpm.vin,SUBSTITUTE(CLEAN(TRIM(B151)),CHAR(160),""),_xlpm.rawDate,LEFT(TRIM(E151)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A30645–A36873</v>
      </c>
      <c r="E151">
        <f>'Ajoneuvorekisteri-Parse Modern '!G120</f>
        <v>20021107</v>
      </c>
      <c r="F151" t="str">
        <f>LEFT(Table34[[#This Row],[Käyttöönotto]],4)</f>
        <v>2002</v>
      </c>
      <c r="G151" t="str">
        <f>'Ajoneuvorekisteri-Parse Modern '!AA120</f>
        <v>XK Avoauto (AE) 2ov 4190cm3 A</v>
      </c>
      <c r="H151" t="str">
        <f>Ajoneuvorekisteri_Parse_Modern_XK_Range_TieliikenneAvoinData_30_06_2026_csv[[#This Row],[tyyppihyvaksyntanro]]</f>
        <v/>
      </c>
      <c r="I151">
        <f>'Ajoneuvorekisteri-Parse Modern '!M120</f>
        <v>1770</v>
      </c>
      <c r="J151">
        <f t="shared" si="10"/>
        <v>1</v>
      </c>
      <c r="K151">
        <f t="shared" si="11"/>
        <v>0</v>
      </c>
      <c r="L151">
        <f t="shared" si="12"/>
        <v>0</v>
      </c>
      <c r="M151">
        <f t="shared" si="13"/>
        <v>1</v>
      </c>
      <c r="N151">
        <f>IF(AND(Table34[[#This Row],[Coupe]]&lt;&gt;1, Table34[[#This Row],[Convertible]]&lt;&gt;1), 1, 0)</f>
        <v>0</v>
      </c>
      <c r="O151" t="str">
        <f t="shared" si="14"/>
        <v>Convertible</v>
      </c>
    </row>
    <row r="152" spans="1:15" x14ac:dyDescent="0.25">
      <c r="A152">
        <f>'Ajoneuvorekisteri-Parse Modern '!AO202</f>
        <v>3392548</v>
      </c>
      <c r="B152" t="str">
        <f>'Ajoneuvorekisteri-Parse Modern '!AN202</f>
        <v>SAJDA42B02</v>
      </c>
      <c r="C152" t="str" cm="1">
        <f t="array" ref="C152">_xlfn.LET(_xlpm.v,UPPER(SUBSTITUTE(CLEAN(TRIM(B152)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XK8-XKR_CONVERTIBLE_USA_AUTO_LHD_EMISSION_B_2002MY</v>
      </c>
      <c r="D152" t="str" cm="1">
        <f t="array" ref="D152">_xlfn.LET(_xlpm.vin,SUBSTITUTE(CLEAN(TRIM(B152)),CHAR(160),""),_xlpm.rawDate,LEFT(TRIM(E152)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A22929–A30644</v>
      </c>
      <c r="E152">
        <f>'Ajoneuvorekisteri-Parse Modern '!G202</f>
        <v>20021226</v>
      </c>
      <c r="F152" t="str">
        <f>LEFT(Table34[[#This Row],[Käyttöönotto]],4)</f>
        <v>2002</v>
      </c>
      <c r="G152" t="str">
        <f>'Ajoneuvorekisteri-Parse Modern '!AA202</f>
        <v>XKR Avoauto (AE) 2ov 3996cm3</v>
      </c>
      <c r="H152" t="str">
        <f>Ajoneuvorekisteri_Parse_Modern_XK_Range_TieliikenneAvoinData_30_06_2026_csv[[#This Row],[tyyppihyvaksyntanro]]</f>
        <v>e11*95/54*0061*02</v>
      </c>
      <c r="I152">
        <f>'Ajoneuvorekisteri-Parse Modern '!M202</f>
        <v>1890</v>
      </c>
      <c r="J152">
        <f t="shared" si="10"/>
        <v>0</v>
      </c>
      <c r="K152">
        <f t="shared" si="11"/>
        <v>1</v>
      </c>
      <c r="L152">
        <f t="shared" si="12"/>
        <v>0</v>
      </c>
      <c r="M152">
        <f t="shared" si="13"/>
        <v>1</v>
      </c>
      <c r="N152">
        <f>IF(AND(Table34[[#This Row],[Coupe]]&lt;&gt;1, Table34[[#This Row],[Convertible]]&lt;&gt;1), 1, 0)</f>
        <v>0</v>
      </c>
      <c r="O152" t="str">
        <f t="shared" si="14"/>
        <v>Convertible</v>
      </c>
    </row>
    <row r="153" spans="1:15" x14ac:dyDescent="0.25">
      <c r="A153">
        <f>'Ajoneuvorekisteri-Parse Modern '!AO225</f>
        <v>3744967</v>
      </c>
      <c r="B153" t="str">
        <f>'Ajoneuvorekisteri-Parse Modern '!AN225</f>
        <v>SAJDA42B93</v>
      </c>
      <c r="C153" t="str" cm="1">
        <f t="array" ref="C153">_xlfn.LET(_xlpm.v,UPPER(SUBSTITUTE(CLEAN(TRIM(B153)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XK8-XKR_CONVERTIBLE_USA_AUTO_LHD_EMISSION_B_2003MY</v>
      </c>
      <c r="D153" t="str" cm="1">
        <f t="array" ref="D153">_xlfn.LET(_xlpm.vin,SUBSTITUTE(CLEAN(TRIM(B153)),CHAR(160),""),_xlpm.rawDate,LEFT(TRIM(E153)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A30645–A36873</v>
      </c>
      <c r="E153">
        <f>'Ajoneuvorekisteri-Parse Modern '!G225</f>
        <v>20030000</v>
      </c>
      <c r="F153" t="str">
        <f>LEFT(Table34[[#This Row],[Käyttöönotto]],4)</f>
        <v>2003</v>
      </c>
      <c r="G153" t="str">
        <f>'Ajoneuvorekisteri-Parse Modern '!AA225</f>
        <v>XK8 Avoauto (AE) 2ov</v>
      </c>
      <c r="H153" t="str">
        <f>Ajoneuvorekisteri_Parse_Modern_XK_Range_TieliikenneAvoinData_30_06_2026_csv[[#This Row],[tyyppihyvaksyntanro]]</f>
        <v/>
      </c>
      <c r="I153">
        <f>'Ajoneuvorekisteri-Parse Modern '!M225</f>
        <v>1810</v>
      </c>
      <c r="J153">
        <f t="shared" si="10"/>
        <v>1</v>
      </c>
      <c r="K153">
        <f t="shared" si="11"/>
        <v>0</v>
      </c>
      <c r="L153">
        <f t="shared" si="12"/>
        <v>0</v>
      </c>
      <c r="M153">
        <f t="shared" si="13"/>
        <v>1</v>
      </c>
      <c r="N153">
        <f>IF(AND(Table34[[#This Row],[Coupe]]&lt;&gt;1, Table34[[#This Row],[Convertible]]&lt;&gt;1), 1, 0)</f>
        <v>0</v>
      </c>
      <c r="O153" t="str">
        <f t="shared" si="14"/>
        <v>Convertible</v>
      </c>
    </row>
    <row r="154" spans="1:15" x14ac:dyDescent="0.25">
      <c r="A154">
        <f>'Ajoneuvorekisteri-Parse Modern '!AO151</f>
        <v>2702146</v>
      </c>
      <c r="B154" t="str">
        <f>'Ajoneuvorekisteri-Parse Modern '!AN151</f>
        <v>SAJDA42C93</v>
      </c>
      <c r="C154" t="str" cm="1">
        <f t="array" ref="C154">_xlfn.LET(_xlpm.v,UPPER(SUBSTITUTE(CLEAN(TRIM(B154)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XK8-XKR_CONVERTIBLE_USA_AUTO_LHD_EMISSION_C_2003MY</v>
      </c>
      <c r="D154" t="str" cm="1">
        <f t="array" ref="D154">_xlfn.LET(_xlpm.vin,SUBSTITUTE(CLEAN(TRIM(B154)),CHAR(160),""),_xlpm.rawDate,LEFT(TRIM(E154)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A30645–A36873</v>
      </c>
      <c r="E154">
        <f>'Ajoneuvorekisteri-Parse Modern '!G151</f>
        <v>20030101</v>
      </c>
      <c r="F154" t="str">
        <f>LEFT(Table34[[#This Row],[Käyttöönotto]],4)</f>
        <v>2003</v>
      </c>
      <c r="G154" t="str">
        <f>'Ajoneuvorekisteri-Parse Modern '!AA151</f>
        <v>XK8 CONVERTIBLE Avoauto (AE) 2ov 4196cm3 A</v>
      </c>
      <c r="H154" t="str">
        <f>Ajoneuvorekisteri_Parse_Modern_XK_Range_TieliikenneAvoinData_30_06_2026_csv[[#This Row],[tyyppihyvaksyntanro]]</f>
        <v/>
      </c>
      <c r="I154">
        <f>'Ajoneuvorekisteri-Parse Modern '!M151</f>
        <v>1735</v>
      </c>
      <c r="J154">
        <f t="shared" si="10"/>
        <v>1</v>
      </c>
      <c r="K154">
        <f t="shared" si="11"/>
        <v>0</v>
      </c>
      <c r="L154">
        <f t="shared" si="12"/>
        <v>0</v>
      </c>
      <c r="M154">
        <f t="shared" si="13"/>
        <v>1</v>
      </c>
      <c r="N154">
        <f>IF(AND(Table34[[#This Row],[Coupe]]&lt;&gt;1, Table34[[#This Row],[Convertible]]&lt;&gt;1), 1, 0)</f>
        <v>0</v>
      </c>
      <c r="O154" t="str">
        <f t="shared" si="14"/>
        <v>Convertible</v>
      </c>
    </row>
    <row r="155" spans="1:15" x14ac:dyDescent="0.25">
      <c r="A155">
        <f>'Ajoneuvorekisteri-Parse Modern '!AO211</f>
        <v>3545708</v>
      </c>
      <c r="B155" t="str">
        <f>'Ajoneuvorekisteri-Parse Modern '!AN211</f>
        <v>SAJAA42R23</v>
      </c>
      <c r="C155" t="str" cm="1">
        <f t="array" ref="C155">_xlfn.LET(_xlpm.v,UPPER(SUBSTITUTE(CLEAN(TRIM(B155)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XK8-XKR_CONVERTIBLE_MEXICO_AUTO_LHD_EMISSION_R_2003MY</v>
      </c>
      <c r="D155" t="str" cm="1">
        <f t="array" ref="D155">_xlfn.LET(_xlpm.vin,SUBSTITUTE(CLEAN(TRIM(B155)),CHAR(160),""),_xlpm.rawDate,LEFT(TRIM(E155)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A30645–A36873</v>
      </c>
      <c r="E155">
        <f>'Ajoneuvorekisteri-Parse Modern '!G211</f>
        <v>20030404</v>
      </c>
      <c r="F155" t="str">
        <f>LEFT(Table34[[#This Row],[Käyttöönotto]],4)</f>
        <v>2003</v>
      </c>
      <c r="G155" t="str">
        <f>'Ajoneuvorekisteri-Parse Modern '!AA211</f>
        <v>XK Avoauto (AE) 2ov 4196cm3 A</v>
      </c>
      <c r="H155" t="str">
        <f>Ajoneuvorekisteri_Parse_Modern_XK_Range_TieliikenneAvoinData_30_06_2026_csv[[#This Row],[tyyppihyvaksyntanro]]</f>
        <v>e11*95/54*0062*03</v>
      </c>
      <c r="I155">
        <f>'Ajoneuvorekisteri-Parse Modern '!M211</f>
        <v>1770</v>
      </c>
      <c r="J155">
        <f t="shared" si="10"/>
        <v>1</v>
      </c>
      <c r="K155">
        <f t="shared" si="11"/>
        <v>0</v>
      </c>
      <c r="L155">
        <f t="shared" si="12"/>
        <v>0</v>
      </c>
      <c r="M155">
        <f t="shared" si="13"/>
        <v>1</v>
      </c>
      <c r="N155">
        <f>IF(AND(Table34[[#This Row],[Coupe]]&lt;&gt;1, Table34[[#This Row],[Convertible]]&lt;&gt;1), 1, 0)</f>
        <v>0</v>
      </c>
      <c r="O155" t="str">
        <f t="shared" si="14"/>
        <v>Convertible</v>
      </c>
    </row>
    <row r="156" spans="1:15" x14ac:dyDescent="0.25">
      <c r="A156">
        <f>'Ajoneuvorekisteri-Parse Modern '!AO250</f>
        <v>4535342</v>
      </c>
      <c r="B156" t="str">
        <f>'Ajoneuvorekisteri-Parse Modern '!AN250</f>
        <v>SAJAA42M12</v>
      </c>
      <c r="C156" t="str" cm="1">
        <f t="array" ref="C156">_xlfn.LET(_xlpm.v,UPPER(SUBSTITUTE(CLEAN(TRIM(B156)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XK8-XKR_CONVERTIBLE_MEXICO_AUTO_LHD_EMISSION_M_2002MY</v>
      </c>
      <c r="D156" t="str" cm="1">
        <f t="array" ref="D156">_xlfn.LET(_xlpm.vin,SUBSTITUTE(CLEAN(TRIM(B156)),CHAR(160),""),_xlpm.rawDate,LEFT(TRIM(E156)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A22929–A30644</v>
      </c>
      <c r="E156">
        <f>'Ajoneuvorekisteri-Parse Modern '!G250</f>
        <v>20030404</v>
      </c>
      <c r="F156" t="str">
        <f>LEFT(Table34[[#This Row],[Käyttöönotto]],4)</f>
        <v>2003</v>
      </c>
      <c r="G156" t="str">
        <f>'Ajoneuvorekisteri-Parse Modern '!AA250</f>
        <v>XK Avoauto (AE) 2ov 3996cm3</v>
      </c>
      <c r="H156" t="str">
        <f>Ajoneuvorekisteri_Parse_Modern_XK_Range_TieliikenneAvoinData_30_06_2026_csv[[#This Row],[tyyppihyvaksyntanro]]</f>
        <v/>
      </c>
      <c r="I156">
        <f>'Ajoneuvorekisteri-Parse Modern '!M250</f>
        <v>1849</v>
      </c>
      <c r="J156">
        <f t="shared" si="10"/>
        <v>1</v>
      </c>
      <c r="K156">
        <f t="shared" si="11"/>
        <v>0</v>
      </c>
      <c r="L156">
        <f t="shared" si="12"/>
        <v>0</v>
      </c>
      <c r="M156">
        <f t="shared" si="13"/>
        <v>1</v>
      </c>
      <c r="N156">
        <f>IF(AND(Table34[[#This Row],[Coupe]]&lt;&gt;1, Table34[[#This Row],[Convertible]]&lt;&gt;1), 1, 0)</f>
        <v>0</v>
      </c>
      <c r="O156" t="str">
        <f t="shared" si="14"/>
        <v>Convertible</v>
      </c>
    </row>
    <row r="157" spans="1:15" x14ac:dyDescent="0.25">
      <c r="A157">
        <f>'Ajoneuvorekisteri-Parse Modern '!AO186</f>
        <v>3193433</v>
      </c>
      <c r="B157" t="str">
        <f>'Ajoneuvorekisteri-Parse Modern '!AN186</f>
        <v>SAJAA42P73</v>
      </c>
      <c r="C157" t="str" cm="1">
        <f t="array" ref="C157">_xlfn.LET(_xlpm.v,UPPER(SUBSTITUTE(CLEAN(TRIM(B157)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XK8-XKR_CONVERTIBLE_MEXICO_AUTO_LHD_EMISSION_P_2003MY</v>
      </c>
      <c r="D157" t="str" cm="1">
        <f t="array" ref="D157">_xlfn.LET(_xlpm.vin,SUBSTITUTE(CLEAN(TRIM(B157)),CHAR(160),""),_xlpm.rawDate,LEFT(TRIM(E157)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A30645–A36873</v>
      </c>
      <c r="E157">
        <f>'Ajoneuvorekisteri-Parse Modern '!G186</f>
        <v>20030613</v>
      </c>
      <c r="F157" t="str">
        <f>LEFT(Table34[[#This Row],[Käyttöönotto]],4)</f>
        <v>2003</v>
      </c>
      <c r="G157" t="str">
        <f>'Ajoneuvorekisteri-Parse Modern '!AA186</f>
        <v>XK8 CONVERTIBLE Avoauto (AE) 2ov 4196cm3 A</v>
      </c>
      <c r="H157" t="str">
        <f>Ajoneuvorekisteri_Parse_Modern_XK_Range_TieliikenneAvoinData_30_06_2026_csv[[#This Row],[tyyppihyvaksyntanro]]</f>
        <v>e11*95/54*0061*01</v>
      </c>
      <c r="I157">
        <f>'Ajoneuvorekisteri-Parse Modern '!M186</f>
        <v>1770</v>
      </c>
      <c r="J157">
        <f t="shared" si="10"/>
        <v>1</v>
      </c>
      <c r="K157">
        <f t="shared" si="11"/>
        <v>0</v>
      </c>
      <c r="L157">
        <f t="shared" si="12"/>
        <v>0</v>
      </c>
      <c r="M157">
        <f t="shared" si="13"/>
        <v>1</v>
      </c>
      <c r="N157">
        <f>IF(AND(Table34[[#This Row],[Coupe]]&lt;&gt;1, Table34[[#This Row],[Convertible]]&lt;&gt;1), 1, 0)</f>
        <v>0</v>
      </c>
      <c r="O157" t="str">
        <f t="shared" si="14"/>
        <v>Convertible</v>
      </c>
    </row>
    <row r="158" spans="1:15" x14ac:dyDescent="0.25">
      <c r="A158">
        <f>'Ajoneuvorekisteri-Parse Modern '!AO193</f>
        <v>3282884</v>
      </c>
      <c r="B158" t="str">
        <f>'Ajoneuvorekisteri-Parse Modern '!AN193</f>
        <v>SAJDA41B93</v>
      </c>
      <c r="C158" t="str" cm="1">
        <f t="array" ref="C158">_xlfn.LET(_xlpm.v,UPPER(SUBSTITUTE(CLEAN(TRIM(B158)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XK8-XKR_COUPE_USA_AUTO_LHD_EMISSION_B_2003MY</v>
      </c>
      <c r="D158" t="str" cm="1">
        <f t="array" ref="D158">_xlfn.LET(_xlpm.vin,SUBSTITUTE(CLEAN(TRIM(B158)),CHAR(160),""),_xlpm.rawDate,LEFT(TRIM(E158)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A30645–A36873</v>
      </c>
      <c r="E158">
        <f>'Ajoneuvorekisteri-Parse Modern '!G193</f>
        <v>20030828</v>
      </c>
      <c r="F158" t="str">
        <f>LEFT(Table34[[#This Row],[Käyttöönotto]],4)</f>
        <v>2003</v>
      </c>
      <c r="G158" t="str">
        <f>'Ajoneuvorekisteri-Parse Modern '!AA193</f>
        <v>XKR  2ov 4190cm3 A</v>
      </c>
      <c r="H158" t="str">
        <f>Ajoneuvorekisteri_Parse_Modern_XK_Range_TieliikenneAvoinData_30_06_2026_csv[[#This Row],[tyyppihyvaksyntanro]]</f>
        <v>e11*2001/116*0272*01</v>
      </c>
      <c r="I158">
        <f>'Ajoneuvorekisteri-Parse Modern '!M193</f>
        <v>1735</v>
      </c>
      <c r="J158">
        <f t="shared" si="10"/>
        <v>0</v>
      </c>
      <c r="K158">
        <f t="shared" si="11"/>
        <v>1</v>
      </c>
      <c r="L158">
        <f t="shared" si="12"/>
        <v>0</v>
      </c>
      <c r="M158">
        <f t="shared" si="13"/>
        <v>0</v>
      </c>
      <c r="N158">
        <f>IF(AND(Table34[[#This Row],[Coupe]]&lt;&gt;1, Table34[[#This Row],[Convertible]]&lt;&gt;1), 1, 0)</f>
        <v>1</v>
      </c>
      <c r="O158" t="str">
        <f t="shared" si="14"/>
        <v>Unknown</v>
      </c>
    </row>
    <row r="159" spans="1:15" x14ac:dyDescent="0.25">
      <c r="A159">
        <f>'Ajoneuvorekisteri-Parse Modern '!AO177</f>
        <v>3044277</v>
      </c>
      <c r="B159" t="str">
        <f>'Ajoneuvorekisteri-Parse Modern '!AN177</f>
        <v>SAJDA42C24</v>
      </c>
      <c r="C159" t="str" cm="1">
        <f t="array" ref="C159">_xlfn.LET(_xlpm.v,UPPER(SUBSTITUTE(CLEAN(TRIM(B159)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XK8-XKR_CONVERTIBLE_USA_AUTO_LHD_EMISSION_C_2004MY</v>
      </c>
      <c r="D159" t="str" cm="1">
        <f t="array" ref="D159">_xlfn.LET(_xlpm.vin,SUBSTITUTE(CLEAN(TRIM(B159)),CHAR(160),""),_xlpm.rawDate,LEFT(TRIM(E159)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A36874–A42347</v>
      </c>
      <c r="E159">
        <f>'Ajoneuvorekisteri-Parse Modern '!G177</f>
        <v>20030915</v>
      </c>
      <c r="F159" t="str">
        <f>LEFT(Table34[[#This Row],[Käyttöönotto]],4)</f>
        <v>2003</v>
      </c>
      <c r="G159" t="str">
        <f>'Ajoneuvorekisteri-Parse Modern '!AA177</f>
        <v>XK8 Convertible Avoauto (AE) 2ov 4196cm3 A</v>
      </c>
      <c r="H159" t="str">
        <f>Ajoneuvorekisteri_Parse_Modern_XK_Range_TieliikenneAvoinData_30_06_2026_csv[[#This Row],[tyyppihyvaksyntanro]]</f>
        <v/>
      </c>
      <c r="I159">
        <f>'Ajoneuvorekisteri-Parse Modern '!M177</f>
        <v>1735</v>
      </c>
      <c r="J159">
        <f t="shared" si="10"/>
        <v>1</v>
      </c>
      <c r="K159">
        <f t="shared" si="11"/>
        <v>0</v>
      </c>
      <c r="L159">
        <f t="shared" si="12"/>
        <v>0</v>
      </c>
      <c r="M159">
        <f t="shared" si="13"/>
        <v>1</v>
      </c>
      <c r="N159">
        <f>IF(AND(Table34[[#This Row],[Coupe]]&lt;&gt;1, Table34[[#This Row],[Convertible]]&lt;&gt;1), 1, 0)</f>
        <v>0</v>
      </c>
      <c r="O159" t="str">
        <f t="shared" si="14"/>
        <v>Convertible</v>
      </c>
    </row>
    <row r="160" spans="1:15" x14ac:dyDescent="0.25">
      <c r="A160">
        <f>'Ajoneuvorekisteri-Parse Modern '!AO245</f>
        <v>4251542</v>
      </c>
      <c r="B160" t="str">
        <f>'Ajoneuvorekisteri-Parse Modern '!AN245</f>
        <v>SAJAA41PX4</v>
      </c>
      <c r="C160" t="str" cm="1">
        <f t="array" ref="C160">_xlfn.LET(_xlpm.v,UPPER(SUBSTITUTE(CLEAN(TRIM(B160)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XK8-XKR_COUPE_MEXICO_AUTO_LHD_EMISSION_P_2004MY</v>
      </c>
      <c r="D160" t="str" cm="1">
        <f t="array" ref="D160">_xlfn.LET(_xlpm.vin,SUBSTITUTE(CLEAN(TRIM(B160)),CHAR(160),""),_xlpm.rawDate,LEFT(TRIM(E160)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A36874–A42347</v>
      </c>
      <c r="E160">
        <f>'Ajoneuvorekisteri-Parse Modern '!G245</f>
        <v>20031107</v>
      </c>
      <c r="F160" t="str">
        <f>LEFT(Table34[[#This Row],[Käyttöönotto]],4)</f>
        <v>2003</v>
      </c>
      <c r="G160" t="str">
        <f>'Ajoneuvorekisteri-Parse Modern '!AA245</f>
        <v>XK8 Coup� (AD) 2ov 4190cm3 A</v>
      </c>
      <c r="H160" t="str">
        <f>Ajoneuvorekisteri_Parse_Modern_XK_Range_TieliikenneAvoinData_30_06_2026_csv[[#This Row],[tyyppihyvaksyntanro]]</f>
        <v>e11*2001/116*0272*01</v>
      </c>
      <c r="I160">
        <f>'Ajoneuvorekisteri-Parse Modern '!M245</f>
        <v>1660</v>
      </c>
      <c r="J160">
        <f t="shared" si="10"/>
        <v>1</v>
      </c>
      <c r="K160">
        <f t="shared" si="11"/>
        <v>0</v>
      </c>
      <c r="L160">
        <f t="shared" si="12"/>
        <v>1</v>
      </c>
      <c r="M160">
        <f t="shared" si="13"/>
        <v>0</v>
      </c>
      <c r="N160">
        <f>IF(AND(Table34[[#This Row],[Coupe]]&lt;&gt;1, Table34[[#This Row],[Convertible]]&lt;&gt;1), 1, 0)</f>
        <v>0</v>
      </c>
      <c r="O160" t="str">
        <f t="shared" si="14"/>
        <v>Coupe</v>
      </c>
    </row>
    <row r="161" spans="1:15" x14ac:dyDescent="0.25">
      <c r="A161">
        <f>'Ajoneuvorekisteri-Parse Modern '!AO215</f>
        <v>3573053</v>
      </c>
      <c r="B161" t="str">
        <f>'Ajoneuvorekisteri-Parse Modern '!AN215</f>
        <v>SAJDA42C33</v>
      </c>
      <c r="C161" t="str" cm="1">
        <f t="array" ref="C161">_xlfn.LET(_xlpm.v,UPPER(SUBSTITUTE(CLEAN(TRIM(B161)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XK8-XKR_CONVERTIBLE_USA_AUTO_LHD_EMISSION_C_2003MY</v>
      </c>
      <c r="D161" t="str" cm="1">
        <f t="array" ref="D161">_xlfn.LET(_xlpm.vin,SUBSTITUTE(CLEAN(TRIM(B161)),CHAR(160),""),_xlpm.rawDate,LEFT(TRIM(E161)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A30645–A36873</v>
      </c>
      <c r="E161">
        <f>'Ajoneuvorekisteri-Parse Modern '!G215</f>
        <v>20031123</v>
      </c>
      <c r="F161" t="str">
        <f>LEFT(Table34[[#This Row],[Käyttöönotto]],4)</f>
        <v>2003</v>
      </c>
      <c r="G161" t="str">
        <f>'Ajoneuvorekisteri-Parse Modern '!AA215</f>
        <v>XK8 Convertible Avoauto (AE) 2ov 4196cm3 A</v>
      </c>
      <c r="H161" t="str">
        <f>Ajoneuvorekisteri_Parse_Modern_XK_Range_TieliikenneAvoinData_30_06_2026_csv[[#This Row],[tyyppihyvaksyntanro]]</f>
        <v>e11*2001/116*0272*00</v>
      </c>
      <c r="I161">
        <f>'Ajoneuvorekisteri-Parse Modern '!M215</f>
        <v>1770</v>
      </c>
      <c r="J161">
        <f t="shared" si="10"/>
        <v>1</v>
      </c>
      <c r="K161">
        <f t="shared" si="11"/>
        <v>0</v>
      </c>
      <c r="L161">
        <f t="shared" si="12"/>
        <v>0</v>
      </c>
      <c r="M161">
        <f t="shared" si="13"/>
        <v>1</v>
      </c>
      <c r="N161">
        <f>IF(AND(Table34[[#This Row],[Coupe]]&lt;&gt;1, Table34[[#This Row],[Convertible]]&lt;&gt;1), 1, 0)</f>
        <v>0</v>
      </c>
      <c r="O161" t="str">
        <f t="shared" si="14"/>
        <v>Convertible</v>
      </c>
    </row>
    <row r="162" spans="1:15" x14ac:dyDescent="0.25">
      <c r="A162">
        <f>'Ajoneuvorekisteri-Parse Modern '!AO138</f>
        <v>2575757</v>
      </c>
      <c r="B162" t="str">
        <f>'Ajoneuvorekisteri-Parse Modern '!AN138</f>
        <v>SAJAA41R75</v>
      </c>
      <c r="C162" t="str" cm="1">
        <f t="array" ref="C162">_xlfn.LET(_xlpm.v,UPPER(SUBSTITUTE(CLEAN(TRIM(B162)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XK8-XKR_COUPE_MEXICO_AUTO_LHD_EMISSION_R_2005MY</v>
      </c>
      <c r="D162" t="str" cm="1">
        <f t="array" ref="D162">_xlfn.LET(_xlpm.vin,SUBSTITUTE(CLEAN(TRIM(B162)),CHAR(160),""),_xlpm.rawDate,LEFT(TRIM(E162)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A42348–A48684</v>
      </c>
      <c r="E162">
        <f>'Ajoneuvorekisteri-Parse Modern '!G138</f>
        <v>20031125</v>
      </c>
      <c r="F162" t="str">
        <f>LEFT(Table34[[#This Row],[Käyttöönotto]],4)</f>
        <v>2003</v>
      </c>
      <c r="G162" t="str">
        <f>'Ajoneuvorekisteri-Parse Modern '!AA138</f>
        <v>XK Coup� (AD) 2ov 4196cm3 A</v>
      </c>
      <c r="H162" t="str">
        <f>Ajoneuvorekisteri_Parse_Modern_XK_Range_TieliikenneAvoinData_30_06_2026_csv[[#This Row],[tyyppihyvaksyntanro]]</f>
        <v>e11*2001/116*0272*01</v>
      </c>
      <c r="I162">
        <f>'Ajoneuvorekisteri-Parse Modern '!M138</f>
        <v>1735</v>
      </c>
      <c r="J162">
        <f t="shared" si="10"/>
        <v>1</v>
      </c>
      <c r="K162">
        <f t="shared" si="11"/>
        <v>0</v>
      </c>
      <c r="L162">
        <f t="shared" si="12"/>
        <v>1</v>
      </c>
      <c r="M162">
        <f t="shared" si="13"/>
        <v>0</v>
      </c>
      <c r="N162">
        <f>IF(AND(Table34[[#This Row],[Coupe]]&lt;&gt;1, Table34[[#This Row],[Convertible]]&lt;&gt;1), 1, 0)</f>
        <v>0</v>
      </c>
      <c r="O162" t="str">
        <f t="shared" si="14"/>
        <v>Coupe</v>
      </c>
    </row>
    <row r="163" spans="1:15" x14ac:dyDescent="0.25">
      <c r="A163">
        <f>'Ajoneuvorekisteri-Parse Modern '!AO164</f>
        <v>2869418</v>
      </c>
      <c r="B163" t="str">
        <f>'Ajoneuvorekisteri-Parse Modern '!AN127</f>
        <v>SAJDA42C24</v>
      </c>
      <c r="C163" t="str" cm="1">
        <f t="array" ref="C163">_xlfn.LET(_xlpm.v,UPPER(SUBSTITUTE(CLEAN(TRIM(B163)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XK8-XKR_CONVERTIBLE_USA_AUTO_LHD_EMISSION_C_2004MY</v>
      </c>
      <c r="D163" t="str" cm="1">
        <f t="array" ref="D163">_xlfn.LET(_xlpm.vin,SUBSTITUTE(CLEAN(TRIM(B163)),CHAR(160),""),_xlpm.rawDate,LEFT(TRIM(E163)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A36874–A42347</v>
      </c>
      <c r="E163">
        <f>'Ajoneuvorekisteri-Parse Modern '!G127</f>
        <v>20040000</v>
      </c>
      <c r="F163" t="str">
        <f>LEFT(Table34[[#This Row],[Käyttöönotto]],4)</f>
        <v>2004</v>
      </c>
      <c r="G163" t="str">
        <f>'Ajoneuvorekisteri-Parse Modern '!AA127</f>
        <v>XK Avoauto (AE) 2ov 4190cm3 A</v>
      </c>
      <c r="H163" t="str">
        <f>Ajoneuvorekisteri_Parse_Modern_XK_Range_TieliikenneAvoinData_30_06_2026_csv[[#This Row],[tyyppihyvaksyntanro]]</f>
        <v>e11*2001/116*0272*01</v>
      </c>
      <c r="I163">
        <f>'Ajoneuvorekisteri-Parse Modern '!M127</f>
        <v>1760</v>
      </c>
      <c r="J163">
        <f t="shared" si="10"/>
        <v>1</v>
      </c>
      <c r="K163">
        <f t="shared" si="11"/>
        <v>0</v>
      </c>
      <c r="L163">
        <f t="shared" si="12"/>
        <v>0</v>
      </c>
      <c r="M163">
        <f t="shared" si="13"/>
        <v>1</v>
      </c>
      <c r="N163">
        <f>IF(AND(Table34[[#This Row],[Coupe]]&lt;&gt;1, Table34[[#This Row],[Convertible]]&lt;&gt;1), 1, 0)</f>
        <v>0</v>
      </c>
      <c r="O163" t="str">
        <f t="shared" si="14"/>
        <v>Convertible</v>
      </c>
    </row>
    <row r="164" spans="1:15" x14ac:dyDescent="0.25">
      <c r="A164">
        <f>'Ajoneuvorekisteri-Parse Modern '!AO231</f>
        <v>3949608</v>
      </c>
      <c r="B164" t="str">
        <f>'Ajoneuvorekisteri-Parse Modern '!AN164</f>
        <v>SAJDA42B54</v>
      </c>
      <c r="C164" t="str" cm="1">
        <f t="array" ref="C164">_xlfn.LET(_xlpm.v,UPPER(SUBSTITUTE(CLEAN(TRIM(B164)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XK8-XKR_CONVERTIBLE_USA_AUTO_LHD_EMISSION_B_2004MY</v>
      </c>
      <c r="D164" t="str" cm="1">
        <f t="array" ref="D164">_xlfn.LET(_xlpm.vin,SUBSTITUTE(CLEAN(TRIM(B164)),CHAR(160),""),_xlpm.rawDate,LEFT(TRIM(E164)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A36874–A42347</v>
      </c>
      <c r="E164">
        <f>'Ajoneuvorekisteri-Parse Modern '!G164</f>
        <v>20040101</v>
      </c>
      <c r="F164" t="str">
        <f>LEFT(Table34[[#This Row],[Käyttöönotto]],4)</f>
        <v>2004</v>
      </c>
      <c r="G164" t="str">
        <f>'Ajoneuvorekisteri-Parse Modern '!AA164</f>
        <v>XKR Avoauto (AE) 2ov 4196cm3 A</v>
      </c>
      <c r="H164" t="str">
        <f>Ajoneuvorekisteri_Parse_Modern_XK_Range_TieliikenneAvoinData_30_06_2026_csv[[#This Row],[tyyppihyvaksyntanro]]</f>
        <v/>
      </c>
      <c r="I164">
        <f>'Ajoneuvorekisteri-Parse Modern '!M164</f>
        <v>1735</v>
      </c>
      <c r="J164">
        <f t="shared" si="10"/>
        <v>0</v>
      </c>
      <c r="K164">
        <f t="shared" si="11"/>
        <v>1</v>
      </c>
      <c r="L164">
        <f t="shared" si="12"/>
        <v>0</v>
      </c>
      <c r="M164">
        <f t="shared" si="13"/>
        <v>1</v>
      </c>
      <c r="N164">
        <f>IF(AND(Table34[[#This Row],[Coupe]]&lt;&gt;1, Table34[[#This Row],[Convertible]]&lt;&gt;1), 1, 0)</f>
        <v>0</v>
      </c>
      <c r="O164" t="str">
        <f t="shared" si="14"/>
        <v>Convertible</v>
      </c>
    </row>
    <row r="165" spans="1:15" x14ac:dyDescent="0.25">
      <c r="A165">
        <f>'Ajoneuvorekisteri-Parse Modern '!AO143</f>
        <v>2665979</v>
      </c>
      <c r="B165" t="str">
        <f>'Ajoneuvorekisteri-Parse Modern '!AN102</f>
        <v>SAJAA42P44</v>
      </c>
      <c r="C165" t="str" cm="1">
        <f t="array" ref="C165">_xlfn.LET(_xlpm.v,UPPER(SUBSTITUTE(CLEAN(TRIM(B165)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XK8-XKR_CONVERTIBLE_MEXICO_AUTO_LHD_EMISSION_P_2004MY</v>
      </c>
      <c r="D165" t="str" cm="1">
        <f t="array" ref="D165">_xlfn.LET(_xlpm.vin,SUBSTITUTE(CLEAN(TRIM(B165)),CHAR(160),""),_xlpm.rawDate,LEFT(TRIM(E165)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A36874–A42347</v>
      </c>
      <c r="E165">
        <f>'Ajoneuvorekisteri-Parse Modern '!G102</f>
        <v>20040503</v>
      </c>
      <c r="F165" t="str">
        <f>LEFT(Table34[[#This Row],[Käyttöönotto]],4)</f>
        <v>2004</v>
      </c>
      <c r="G165" t="str">
        <f>'Ajoneuvorekisteri-Parse Modern '!AA102</f>
        <v>XK Avoauto (AE) 2ov 4190cm3 A</v>
      </c>
      <c r="H165" t="str">
        <f>Ajoneuvorekisteri_Parse_Modern_XK_Range_TieliikenneAvoinData_30_06_2026_csv[[#This Row],[tyyppihyvaksyntanro]]</f>
        <v/>
      </c>
      <c r="I165">
        <f>'Ajoneuvorekisteri-Parse Modern '!M102</f>
        <v>1770</v>
      </c>
      <c r="J165">
        <f t="shared" si="10"/>
        <v>1</v>
      </c>
      <c r="K165">
        <f t="shared" si="11"/>
        <v>0</v>
      </c>
      <c r="L165">
        <f t="shared" si="12"/>
        <v>0</v>
      </c>
      <c r="M165">
        <f t="shared" si="13"/>
        <v>1</v>
      </c>
      <c r="N165">
        <f>IF(AND(Table34[[#This Row],[Coupe]]&lt;&gt;1, Table34[[#This Row],[Convertible]]&lt;&gt;1), 1, 0)</f>
        <v>0</v>
      </c>
      <c r="O165" t="str">
        <f t="shared" si="14"/>
        <v>Convertible</v>
      </c>
    </row>
    <row r="166" spans="1:15" x14ac:dyDescent="0.25">
      <c r="A166">
        <f>'Ajoneuvorekisteri-Parse Modern '!AO127</f>
        <v>2525146</v>
      </c>
      <c r="B166" t="str">
        <f>'Ajoneuvorekisteri-Parse Modern '!AN53</f>
        <v>SAJAA42P15</v>
      </c>
      <c r="C166" t="str" cm="1">
        <f t="array" ref="C166">_xlfn.LET(_xlpm.v,UPPER(SUBSTITUTE(CLEAN(TRIM(B166)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XK8-XKR_CONVERTIBLE_MEXICO_AUTO_LHD_EMISSION_P_2005MY</v>
      </c>
      <c r="D166" t="str" cm="1">
        <f t="array" ref="D166">_xlfn.LET(_xlpm.vin,SUBSTITUTE(CLEAN(TRIM(B166)),CHAR(160),""),_xlpm.rawDate,LEFT(TRIM(E166)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A42348–A48684</v>
      </c>
      <c r="E166">
        <f>'Ajoneuvorekisteri-Parse Modern '!G53</f>
        <v>20040526</v>
      </c>
      <c r="F166" t="str">
        <f>LEFT(Table34[[#This Row],[Käyttöönotto]],4)</f>
        <v>2004</v>
      </c>
      <c r="G166" t="str">
        <f>'Ajoneuvorekisteri-Parse Modern '!AA53</f>
        <v>2D CONVERTIBLE XK8 4.2-AUTOMATIC-AA2P/259</v>
      </c>
      <c r="H166" t="str">
        <f>Ajoneuvorekisteri_Parse_Modern_XK_Range_TieliikenneAvoinData_30_06_2026_csv[[#This Row],[tyyppihyvaksyntanro]]</f>
        <v/>
      </c>
      <c r="I166">
        <f>'Ajoneuvorekisteri-Parse Modern '!M53</f>
        <v>1845</v>
      </c>
      <c r="J166">
        <f t="shared" si="10"/>
        <v>1</v>
      </c>
      <c r="K166">
        <f t="shared" si="11"/>
        <v>0</v>
      </c>
      <c r="L166">
        <f t="shared" si="12"/>
        <v>0</v>
      </c>
      <c r="M166">
        <f t="shared" si="13"/>
        <v>1</v>
      </c>
      <c r="N166">
        <f>IF(AND(Table34[[#This Row],[Coupe]]&lt;&gt;1, Table34[[#This Row],[Convertible]]&lt;&gt;1), 1, 0)</f>
        <v>0</v>
      </c>
      <c r="O166" t="str">
        <f t="shared" si="14"/>
        <v>Convertible</v>
      </c>
    </row>
    <row r="167" spans="1:15" x14ac:dyDescent="0.25">
      <c r="A167">
        <f>'Ajoneuvorekisteri-Parse Modern '!AO81</f>
        <v>2062425</v>
      </c>
      <c r="B167" t="str">
        <f>'Ajoneuvorekisteri-Parse Modern '!AN37</f>
        <v>SAJAA42P25</v>
      </c>
      <c r="C167" t="str" cm="1">
        <f t="array" ref="C167">_xlfn.LET(_xlpm.v,UPPER(SUBSTITUTE(CLEAN(TRIM(B167)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XK8-XKR_CONVERTIBLE_MEXICO_AUTO_LHD_EMISSION_P_2005MY</v>
      </c>
      <c r="D167" t="str" cm="1">
        <f t="array" ref="D167">_xlfn.LET(_xlpm.vin,SUBSTITUTE(CLEAN(TRIM(B167)),CHAR(160),""),_xlpm.rawDate,LEFT(TRIM(E167)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A42348–A48684</v>
      </c>
      <c r="E167">
        <f>'Ajoneuvorekisteri-Parse Modern '!G37</f>
        <v>20040528</v>
      </c>
      <c r="F167" t="str">
        <f>LEFT(Table34[[#This Row],[Käyttöönotto]],4)</f>
        <v>2004</v>
      </c>
      <c r="G167" t="str">
        <f>'Ajoneuvorekisteri-Parse Modern '!AA37</f>
        <v>2D CONVERTIBLE XK8 4.2-AUTOMATIC-AA2P/259</v>
      </c>
      <c r="H167" t="str">
        <f>Ajoneuvorekisteri_Parse_Modern_XK_Range_TieliikenneAvoinData_30_06_2026_csv[[#This Row],[tyyppihyvaksyntanro]]</f>
        <v>e11*95/54*0061*03</v>
      </c>
      <c r="I167">
        <f>'Ajoneuvorekisteri-Parse Modern '!M37</f>
        <v>1845</v>
      </c>
      <c r="J167">
        <f t="shared" si="10"/>
        <v>1</v>
      </c>
      <c r="K167">
        <f t="shared" si="11"/>
        <v>0</v>
      </c>
      <c r="L167">
        <f t="shared" si="12"/>
        <v>0</v>
      </c>
      <c r="M167">
        <f t="shared" si="13"/>
        <v>1</v>
      </c>
      <c r="N167">
        <f>IF(AND(Table34[[#This Row],[Coupe]]&lt;&gt;1, Table34[[#This Row],[Convertible]]&lt;&gt;1), 1, 0)</f>
        <v>0</v>
      </c>
      <c r="O167" t="str">
        <f t="shared" si="14"/>
        <v>Convertible</v>
      </c>
    </row>
    <row r="168" spans="1:15" x14ac:dyDescent="0.25">
      <c r="A168">
        <f>'Ajoneuvorekisteri-Parse Modern '!AO53</f>
        <v>1429725</v>
      </c>
      <c r="B168" t="str">
        <f>'Ajoneuvorekisteri-Parse Modern '!AN231</f>
        <v>SAJAA41R45</v>
      </c>
      <c r="C168" t="str" cm="1">
        <f t="array" ref="C168">_xlfn.LET(_xlpm.v,UPPER(SUBSTITUTE(CLEAN(TRIM(B168)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XK8-XKR_COUPE_MEXICO_AUTO_LHD_EMISSION_R_2005MY</v>
      </c>
      <c r="D168" t="str" cm="1">
        <f t="array" ref="D168">_xlfn.LET(_xlpm.vin,SUBSTITUTE(CLEAN(TRIM(B168)),CHAR(160),""),_xlpm.rawDate,LEFT(TRIM(E168)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A42348–A48684</v>
      </c>
      <c r="E168">
        <f>'Ajoneuvorekisteri-Parse Modern '!G231</f>
        <v>20040723</v>
      </c>
      <c r="F168" t="str">
        <f>LEFT(Table34[[#This Row],[Käyttöönotto]],4)</f>
        <v>2004</v>
      </c>
      <c r="G168" t="str">
        <f>'Ajoneuvorekisteri-Parse Modern '!AA231</f>
        <v>XKR Coupe Coup� (AD) 2ov 4196cm3 A</v>
      </c>
      <c r="H168" t="str">
        <f>Ajoneuvorekisteri_Parse_Modern_XK_Range_TieliikenneAvoinData_30_06_2026_csv[[#This Row],[tyyppihyvaksyntanro]]</f>
        <v>e11*2001/116*0272*07</v>
      </c>
      <c r="I168">
        <f>'Ajoneuvorekisteri-Parse Modern '!M231</f>
        <v>1735</v>
      </c>
      <c r="J168">
        <f t="shared" si="10"/>
        <v>0</v>
      </c>
      <c r="K168">
        <f t="shared" si="11"/>
        <v>1</v>
      </c>
      <c r="L168">
        <f t="shared" si="12"/>
        <v>1</v>
      </c>
      <c r="M168">
        <f t="shared" si="13"/>
        <v>0</v>
      </c>
      <c r="N168">
        <f>IF(AND(Table34[[#This Row],[Coupe]]&lt;&gt;1, Table34[[#This Row],[Convertible]]&lt;&gt;1), 1, 0)</f>
        <v>0</v>
      </c>
      <c r="O168" t="str">
        <f t="shared" si="14"/>
        <v>Coupe</v>
      </c>
    </row>
    <row r="169" spans="1:15" x14ac:dyDescent="0.25">
      <c r="A169">
        <f>'Ajoneuvorekisteri-Parse Modern '!AO185</f>
        <v>3184244</v>
      </c>
      <c r="B169" t="str">
        <f>'Ajoneuvorekisteri-Parse Modern '!AN208</f>
        <v>SAJDA42C54</v>
      </c>
      <c r="C169" t="str" cm="1">
        <f t="array" ref="C169">_xlfn.LET(_xlpm.v,UPPER(SUBSTITUTE(CLEAN(TRIM(B169)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XK8-XKR_CONVERTIBLE_USA_AUTO_LHD_EMISSION_C_2004MY</v>
      </c>
      <c r="D169" t="str" cm="1">
        <f t="array" ref="D169">_xlfn.LET(_xlpm.vin,SUBSTITUTE(CLEAN(TRIM(B169)),CHAR(160),""),_xlpm.rawDate,LEFT(TRIM(E169)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A36874–A42347</v>
      </c>
      <c r="E169">
        <f>'Ajoneuvorekisteri-Parse Modern '!G208</f>
        <v>20040726</v>
      </c>
      <c r="F169" t="str">
        <f>LEFT(Table34[[#This Row],[Käyttöönotto]],4)</f>
        <v>2004</v>
      </c>
      <c r="G169" t="str">
        <f>'Ajoneuvorekisteri-Parse Modern '!AA208</f>
        <v>XK8 Avoauto (AE) 2ov 4190cm3 A</v>
      </c>
      <c r="H169" t="str">
        <f>Ajoneuvorekisteri_Parse_Modern_XK_Range_TieliikenneAvoinData_30_06_2026_csv[[#This Row],[tyyppihyvaksyntanro]]</f>
        <v>e11*95/54*0061*00</v>
      </c>
      <c r="I169">
        <f>'Ajoneuvorekisteri-Parse Modern '!M208</f>
        <v>1770</v>
      </c>
      <c r="J169">
        <f t="shared" si="10"/>
        <v>1</v>
      </c>
      <c r="K169">
        <f t="shared" si="11"/>
        <v>0</v>
      </c>
      <c r="L169">
        <f t="shared" si="12"/>
        <v>0</v>
      </c>
      <c r="M169">
        <f t="shared" si="13"/>
        <v>1</v>
      </c>
      <c r="N169">
        <f>IF(AND(Table34[[#This Row],[Coupe]]&lt;&gt;1, Table34[[#This Row],[Convertible]]&lt;&gt;1), 1, 0)</f>
        <v>0</v>
      </c>
      <c r="O169" t="str">
        <f t="shared" si="14"/>
        <v>Convertible</v>
      </c>
    </row>
    <row r="170" spans="1:15" x14ac:dyDescent="0.25">
      <c r="A170">
        <f>'Ajoneuvorekisteri-Parse Modern '!AO37</f>
        <v>1132388</v>
      </c>
      <c r="B170" t="str">
        <f>'Ajoneuvorekisteri-Parse Modern '!AN143</f>
        <v>SAJAA41R85</v>
      </c>
      <c r="C170" t="str" cm="1">
        <f t="array" ref="C170">_xlfn.LET(_xlpm.v,UPPER(SUBSTITUTE(CLEAN(TRIM(B170)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XK8-XKR_COUPE_MEXICO_AUTO_LHD_EMISSION_R_2005MY</v>
      </c>
      <c r="D170" t="str" cm="1">
        <f t="array" ref="D170">_xlfn.LET(_xlpm.vin,SUBSTITUTE(CLEAN(TRIM(B170)),CHAR(160),""),_xlpm.rawDate,LEFT(TRIM(E170)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A42348–A48684</v>
      </c>
      <c r="E170">
        <f>'Ajoneuvorekisteri-Parse Modern '!G143</f>
        <v>20050316</v>
      </c>
      <c r="F170" t="str">
        <f>LEFT(Table34[[#This Row],[Käyttöönotto]],4)</f>
        <v>2005</v>
      </c>
      <c r="G170" t="str">
        <f>'Ajoneuvorekisteri-Parse Modern '!AA143</f>
        <v>XK Coup� (AD) 2ov 4190cm3 A</v>
      </c>
      <c r="H170" t="str">
        <f>Ajoneuvorekisteri_Parse_Modern_XK_Range_TieliikenneAvoinData_30_06_2026_csv[[#This Row],[tyyppihyvaksyntanro]]</f>
        <v/>
      </c>
      <c r="I170">
        <f>'Ajoneuvorekisteri-Parse Modern '!M143</f>
        <v>1660</v>
      </c>
      <c r="J170">
        <f t="shared" si="10"/>
        <v>1</v>
      </c>
      <c r="K170">
        <f t="shared" si="11"/>
        <v>0</v>
      </c>
      <c r="L170">
        <f t="shared" si="12"/>
        <v>1</v>
      </c>
      <c r="M170">
        <f t="shared" si="13"/>
        <v>0</v>
      </c>
      <c r="N170">
        <f>IF(AND(Table34[[#This Row],[Coupe]]&lt;&gt;1, Table34[[#This Row],[Convertible]]&lt;&gt;1), 1, 0)</f>
        <v>0</v>
      </c>
      <c r="O170" t="str">
        <f t="shared" si="14"/>
        <v>Coupe</v>
      </c>
    </row>
    <row r="171" spans="1:15" x14ac:dyDescent="0.25">
      <c r="A171">
        <f>'Ajoneuvorekisteri-Parse Modern '!AO40</f>
        <v>1229100</v>
      </c>
      <c r="B171" t="str">
        <f>'Ajoneuvorekisteri-Parse Modern '!AN16</f>
        <v>SAJAA41R46</v>
      </c>
      <c r="C171" t="str" cm="1">
        <f t="array" ref="C171">_xlfn.LET(_xlpm.v,UPPER(SUBSTITUTE(CLEAN(TRIM(B171)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XK8-XKR_COUPE_MEXICO_AUTO_LHD_EMISSION_R_2006MY</v>
      </c>
      <c r="D171" t="str" cm="1">
        <f t="array" ref="D171">_xlfn.LET(_xlpm.vin,SUBSTITUTE(CLEAN(TRIM(B171)),CHAR(160),""),_xlpm.rawDate,LEFT(TRIM(E171)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UNKNOWN</v>
      </c>
      <c r="E171">
        <f>'Ajoneuvorekisteri-Parse Modern '!G16</f>
        <v>20050330</v>
      </c>
      <c r="F171" t="str">
        <f>LEFT(Table34[[#This Row],[Käyttöönotto]],4)</f>
        <v>2005</v>
      </c>
      <c r="G171" t="str">
        <f>'Ajoneuvorekisteri-Parse Modern '!AA16</f>
        <v>COUPE XKR 4.2 AUTOMATIC-AA1R/259</v>
      </c>
      <c r="H171" t="str">
        <f>Ajoneuvorekisteri_Parse_Modern_XK_Range_TieliikenneAvoinData_30_06_2026_csv[[#This Row],[tyyppihyvaksyntanro]]</f>
        <v/>
      </c>
      <c r="I171">
        <f>'Ajoneuvorekisteri-Parse Modern '!M16</f>
        <v>1735</v>
      </c>
      <c r="J171">
        <f t="shared" si="10"/>
        <v>0</v>
      </c>
      <c r="K171">
        <f t="shared" si="11"/>
        <v>1</v>
      </c>
      <c r="L171">
        <f t="shared" si="12"/>
        <v>1</v>
      </c>
      <c r="M171">
        <f t="shared" si="13"/>
        <v>0</v>
      </c>
      <c r="N171">
        <f>IF(AND(Table34[[#This Row],[Coupe]]&lt;&gt;1, Table34[[#This Row],[Convertible]]&lt;&gt;1), 1, 0)</f>
        <v>0</v>
      </c>
      <c r="O171" t="str">
        <f t="shared" si="14"/>
        <v>Coupe</v>
      </c>
    </row>
    <row r="172" spans="1:15" x14ac:dyDescent="0.25">
      <c r="A172">
        <f>'Ajoneuvorekisteri-Parse Modern '!AO102</f>
        <v>2282216</v>
      </c>
      <c r="B172" t="str">
        <f>'Ajoneuvorekisteri-Parse Modern '!AN40</f>
        <v>SAJAA42P16</v>
      </c>
      <c r="C172" t="str" cm="1">
        <f t="array" ref="C172">_xlfn.LET(_xlpm.v,UPPER(SUBSTITUTE(CLEAN(TRIM(B172)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XK8-XKR_CONVERTIBLE_MEXICO_AUTO_LHD_EMISSION_P_2006MY</v>
      </c>
      <c r="D172" t="str" cm="1">
        <f t="array" ref="D172">_xlfn.LET(_xlpm.vin,SUBSTITUTE(CLEAN(TRIM(B172)),CHAR(160),""),_xlpm.rawDate,LEFT(TRIM(E172)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UNKNOWN</v>
      </c>
      <c r="E172">
        <f>'Ajoneuvorekisteri-Parse Modern '!G40</f>
        <v>20050427</v>
      </c>
      <c r="F172" t="str">
        <f>LEFT(Table34[[#This Row],[Käyttöönotto]],4)</f>
        <v>2005</v>
      </c>
      <c r="G172" t="str">
        <f>'Ajoneuvorekisteri-Parse Modern '!AA40</f>
        <v>2D CONVERTIBLE XK8 4.2-AUTOMATIC-42P/259</v>
      </c>
      <c r="H172" t="str">
        <f>Ajoneuvorekisteri_Parse_Modern_XK_Range_TieliikenneAvoinData_30_06_2026_csv[[#This Row],[tyyppihyvaksyntanro]]</f>
        <v>e11*2001/116*0272*01</v>
      </c>
      <c r="I172">
        <f>'Ajoneuvorekisteri-Parse Modern '!M40</f>
        <v>1845</v>
      </c>
      <c r="J172">
        <f t="shared" si="10"/>
        <v>1</v>
      </c>
      <c r="K172">
        <f t="shared" si="11"/>
        <v>0</v>
      </c>
      <c r="L172">
        <f t="shared" si="12"/>
        <v>0</v>
      </c>
      <c r="M172">
        <f t="shared" si="13"/>
        <v>1</v>
      </c>
      <c r="N172">
        <f>IF(AND(Table34[[#This Row],[Coupe]]&lt;&gt;1, Table34[[#This Row],[Convertible]]&lt;&gt;1), 1, 0)</f>
        <v>0</v>
      </c>
      <c r="O172" t="str">
        <f t="shared" si="14"/>
        <v>Convertible</v>
      </c>
    </row>
    <row r="173" spans="1:15" x14ac:dyDescent="0.25">
      <c r="A173">
        <f>'Ajoneuvorekisteri-Parse Modern '!AO16</f>
        <v>535425</v>
      </c>
      <c r="B173" t="str">
        <f>'Ajoneuvorekisteri-Parse Modern '!AN50</f>
        <v>SAJAA41P83</v>
      </c>
      <c r="C173" t="str" cm="1">
        <f t="array" ref="C173">_xlfn.LET(_xlpm.v,UPPER(SUBSTITUTE(CLEAN(TRIM(B173)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XK8-XKR_COUPE_MEXICO_AUTO_LHD_EMISSION_P_2003MY</v>
      </c>
      <c r="D173" t="str" cm="1">
        <f t="array" ref="D173">_xlfn.LET(_xlpm.vin,SUBSTITUTE(CLEAN(TRIM(B173)),CHAR(160),""),_xlpm.rawDate,LEFT(TRIM(E173)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A30645–A36873</v>
      </c>
      <c r="E173">
        <f>'Ajoneuvorekisteri-Parse Modern '!G50</f>
        <v>20050520</v>
      </c>
      <c r="F173" t="str">
        <f>LEFT(Table34[[#This Row],[Käyttöönotto]],4)</f>
        <v>2005</v>
      </c>
      <c r="G173" t="str">
        <f>'Ajoneuvorekisteri-Parse Modern '!AA50</f>
        <v>COUPE XK8 4.2 AUTOMATIC-41P/259</v>
      </c>
      <c r="H173" t="str">
        <f>Ajoneuvorekisteri_Parse_Modern_XK_Range_TieliikenneAvoinData_30_06_2026_csv[[#This Row],[tyyppihyvaksyntanro]]</f>
        <v>e11*95/54*03</v>
      </c>
      <c r="I173">
        <f>'Ajoneuvorekisteri-Parse Modern '!M50</f>
        <v>1660</v>
      </c>
      <c r="J173">
        <f t="shared" si="10"/>
        <v>1</v>
      </c>
      <c r="K173">
        <f t="shared" si="11"/>
        <v>0</v>
      </c>
      <c r="L173">
        <f t="shared" si="12"/>
        <v>1</v>
      </c>
      <c r="M173">
        <f t="shared" si="13"/>
        <v>0</v>
      </c>
      <c r="N173">
        <f>IF(AND(Table34[[#This Row],[Coupe]]&lt;&gt;1, Table34[[#This Row],[Convertible]]&lt;&gt;1), 1, 0)</f>
        <v>0</v>
      </c>
      <c r="O173" t="str">
        <f t="shared" si="14"/>
        <v>Coupe</v>
      </c>
    </row>
    <row r="174" spans="1:15" x14ac:dyDescent="0.25">
      <c r="A174">
        <f>'Ajoneuvorekisteri-Parse Modern '!AO50</f>
        <v>1357119</v>
      </c>
      <c r="B174" t="str">
        <f>'Ajoneuvorekisteri-Parse Modern '!AN185</f>
        <v>SAJAA42RX6</v>
      </c>
      <c r="C174" t="str" cm="1">
        <f t="array" ref="C174">_xlfn.LET(_xlpm.v,UPPER(SUBSTITUTE(CLEAN(TRIM(B174)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XK8-XKR_CONVERTIBLE_MEXICO_AUTO_LHD_EMISSION_R_2006MY</v>
      </c>
      <c r="D174" t="str" cm="1">
        <f t="array" ref="D174">_xlfn.LET(_xlpm.vin,SUBSTITUTE(CLEAN(TRIM(B174)),CHAR(160),""),_xlpm.rawDate,LEFT(TRIM(E174)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UNKNOWN</v>
      </c>
      <c r="E174">
        <f>'Ajoneuvorekisteri-Parse Modern '!G185</f>
        <v>20050602</v>
      </c>
      <c r="F174" t="str">
        <f>LEFT(Table34[[#This Row],[Käyttöönotto]],4)</f>
        <v>2005</v>
      </c>
      <c r="G174" t="str">
        <f>'Ajoneuvorekisteri-Parse Modern '!AA185</f>
        <v>XKR Cab 4.2l Coup� (AD) 2ov 4196cm3 A</v>
      </c>
      <c r="H174" t="str">
        <f>Ajoneuvorekisteri_Parse_Modern_XK_Range_TieliikenneAvoinData_30_06_2026_csv[[#This Row],[tyyppihyvaksyntanro]]</f>
        <v>e11*95/54*0061*00</v>
      </c>
      <c r="I174">
        <f>'Ajoneuvorekisteri-Parse Modern '!M185</f>
        <v>1810</v>
      </c>
      <c r="J174">
        <f t="shared" si="10"/>
        <v>0</v>
      </c>
      <c r="K174">
        <f t="shared" si="11"/>
        <v>1</v>
      </c>
      <c r="L174">
        <f t="shared" si="12"/>
        <v>1</v>
      </c>
      <c r="M174">
        <f t="shared" si="13"/>
        <v>0</v>
      </c>
      <c r="N174">
        <f>IF(AND(Table34[[#This Row],[Coupe]]&lt;&gt;1, Table34[[#This Row],[Convertible]]&lt;&gt;1), 1, 0)</f>
        <v>0</v>
      </c>
      <c r="O174" t="str">
        <f t="shared" si="14"/>
        <v>Coupe</v>
      </c>
    </row>
    <row r="175" spans="1:15" x14ac:dyDescent="0.25">
      <c r="A175">
        <f>'Ajoneuvorekisteri-Parse Modern '!AO208</f>
        <v>3436871</v>
      </c>
      <c r="B175" t="str">
        <f>'Ajoneuvorekisteri-Parse Modern '!AN32</f>
        <v>SAJAA42RX3</v>
      </c>
      <c r="C175" t="str" cm="1">
        <f t="array" ref="C175">_xlfn.LET(_xlpm.v,UPPER(SUBSTITUTE(CLEAN(TRIM(B175)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XK8-XKR_CONVERTIBLE_MEXICO_AUTO_LHD_EMISSION_R_2003MY</v>
      </c>
      <c r="D175" t="str" cm="1">
        <f t="array" ref="D175">_xlfn.LET(_xlpm.vin,SUBSTITUTE(CLEAN(TRIM(B175)),CHAR(160),""),_xlpm.rawDate,LEFT(TRIM(E175)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A30645–A36873</v>
      </c>
      <c r="E175">
        <f>'Ajoneuvorekisteri-Parse Modern '!G32</f>
        <v>20050627</v>
      </c>
      <c r="F175" t="str">
        <f>LEFT(Table34[[#This Row],[Käyttöönotto]],4)</f>
        <v>2005</v>
      </c>
      <c r="G175" t="str">
        <f>'Ajoneuvorekisteri-Parse Modern '!AA32</f>
        <v>2D CONVERTIBLE XKR 4.2-AUTOMATIC-42R/259</v>
      </c>
      <c r="H175" t="str">
        <f>Ajoneuvorekisteri_Parse_Modern_XK_Range_TieliikenneAvoinData_30_06_2026_csv[[#This Row],[tyyppihyvaksyntanro]]</f>
        <v/>
      </c>
      <c r="I175">
        <f>'Ajoneuvorekisteri-Parse Modern '!M32</f>
        <v>1770</v>
      </c>
      <c r="J175">
        <f t="shared" si="10"/>
        <v>0</v>
      </c>
      <c r="K175">
        <f t="shared" si="11"/>
        <v>1</v>
      </c>
      <c r="L175">
        <f t="shared" si="12"/>
        <v>0</v>
      </c>
      <c r="M175">
        <f t="shared" si="13"/>
        <v>1</v>
      </c>
      <c r="N175">
        <f>IF(AND(Table34[[#This Row],[Coupe]]&lt;&gt;1, Table34[[#This Row],[Convertible]]&lt;&gt;1), 1, 0)</f>
        <v>0</v>
      </c>
      <c r="O175" t="str">
        <f t="shared" si="14"/>
        <v>Convertible</v>
      </c>
    </row>
    <row r="176" spans="1:15" x14ac:dyDescent="0.25">
      <c r="A176">
        <f>'Ajoneuvorekisteri-Parse Modern '!AO32</f>
        <v>1027041</v>
      </c>
      <c r="B176" t="str">
        <f>'Ajoneuvorekisteri-Parse Modern '!AN81</f>
        <v>SAJAA41P86</v>
      </c>
      <c r="C176" t="str" cm="1">
        <f t="array" ref="C176">_xlfn.LET(_xlpm.v,UPPER(SUBSTITUTE(CLEAN(TRIM(B176)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XK8-XKR_COUPE_MEXICO_AUTO_LHD_EMISSION_P_2006MY</v>
      </c>
      <c r="D176" t="str" cm="1">
        <f t="array" ref="D176">_xlfn.LET(_xlpm.vin,SUBSTITUTE(CLEAN(TRIM(B176)),CHAR(160),""),_xlpm.rawDate,LEFT(TRIM(E176)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UNKNOWN</v>
      </c>
      <c r="E176">
        <f>'Ajoneuvorekisteri-Parse Modern '!G81</f>
        <v>20051223</v>
      </c>
      <c r="F176" t="str">
        <f>LEFT(Table34[[#This Row],[Käyttöönotto]],4)</f>
        <v>2005</v>
      </c>
      <c r="G176" t="str">
        <f>'Ajoneuvorekisteri-Parse Modern '!AA81</f>
        <v>XK Coup� (AD) 2ov 4190cm3 A</v>
      </c>
      <c r="H176" t="str">
        <f>Ajoneuvorekisteri_Parse_Modern_XK_Range_TieliikenneAvoinData_30_06_2026_csv[[#This Row],[tyyppihyvaksyntanro]]</f>
        <v/>
      </c>
      <c r="I176">
        <f>'Ajoneuvorekisteri-Parse Modern '!M81</f>
        <v>1735</v>
      </c>
      <c r="J176">
        <f t="shared" si="10"/>
        <v>1</v>
      </c>
      <c r="K176">
        <f t="shared" si="11"/>
        <v>0</v>
      </c>
      <c r="L176">
        <f t="shared" si="12"/>
        <v>1</v>
      </c>
      <c r="M176">
        <f t="shared" si="13"/>
        <v>0</v>
      </c>
      <c r="N176">
        <f>IF(AND(Table34[[#This Row],[Coupe]]&lt;&gt;1, Table34[[#This Row],[Convertible]]&lt;&gt;1), 1, 0)</f>
        <v>0</v>
      </c>
      <c r="O176" t="str">
        <f t="shared" si="14"/>
        <v>Coupe</v>
      </c>
    </row>
    <row r="177" spans="1:15" x14ac:dyDescent="0.25">
      <c r="A177">
        <f>'Ajoneuvorekisteri-Parse Modern '!AO220</f>
        <v>3629004</v>
      </c>
      <c r="B177" t="str">
        <f>'Ajoneuvorekisteri-Parse Modern '!AN220</f>
        <v>SAJDA42C36</v>
      </c>
      <c r="C177" t="str" cm="1">
        <f t="array" ref="C177">_xlfn.LET(_xlpm.v,UPPER(SUBSTITUTE(CLEAN(TRIM(B177)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XK8-XKR_CONVERTIBLE_USA_AUTO_LHD_EMISSION_C_2006MY</v>
      </c>
      <c r="D177" t="str" cm="1">
        <f t="array" ref="D177">_xlfn.LET(_xlpm.vin,SUBSTITUTE(CLEAN(TRIM(B177)),CHAR(160),""),_xlpm.rawDate,LEFT(TRIM(E177)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UNKNOWN</v>
      </c>
      <c r="E177">
        <f>'Ajoneuvorekisteri-Parse Modern '!G220</f>
        <v>20060101</v>
      </c>
      <c r="F177" t="str">
        <f>LEFT(Table34[[#This Row],[Käyttöönotto]],4)</f>
        <v>2006</v>
      </c>
      <c r="G177" t="str">
        <f>'Ajoneuvorekisteri-Parse Modern '!AA220</f>
        <v>XK8 Convertible Avoauto (AE) 2ov 4196cm3 A</v>
      </c>
      <c r="H177" t="str">
        <f>Ajoneuvorekisteri_Parse_Modern_XK_Range_TieliikenneAvoinData_30_06_2026_csv[[#This Row],[tyyppihyvaksyntanro]]</f>
        <v>-</v>
      </c>
      <c r="I177">
        <f>'Ajoneuvorekisteri-Parse Modern '!M220</f>
        <v>1770</v>
      </c>
      <c r="J177">
        <f t="shared" si="10"/>
        <v>1</v>
      </c>
      <c r="K177">
        <f t="shared" si="11"/>
        <v>0</v>
      </c>
      <c r="L177">
        <f t="shared" si="12"/>
        <v>0</v>
      </c>
      <c r="M177">
        <f t="shared" si="13"/>
        <v>1</v>
      </c>
      <c r="N177">
        <f>IF(AND(Table34[[#This Row],[Coupe]]&lt;&gt;1, Table34[[#This Row],[Convertible]]&lt;&gt;1), 1, 0)</f>
        <v>0</v>
      </c>
      <c r="O177" t="str">
        <f t="shared" si="14"/>
        <v>Convertible</v>
      </c>
    </row>
    <row r="178" spans="1:15" x14ac:dyDescent="0.25">
      <c r="A178">
        <f>'Ajoneuvorekisteri-Parse Modern '!AO188</f>
        <v>3216666</v>
      </c>
      <c r="B178" t="str">
        <f>'Ajoneuvorekisteri-Parse Modern '!AN188</f>
        <v>SAJAA43P17</v>
      </c>
      <c r="C178" t="str" cm="1">
        <f t="array" ref="C178">_xlfn.LET(_xlpm.v,UPPER(SUBSTITUTE(CLEAN(TRIM(B178)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X150_2007MY_MARKET_A_TRANS_A_BODY_43_EMISSION_P_CHECK_1</v>
      </c>
      <c r="D178" t="str" cm="1">
        <f t="array" ref="D178">_xlfn.LET(_xlpm.vin,SUBSTITUTE(CLEAN(TRIM(B178)),CHAR(160),""),_xlpm.rawDate,LEFT(TRIM(E178)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178">
        <f>'Ajoneuvorekisteri-Parse Modern '!G188</f>
        <v>20060327</v>
      </c>
      <c r="F178" t="str">
        <f>LEFT(Table34[[#This Row],[Käyttöönotto]],4)</f>
        <v>2006</v>
      </c>
      <c r="G178" t="str">
        <f>'Ajoneuvorekisteri-Parse Modern '!AA188</f>
        <v>XK Coup� (AD) 2ov 4190cm3 A</v>
      </c>
      <c r="H178" t="str">
        <f>Ajoneuvorekisteri_Parse_Modern_XK_Range_TieliikenneAvoinData_30_06_2026_csv[[#This Row],[tyyppihyvaksyntanro]]</f>
        <v>e11*2001/116*0272*01</v>
      </c>
      <c r="I178">
        <f>'Ajoneuvorekisteri-Parse Modern '!M188</f>
        <v>1720</v>
      </c>
      <c r="J178">
        <f t="shared" si="10"/>
        <v>1</v>
      </c>
      <c r="K178">
        <f t="shared" si="11"/>
        <v>0</v>
      </c>
      <c r="L178">
        <f t="shared" si="12"/>
        <v>1</v>
      </c>
      <c r="M178">
        <f t="shared" si="13"/>
        <v>0</v>
      </c>
      <c r="N178">
        <f>IF(AND(Table34[[#This Row],[Coupe]]&lt;&gt;1, Table34[[#This Row],[Convertible]]&lt;&gt;1), 1, 0)</f>
        <v>0</v>
      </c>
      <c r="O178" t="str">
        <f t="shared" si="14"/>
        <v>Coupe</v>
      </c>
    </row>
    <row r="179" spans="1:15" x14ac:dyDescent="0.25">
      <c r="A179">
        <f>'Ajoneuvorekisteri-Parse Modern '!AO161</f>
        <v>2840108</v>
      </c>
      <c r="B179" t="str">
        <f>'Ajoneuvorekisteri-Parse Modern '!AN161</f>
        <v>SAJAA43P47</v>
      </c>
      <c r="C179" t="str" cm="1">
        <f t="array" ref="C179">_xlfn.LET(_xlpm.v,UPPER(SUBSTITUTE(CLEAN(TRIM(B179)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X150_2007MY_MARKET_A_TRANS_A_BODY_43_EMISSION_P_CHECK_4</v>
      </c>
      <c r="D179" t="str" cm="1">
        <f t="array" ref="D179">_xlfn.LET(_xlpm.vin,SUBSTITUTE(CLEAN(TRIM(B179)),CHAR(160),""),_xlpm.rawDate,LEFT(TRIM(E179)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179">
        <f>'Ajoneuvorekisteri-Parse Modern '!G161</f>
        <v>20060330</v>
      </c>
      <c r="F179" t="str">
        <f>LEFT(Table34[[#This Row],[Käyttöönotto]],4)</f>
        <v>2006</v>
      </c>
      <c r="G179" t="str">
        <f>'Ajoneuvorekisteri-Parse Modern '!AA161</f>
        <v>XK Coup� (AD) 2ov 4190cm3 A</v>
      </c>
      <c r="H179" t="str">
        <f>Ajoneuvorekisteri_Parse_Modern_XK_Range_TieliikenneAvoinData_30_06_2026_csv[[#This Row],[tyyppihyvaksyntanro]]</f>
        <v>e11*95/54*0062*02</v>
      </c>
      <c r="I179">
        <f>'Ajoneuvorekisteri-Parse Modern '!M161</f>
        <v>1720</v>
      </c>
      <c r="J179">
        <f t="shared" si="10"/>
        <v>1</v>
      </c>
      <c r="K179">
        <f t="shared" si="11"/>
        <v>0</v>
      </c>
      <c r="L179">
        <f t="shared" si="12"/>
        <v>1</v>
      </c>
      <c r="M179">
        <f t="shared" si="13"/>
        <v>0</v>
      </c>
      <c r="N179">
        <f>IF(AND(Table34[[#This Row],[Coupe]]&lt;&gt;1, Table34[[#This Row],[Convertible]]&lt;&gt;1), 1, 0)</f>
        <v>0</v>
      </c>
      <c r="O179" t="str">
        <f t="shared" si="14"/>
        <v>Coupe</v>
      </c>
    </row>
    <row r="180" spans="1:15" x14ac:dyDescent="0.25">
      <c r="A180">
        <f>'Ajoneuvorekisteri-Parse Modern '!AO29</f>
        <v>968479</v>
      </c>
      <c r="B180" t="str">
        <f>'Ajoneuvorekisteri-Parse Modern '!AN29</f>
        <v>SAJAA44P77</v>
      </c>
      <c r="C180" t="str" cm="1">
        <f t="array" ref="C180">_xlfn.LET(_xlpm.v,UPPER(SUBSTITUTE(CLEAN(TRIM(B180)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X150_2007MY_MARKET_A_TRANS_A_BODY_44_EMISSION_P_CHECK_7</v>
      </c>
      <c r="D180" t="str" cm="1">
        <f t="array" ref="D180">_xlfn.LET(_xlpm.vin,SUBSTITUTE(CLEAN(TRIM(B180)),CHAR(160),""),_xlpm.rawDate,LEFT(TRIM(E180)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180">
        <f>'Ajoneuvorekisteri-Parse Modern '!G29</f>
        <v>20060505</v>
      </c>
      <c r="F180" t="str">
        <f>LEFT(Table34[[#This Row],[Käyttöönotto]],4)</f>
        <v>2006</v>
      </c>
      <c r="G180" t="str">
        <f>'Ajoneuvorekisteri-Parse Modern '!AA29</f>
        <v>2D CONVERTIBLE XK 4.2 AUTOMATIC QQ6/275</v>
      </c>
      <c r="H180" t="str">
        <f>Ajoneuvorekisteri_Parse_Modern_XK_Range_TieliikenneAvoinData_30_06_2026_csv[[#This Row],[tyyppihyvaksyntanro]]</f>
        <v/>
      </c>
      <c r="I180">
        <f>'Ajoneuvorekisteri-Parse Modern '!M29</f>
        <v>1735</v>
      </c>
      <c r="J180">
        <f t="shared" si="10"/>
        <v>1</v>
      </c>
      <c r="K180">
        <f t="shared" si="11"/>
        <v>0</v>
      </c>
      <c r="L180">
        <f t="shared" si="12"/>
        <v>0</v>
      </c>
      <c r="M180">
        <f t="shared" si="13"/>
        <v>1</v>
      </c>
      <c r="N180">
        <f>IF(AND(Table34[[#This Row],[Coupe]]&lt;&gt;1, Table34[[#This Row],[Convertible]]&lt;&gt;1), 1, 0)</f>
        <v>0</v>
      </c>
      <c r="O180" t="str">
        <f t="shared" si="14"/>
        <v>Convertible</v>
      </c>
    </row>
    <row r="181" spans="1:15" x14ac:dyDescent="0.25">
      <c r="A181">
        <f>'Ajoneuvorekisteri-Parse Modern '!AO17</f>
        <v>608373</v>
      </c>
      <c r="B181" t="str">
        <f>'Ajoneuvorekisteri-Parse Modern '!AN17</f>
        <v>SAJAA43P07</v>
      </c>
      <c r="C181" t="str" cm="1">
        <f t="array" ref="C181">_xlfn.LET(_xlpm.v,UPPER(SUBSTITUTE(CLEAN(TRIM(B181)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X150_2007MY_MARKET_A_TRANS_A_BODY_43_EMISSION_P_CHECK_0</v>
      </c>
      <c r="D181" t="str" cm="1">
        <f t="array" ref="D181">_xlfn.LET(_xlpm.vin,SUBSTITUTE(CLEAN(TRIM(B181)),CHAR(160),""),_xlpm.rawDate,LEFT(TRIM(E181)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181">
        <f>'Ajoneuvorekisteri-Parse Modern '!G17</f>
        <v>20060516</v>
      </c>
      <c r="F181" t="str">
        <f>LEFT(Table34[[#This Row],[Käyttöönotto]],4)</f>
        <v>2006</v>
      </c>
      <c r="G181" t="str">
        <f>'Ajoneuvorekisteri-Parse Modern '!AA17</f>
        <v>COUPE XK 4.2 AUTOMATIC QQ6/275</v>
      </c>
      <c r="H181" t="str">
        <f>Ajoneuvorekisteri_Parse_Modern_XK_Range_TieliikenneAvoinData_30_06_2026_csv[[#This Row],[tyyppihyvaksyntanro]]</f>
        <v>e11*2001/116*0272*00</v>
      </c>
      <c r="I181">
        <f>'Ajoneuvorekisteri-Parse Modern '!M17</f>
        <v>1720</v>
      </c>
      <c r="J181">
        <f t="shared" si="10"/>
        <v>1</v>
      </c>
      <c r="K181">
        <f t="shared" si="11"/>
        <v>0</v>
      </c>
      <c r="L181">
        <f t="shared" si="12"/>
        <v>1</v>
      </c>
      <c r="M181">
        <f t="shared" si="13"/>
        <v>0</v>
      </c>
      <c r="N181">
        <f>IF(AND(Table34[[#This Row],[Coupe]]&lt;&gt;1, Table34[[#This Row],[Convertible]]&lt;&gt;1), 1, 0)</f>
        <v>0</v>
      </c>
      <c r="O181" t="str">
        <f t="shared" si="14"/>
        <v>Coupe</v>
      </c>
    </row>
    <row r="182" spans="1:15" x14ac:dyDescent="0.25">
      <c r="A182">
        <f>'Ajoneuvorekisteri-Parse Modern '!AO190</f>
        <v>3239059</v>
      </c>
      <c r="B182" t="str">
        <f>'Ajoneuvorekisteri-Parse Modern '!AN190</f>
        <v>SAJAA43P47</v>
      </c>
      <c r="C182" t="str" cm="1">
        <f t="array" ref="C182">_xlfn.LET(_xlpm.v,UPPER(SUBSTITUTE(CLEAN(TRIM(B182)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X150_2007MY_MARKET_A_TRANS_A_BODY_43_EMISSION_P_CHECK_4</v>
      </c>
      <c r="D182" t="str" cm="1">
        <f t="array" ref="D182">_xlfn.LET(_xlpm.vin,SUBSTITUTE(CLEAN(TRIM(B182)),CHAR(160),""),_xlpm.rawDate,LEFT(TRIM(E182)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182">
        <f>'Ajoneuvorekisteri-Parse Modern '!G190</f>
        <v>20060608</v>
      </c>
      <c r="F182" t="str">
        <f>LEFT(Table34[[#This Row],[Käyttöönotto]],4)</f>
        <v>2006</v>
      </c>
      <c r="G182" t="str">
        <f>'Ajoneuvorekisteri-Parse Modern '!AA190</f>
        <v>Jaguar XK Coupe Coup� (AD) 2ov 4196cm3 A</v>
      </c>
      <c r="H182" t="str">
        <f>Ajoneuvorekisteri_Parse_Modern_XK_Range_TieliikenneAvoinData_30_06_2026_csv[[#This Row],[tyyppihyvaksyntanro]]</f>
        <v>e11*2001/116*0272*15</v>
      </c>
      <c r="I182">
        <f>'Ajoneuvorekisteri-Parse Modern '!M190</f>
        <v>1720</v>
      </c>
      <c r="J182">
        <f t="shared" si="10"/>
        <v>1</v>
      </c>
      <c r="K182">
        <f t="shared" si="11"/>
        <v>0</v>
      </c>
      <c r="L182">
        <f t="shared" si="12"/>
        <v>1</v>
      </c>
      <c r="M182">
        <f t="shared" si="13"/>
        <v>0</v>
      </c>
      <c r="N182">
        <f>IF(AND(Table34[[#This Row],[Coupe]]&lt;&gt;1, Table34[[#This Row],[Convertible]]&lt;&gt;1), 1, 0)</f>
        <v>0</v>
      </c>
      <c r="O182" t="str">
        <f t="shared" si="14"/>
        <v>Coupe</v>
      </c>
    </row>
    <row r="183" spans="1:15" x14ac:dyDescent="0.25">
      <c r="A183">
        <f>'Ajoneuvorekisteri-Parse Modern '!AO255</f>
        <v>5062875</v>
      </c>
      <c r="B183" t="str">
        <f>'Ajoneuvorekisteri-Parse Modern '!AN255</f>
        <v>SAJAA44P27</v>
      </c>
      <c r="C183" t="str" cm="1">
        <f t="array" ref="C183">_xlfn.LET(_xlpm.v,UPPER(SUBSTITUTE(CLEAN(TRIM(B183)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X150_2007MY_MARKET_A_TRANS_A_BODY_44_EMISSION_P_CHECK_2</v>
      </c>
      <c r="D183" t="str" cm="1">
        <f t="array" ref="D183">_xlfn.LET(_xlpm.vin,SUBSTITUTE(CLEAN(TRIM(B183)),CHAR(160),""),_xlpm.rawDate,LEFT(TRIM(E183)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183">
        <f>'Ajoneuvorekisteri-Parse Modern '!G255</f>
        <v>20060615</v>
      </c>
      <c r="F183" t="str">
        <f>LEFT(Table34[[#This Row],[Käyttöönotto]],4)</f>
        <v>2006</v>
      </c>
      <c r="G183" t="str">
        <f>'Ajoneuvorekisteri-Parse Modern '!AA255</f>
        <v>XK Avoauto (AE) 2ov 4190cm3 A</v>
      </c>
      <c r="H183" t="str">
        <f>Ajoneuvorekisteri_Parse_Modern_XK_Range_TieliikenneAvoinData_30_06_2026_csv[[#This Row],[tyyppihyvaksyntanro]]</f>
        <v>e11*95/54*0062*05</v>
      </c>
      <c r="I183">
        <f>'Ajoneuvorekisteri-Parse Modern '!M255</f>
        <v>1735</v>
      </c>
      <c r="J183">
        <f t="shared" si="10"/>
        <v>1</v>
      </c>
      <c r="K183">
        <f t="shared" si="11"/>
        <v>0</v>
      </c>
      <c r="L183">
        <f t="shared" si="12"/>
        <v>0</v>
      </c>
      <c r="M183">
        <f t="shared" si="13"/>
        <v>1</v>
      </c>
      <c r="N183">
        <f>IF(AND(Table34[[#This Row],[Coupe]]&lt;&gt;1, Table34[[#This Row],[Convertible]]&lt;&gt;1), 1, 0)</f>
        <v>0</v>
      </c>
      <c r="O183" t="str">
        <f t="shared" si="14"/>
        <v>Convertible</v>
      </c>
    </row>
    <row r="184" spans="1:15" x14ac:dyDescent="0.25">
      <c r="A184">
        <f>'Ajoneuvorekisteri-Parse Modern '!AO249</f>
        <v>4522055</v>
      </c>
      <c r="B184" t="str">
        <f>'Ajoneuvorekisteri-Parse Modern '!AN249</f>
        <v>SAJAA44P37</v>
      </c>
      <c r="C184" t="str" cm="1">
        <f t="array" ref="C184">_xlfn.LET(_xlpm.v,UPPER(SUBSTITUTE(CLEAN(TRIM(B184)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X150_2007MY_MARKET_A_TRANS_A_BODY_44_EMISSION_P_CHECK_3</v>
      </c>
      <c r="D184" t="str" cm="1">
        <f t="array" ref="D184">_xlfn.LET(_xlpm.vin,SUBSTITUTE(CLEAN(TRIM(B184)),CHAR(160),""),_xlpm.rawDate,LEFT(TRIM(E184)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184">
        <f>'Ajoneuvorekisteri-Parse Modern '!G249</f>
        <v>20060619</v>
      </c>
      <c r="F184" t="str">
        <f>LEFT(Table34[[#This Row],[Käyttöönotto]],4)</f>
        <v>2006</v>
      </c>
      <c r="G184" t="str">
        <f>'Ajoneuvorekisteri-Parse Modern '!AA249</f>
        <v>XK Avoauto (AE) 2ov 4190cm3 A</v>
      </c>
      <c r="H184" t="str">
        <f>Ajoneuvorekisteri_Parse_Modern_XK_Range_TieliikenneAvoinData_30_06_2026_csv[[#This Row],[tyyppihyvaksyntanro]]</f>
        <v>e11*95/54*0061*04</v>
      </c>
      <c r="I184">
        <f>'Ajoneuvorekisteri-Parse Modern '!M249</f>
        <v>1735</v>
      </c>
      <c r="J184">
        <f t="shared" si="10"/>
        <v>1</v>
      </c>
      <c r="K184">
        <f t="shared" si="11"/>
        <v>0</v>
      </c>
      <c r="L184">
        <f t="shared" si="12"/>
        <v>0</v>
      </c>
      <c r="M184">
        <f t="shared" si="13"/>
        <v>1</v>
      </c>
      <c r="N184">
        <f>IF(AND(Table34[[#This Row],[Coupe]]&lt;&gt;1, Table34[[#This Row],[Convertible]]&lt;&gt;1), 1, 0)</f>
        <v>0</v>
      </c>
      <c r="O184" t="str">
        <f t="shared" si="14"/>
        <v>Convertible</v>
      </c>
    </row>
    <row r="185" spans="1:15" x14ac:dyDescent="0.25">
      <c r="A185">
        <f>'Ajoneuvorekisteri-Parse Modern '!AO41</f>
        <v>1236186</v>
      </c>
      <c r="B185" t="str">
        <f>'Ajoneuvorekisteri-Parse Modern '!AN41</f>
        <v>SAJAA44P57</v>
      </c>
      <c r="C185" t="str" cm="1">
        <f t="array" ref="C185">_xlfn.LET(_xlpm.v,UPPER(SUBSTITUTE(CLEAN(TRIM(B185)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X150_2007MY_MARKET_A_TRANS_A_BODY_44_EMISSION_P_CHECK_5</v>
      </c>
      <c r="D185" t="str" cm="1">
        <f t="array" ref="D185">_xlfn.LET(_xlpm.vin,SUBSTITUTE(CLEAN(TRIM(B185)),CHAR(160),""),_xlpm.rawDate,LEFT(TRIM(E185)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185">
        <f>'Ajoneuvorekisteri-Parse Modern '!G41</f>
        <v>20060621</v>
      </c>
      <c r="F185" t="str">
        <f>LEFT(Table34[[#This Row],[Käyttöönotto]],4)</f>
        <v>2006</v>
      </c>
      <c r="G185" t="str">
        <f>'Ajoneuvorekisteri-Parse Modern '!AA41</f>
        <v>2D CONVERTIBLE XK 4.2 AUTOMATIC QQ6/275</v>
      </c>
      <c r="H185" t="str">
        <f>Ajoneuvorekisteri_Parse_Modern_XK_Range_TieliikenneAvoinData_30_06_2026_csv[[#This Row],[tyyppihyvaksyntanro]]</f>
        <v>e11*95/54*0061*09</v>
      </c>
      <c r="I185">
        <f>'Ajoneuvorekisteri-Parse Modern '!M41</f>
        <v>1735</v>
      </c>
      <c r="J185">
        <f t="shared" si="10"/>
        <v>1</v>
      </c>
      <c r="K185">
        <f t="shared" si="11"/>
        <v>0</v>
      </c>
      <c r="L185">
        <f t="shared" si="12"/>
        <v>0</v>
      </c>
      <c r="M185">
        <f t="shared" si="13"/>
        <v>1</v>
      </c>
      <c r="N185">
        <f>IF(AND(Table34[[#This Row],[Coupe]]&lt;&gt;1, Table34[[#This Row],[Convertible]]&lt;&gt;1), 1, 0)</f>
        <v>0</v>
      </c>
      <c r="O185" t="str">
        <f t="shared" si="14"/>
        <v>Convertible</v>
      </c>
    </row>
    <row r="186" spans="1:15" x14ac:dyDescent="0.25">
      <c r="A186">
        <f>'Ajoneuvorekisteri-Parse Modern '!AO105</f>
        <v>2301018</v>
      </c>
      <c r="B186" t="str">
        <f>'Ajoneuvorekisteri-Parse Modern '!AN105</f>
        <v>SAJAA44P47</v>
      </c>
      <c r="C186" t="str" cm="1">
        <f t="array" ref="C186">_xlfn.LET(_xlpm.v,UPPER(SUBSTITUTE(CLEAN(TRIM(B186)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X150_2007MY_MARKET_A_TRANS_A_BODY_44_EMISSION_P_CHECK_4</v>
      </c>
      <c r="D186" t="str" cm="1">
        <f t="array" ref="D186">_xlfn.LET(_xlpm.vin,SUBSTITUTE(CLEAN(TRIM(B186)),CHAR(160),""),_xlpm.rawDate,LEFT(TRIM(E186)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186">
        <f>'Ajoneuvorekisteri-Parse Modern '!G105</f>
        <v>20060622</v>
      </c>
      <c r="F186" t="str">
        <f>LEFT(Table34[[#This Row],[Käyttöönotto]],4)</f>
        <v>2006</v>
      </c>
      <c r="G186" t="str">
        <f>'Ajoneuvorekisteri-Parse Modern '!AA105</f>
        <v>XK Avoauto (AE) 2ov 4190cm3 A</v>
      </c>
      <c r="H186" t="str">
        <f>Ajoneuvorekisteri_Parse_Modern_XK_Range_TieliikenneAvoinData_30_06_2026_csv[[#This Row],[tyyppihyvaksyntanro]]</f>
        <v>e11*95/54*0062*07</v>
      </c>
      <c r="I186">
        <f>'Ajoneuvorekisteri-Parse Modern '!M105</f>
        <v>1735</v>
      </c>
      <c r="J186">
        <f t="shared" si="10"/>
        <v>1</v>
      </c>
      <c r="K186">
        <f t="shared" si="11"/>
        <v>0</v>
      </c>
      <c r="L186">
        <f t="shared" si="12"/>
        <v>0</v>
      </c>
      <c r="M186">
        <f t="shared" si="13"/>
        <v>1</v>
      </c>
      <c r="N186">
        <f>IF(AND(Table34[[#This Row],[Coupe]]&lt;&gt;1, Table34[[#This Row],[Convertible]]&lt;&gt;1), 1, 0)</f>
        <v>0</v>
      </c>
      <c r="O186" t="str">
        <f t="shared" si="14"/>
        <v>Convertible</v>
      </c>
    </row>
    <row r="187" spans="1:15" x14ac:dyDescent="0.25">
      <c r="A187">
        <f>'Ajoneuvorekisteri-Parse Modern '!AO203</f>
        <v>3394863</v>
      </c>
      <c r="B187" t="str">
        <f>'Ajoneuvorekisteri-Parse Modern '!AN203</f>
        <v>SAJAA43P57</v>
      </c>
      <c r="C187" t="str" cm="1">
        <f t="array" ref="C187">_xlfn.LET(_xlpm.v,UPPER(SUBSTITUTE(CLEAN(TRIM(B187)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X150_2007MY_MARKET_A_TRANS_A_BODY_43_EMISSION_P_CHECK_5</v>
      </c>
      <c r="D187" t="str" cm="1">
        <f t="array" ref="D187">_xlfn.LET(_xlpm.vin,SUBSTITUTE(CLEAN(TRIM(B187)),CHAR(160),""),_xlpm.rawDate,LEFT(TRIM(E187)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187">
        <f>'Ajoneuvorekisteri-Parse Modern '!G203</f>
        <v>20060622</v>
      </c>
      <c r="F187" t="str">
        <f>LEFT(Table34[[#This Row],[Käyttöönotto]],4)</f>
        <v>2006</v>
      </c>
      <c r="G187" t="str">
        <f>'Ajoneuvorekisteri-Parse Modern '!AA203</f>
        <v>XK Coup� (AD) 2ov 4190cm3 A</v>
      </c>
      <c r="H187" t="str">
        <f>Ajoneuvorekisteri_Parse_Modern_XK_Range_TieliikenneAvoinData_30_06_2026_csv[[#This Row],[tyyppihyvaksyntanro]]</f>
        <v>e11*2001/116*0272*02</v>
      </c>
      <c r="I187">
        <f>'Ajoneuvorekisteri-Parse Modern '!M203</f>
        <v>1720</v>
      </c>
      <c r="J187">
        <f t="shared" si="10"/>
        <v>1</v>
      </c>
      <c r="K187">
        <f t="shared" si="11"/>
        <v>0</v>
      </c>
      <c r="L187">
        <f t="shared" si="12"/>
        <v>1</v>
      </c>
      <c r="M187">
        <f t="shared" si="13"/>
        <v>0</v>
      </c>
      <c r="N187">
        <f>IF(AND(Table34[[#This Row],[Coupe]]&lt;&gt;1, Table34[[#This Row],[Convertible]]&lt;&gt;1), 1, 0)</f>
        <v>0</v>
      </c>
      <c r="O187" t="str">
        <f t="shared" si="14"/>
        <v>Coupe</v>
      </c>
    </row>
    <row r="188" spans="1:15" x14ac:dyDescent="0.25">
      <c r="A188">
        <f>'Ajoneuvorekisteri-Parse Modern '!AO239</f>
        <v>4126118</v>
      </c>
      <c r="B188" t="str">
        <f>'Ajoneuvorekisteri-Parse Modern '!AN239</f>
        <v>SAJAA44P67</v>
      </c>
      <c r="C188" t="str" cm="1">
        <f t="array" ref="C188">_xlfn.LET(_xlpm.v,UPPER(SUBSTITUTE(CLEAN(TRIM(B188)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X150_2007MY_MARKET_A_TRANS_A_BODY_44_EMISSION_P_CHECK_6</v>
      </c>
      <c r="D188" t="str" cm="1">
        <f t="array" ref="D188">_xlfn.LET(_xlpm.vin,SUBSTITUTE(CLEAN(TRIM(B188)),CHAR(160),""),_xlpm.rawDate,LEFT(TRIM(E188)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188">
        <f>'Ajoneuvorekisteri-Parse Modern '!G239</f>
        <v>20060622</v>
      </c>
      <c r="F188" t="str">
        <f>LEFT(Table34[[#This Row],[Käyttöönotto]],4)</f>
        <v>2006</v>
      </c>
      <c r="G188" t="str">
        <f>'Ajoneuvorekisteri-Parse Modern '!AA239</f>
        <v>XK Avoauto (AE) 2ov 4190cm3 A</v>
      </c>
      <c r="H188" t="str">
        <f>Ajoneuvorekisteri_Parse_Modern_XK_Range_TieliikenneAvoinData_30_06_2026_csv[[#This Row],[tyyppihyvaksyntanro]]</f>
        <v>e11*2001/116*0272*00</v>
      </c>
      <c r="I188">
        <f>'Ajoneuvorekisteri-Parse Modern '!M239</f>
        <v>1735</v>
      </c>
      <c r="J188">
        <f t="shared" si="10"/>
        <v>1</v>
      </c>
      <c r="K188">
        <f t="shared" si="11"/>
        <v>0</v>
      </c>
      <c r="L188">
        <f t="shared" si="12"/>
        <v>0</v>
      </c>
      <c r="M188">
        <f t="shared" si="13"/>
        <v>1</v>
      </c>
      <c r="N188">
        <f>IF(AND(Table34[[#This Row],[Coupe]]&lt;&gt;1, Table34[[#This Row],[Convertible]]&lt;&gt;1), 1, 0)</f>
        <v>0</v>
      </c>
      <c r="O188" t="str">
        <f t="shared" si="14"/>
        <v>Convertible</v>
      </c>
    </row>
    <row r="189" spans="1:15" x14ac:dyDescent="0.25">
      <c r="A189">
        <f>'Ajoneuvorekisteri-Parse Modern '!AO129</f>
        <v>2533914</v>
      </c>
      <c r="B189" t="str">
        <f>'Ajoneuvorekisteri-Parse Modern '!AN129</f>
        <v>SAJAA43P57</v>
      </c>
      <c r="C189" t="str" cm="1">
        <f t="array" ref="C189">_xlfn.LET(_xlpm.v,UPPER(SUBSTITUTE(CLEAN(TRIM(B189)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X150_2007MY_MARKET_A_TRANS_A_BODY_43_EMISSION_P_CHECK_5</v>
      </c>
      <c r="D189" t="str" cm="1">
        <f t="array" ref="D189">_xlfn.LET(_xlpm.vin,SUBSTITUTE(CLEAN(TRIM(B189)),CHAR(160),""),_xlpm.rawDate,LEFT(TRIM(E189)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189">
        <f>'Ajoneuvorekisteri-Parse Modern '!G129</f>
        <v>20060628</v>
      </c>
      <c r="F189" t="str">
        <f>LEFT(Table34[[#This Row],[Käyttöönotto]],4)</f>
        <v>2006</v>
      </c>
      <c r="G189" t="str">
        <f>'Ajoneuvorekisteri-Parse Modern '!AA129</f>
        <v>XK Coup� (AD) 2ov 4190cm3</v>
      </c>
      <c r="H189" t="str">
        <f>Ajoneuvorekisteri_Parse_Modern_XK_Range_TieliikenneAvoinData_30_06_2026_csv[[#This Row],[tyyppihyvaksyntanro]]</f>
        <v>e11*2001/116*0272*01</v>
      </c>
      <c r="I189">
        <f>'Ajoneuvorekisteri-Parse Modern '!M129</f>
        <v>1720</v>
      </c>
      <c r="J189">
        <f t="shared" si="10"/>
        <v>1</v>
      </c>
      <c r="K189">
        <f t="shared" si="11"/>
        <v>0</v>
      </c>
      <c r="L189">
        <f t="shared" si="12"/>
        <v>1</v>
      </c>
      <c r="M189">
        <f t="shared" si="13"/>
        <v>0</v>
      </c>
      <c r="N189">
        <f>IF(AND(Table34[[#This Row],[Coupe]]&lt;&gt;1, Table34[[#This Row],[Convertible]]&lt;&gt;1), 1, 0)</f>
        <v>0</v>
      </c>
      <c r="O189" t="str">
        <f t="shared" si="14"/>
        <v>Coupe</v>
      </c>
    </row>
    <row r="190" spans="1:15" x14ac:dyDescent="0.25">
      <c r="A190">
        <f>'Ajoneuvorekisteri-Parse Modern '!AO71</f>
        <v>1942934</v>
      </c>
      <c r="B190" t="str">
        <f>'Ajoneuvorekisteri-Parse Modern '!AN71</f>
        <v>SAJAA43P27</v>
      </c>
      <c r="C190" t="str" cm="1">
        <f t="array" ref="C190">_xlfn.LET(_xlpm.v,UPPER(SUBSTITUTE(CLEAN(TRIM(B190)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X150_2007MY_MARKET_A_TRANS_A_BODY_43_EMISSION_P_CHECK_2</v>
      </c>
      <c r="D190" t="str" cm="1">
        <f t="array" ref="D190">_xlfn.LET(_xlpm.vin,SUBSTITUTE(CLEAN(TRIM(B190)),CHAR(160),""),_xlpm.rawDate,LEFT(TRIM(E190)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190">
        <f>'Ajoneuvorekisteri-Parse Modern '!G71</f>
        <v>20060629</v>
      </c>
      <c r="F190" t="str">
        <f>LEFT(Table34[[#This Row],[Käyttöönotto]],4)</f>
        <v>2006</v>
      </c>
      <c r="G190" t="str">
        <f>'Ajoneuvorekisteri-Parse Modern '!AA71</f>
        <v>XK Coup� (AD) 2ov 4190cm3 A</v>
      </c>
      <c r="H190" t="str">
        <f>Ajoneuvorekisteri_Parse_Modern_XK_Range_TieliikenneAvoinData_30_06_2026_csv[[#This Row],[tyyppihyvaksyntanro]]</f>
        <v>e11*2001/116*0272*00</v>
      </c>
      <c r="I190">
        <f>'Ajoneuvorekisteri-Parse Modern '!M71</f>
        <v>1720</v>
      </c>
      <c r="J190">
        <f t="shared" si="10"/>
        <v>1</v>
      </c>
      <c r="K190">
        <f t="shared" si="11"/>
        <v>0</v>
      </c>
      <c r="L190">
        <f t="shared" si="12"/>
        <v>1</v>
      </c>
      <c r="M190">
        <f t="shared" si="13"/>
        <v>0</v>
      </c>
      <c r="N190">
        <f>IF(AND(Table34[[#This Row],[Coupe]]&lt;&gt;1, Table34[[#This Row],[Convertible]]&lt;&gt;1), 1, 0)</f>
        <v>0</v>
      </c>
      <c r="O190" t="str">
        <f t="shared" si="14"/>
        <v>Coupe</v>
      </c>
    </row>
    <row r="191" spans="1:15" x14ac:dyDescent="0.25">
      <c r="A191">
        <f>'Ajoneuvorekisteri-Parse Modern '!AO79</f>
        <v>2042807</v>
      </c>
      <c r="B191" t="str">
        <f>'Ajoneuvorekisteri-Parse Modern '!AN79</f>
        <v>SAJAA43P17</v>
      </c>
      <c r="C191" t="str" cm="1">
        <f t="array" ref="C191">_xlfn.LET(_xlpm.v,UPPER(SUBSTITUTE(CLEAN(TRIM(B191)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X150_2007MY_MARKET_A_TRANS_A_BODY_43_EMISSION_P_CHECK_1</v>
      </c>
      <c r="D191" t="str" cm="1">
        <f t="array" ref="D191">_xlfn.LET(_xlpm.vin,SUBSTITUTE(CLEAN(TRIM(B191)),CHAR(160),""),_xlpm.rawDate,LEFT(TRIM(E191)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191">
        <f>'Ajoneuvorekisteri-Parse Modern '!G79</f>
        <v>20060629</v>
      </c>
      <c r="F191" t="str">
        <f>LEFT(Table34[[#This Row],[Käyttöönotto]],4)</f>
        <v>2006</v>
      </c>
      <c r="G191" t="str">
        <f>'Ajoneuvorekisteri-Parse Modern '!AA79</f>
        <v>XK Coup� (AD) 2ov 4196cm3 A</v>
      </c>
      <c r="H191" t="str">
        <f>Ajoneuvorekisteri_Parse_Modern_XK_Range_TieliikenneAvoinData_30_06_2026_csv[[#This Row],[tyyppihyvaksyntanro]]</f>
        <v/>
      </c>
      <c r="I191">
        <f>'Ajoneuvorekisteri-Parse Modern '!M79</f>
        <v>1720</v>
      </c>
      <c r="J191">
        <f t="shared" si="10"/>
        <v>1</v>
      </c>
      <c r="K191">
        <f t="shared" si="11"/>
        <v>0</v>
      </c>
      <c r="L191">
        <f t="shared" si="12"/>
        <v>1</v>
      </c>
      <c r="M191">
        <f t="shared" si="13"/>
        <v>0</v>
      </c>
      <c r="N191">
        <f>IF(AND(Table34[[#This Row],[Coupe]]&lt;&gt;1, Table34[[#This Row],[Convertible]]&lt;&gt;1), 1, 0)</f>
        <v>0</v>
      </c>
      <c r="O191" t="str">
        <f t="shared" si="14"/>
        <v>Coupe</v>
      </c>
    </row>
    <row r="192" spans="1:15" x14ac:dyDescent="0.25">
      <c r="A192">
        <f>'Ajoneuvorekisteri-Parse Modern '!AO181</f>
        <v>3157590</v>
      </c>
      <c r="B192" t="str">
        <f>'Ajoneuvorekisteri-Parse Modern '!AN181</f>
        <v>SAJAA43P97</v>
      </c>
      <c r="C192" t="str" cm="1">
        <f t="array" ref="C192">_xlfn.LET(_xlpm.v,UPPER(SUBSTITUTE(CLEAN(TRIM(B192)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X150_2007MY_MARKET_A_TRANS_A_BODY_43_EMISSION_P_CHECK_9</v>
      </c>
      <c r="D192" t="str" cm="1">
        <f t="array" ref="D192">_xlfn.LET(_xlpm.vin,SUBSTITUTE(CLEAN(TRIM(B192)),CHAR(160),""),_xlpm.rawDate,LEFT(TRIM(E192)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192">
        <f>'Ajoneuvorekisteri-Parse Modern '!G181</f>
        <v>20060721</v>
      </c>
      <c r="F192" t="str">
        <f>LEFT(Table34[[#This Row],[Käyttöönotto]],4)</f>
        <v>2006</v>
      </c>
      <c r="G192" t="str">
        <f>'Ajoneuvorekisteri-Parse Modern '!AA181</f>
        <v>XK Coup� (AD) 2ov 4190cm3 A</v>
      </c>
      <c r="H192" t="str">
        <f>Ajoneuvorekisteri_Parse_Modern_XK_Range_TieliikenneAvoinData_30_06_2026_csv[[#This Row],[tyyppihyvaksyntanro]]</f>
        <v>e11*2001/116*0272*01</v>
      </c>
      <c r="I192">
        <f>'Ajoneuvorekisteri-Parse Modern '!M181</f>
        <v>1720</v>
      </c>
      <c r="J192">
        <f t="shared" si="10"/>
        <v>1</v>
      </c>
      <c r="K192">
        <f t="shared" si="11"/>
        <v>0</v>
      </c>
      <c r="L192">
        <f t="shared" si="12"/>
        <v>1</v>
      </c>
      <c r="M192">
        <f t="shared" si="13"/>
        <v>0</v>
      </c>
      <c r="N192">
        <f>IF(AND(Table34[[#This Row],[Coupe]]&lt;&gt;1, Table34[[#This Row],[Convertible]]&lt;&gt;1), 1, 0)</f>
        <v>0</v>
      </c>
      <c r="O192" t="str">
        <f t="shared" si="14"/>
        <v>Coupe</v>
      </c>
    </row>
    <row r="193" spans="1:15" x14ac:dyDescent="0.25">
      <c r="A193">
        <f>'Ajoneuvorekisteri-Parse Modern '!AO150</f>
        <v>2701447</v>
      </c>
      <c r="B193" t="str">
        <f>'Ajoneuvorekisteri-Parse Modern '!AN150</f>
        <v>SAJAA43P27</v>
      </c>
      <c r="C193" t="str" cm="1">
        <f t="array" ref="C193">_xlfn.LET(_xlpm.v,UPPER(SUBSTITUTE(CLEAN(TRIM(B193)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X150_2007MY_MARKET_A_TRANS_A_BODY_43_EMISSION_P_CHECK_2</v>
      </c>
      <c r="D193" t="str" cm="1">
        <f t="array" ref="D193">_xlfn.LET(_xlpm.vin,SUBSTITUTE(CLEAN(TRIM(B193)),CHAR(160),""),_xlpm.rawDate,LEFT(TRIM(E193)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193">
        <f>'Ajoneuvorekisteri-Parse Modern '!G150</f>
        <v>20060831</v>
      </c>
      <c r="F193" t="str">
        <f>LEFT(Table34[[#This Row],[Käyttöönotto]],4)</f>
        <v>2006</v>
      </c>
      <c r="G193" t="str">
        <f>'Ajoneuvorekisteri-Parse Modern '!AA150</f>
        <v>XK Coup� (AD) 2ov 4196cm3 A</v>
      </c>
      <c r="H193" t="str">
        <f>Ajoneuvorekisteri_Parse_Modern_XK_Range_TieliikenneAvoinData_30_06_2026_csv[[#This Row],[tyyppihyvaksyntanro]]</f>
        <v/>
      </c>
      <c r="I193">
        <f>'Ajoneuvorekisteri-Parse Modern '!M150</f>
        <v>1720</v>
      </c>
      <c r="J193">
        <f t="shared" si="10"/>
        <v>1</v>
      </c>
      <c r="K193">
        <f t="shared" si="11"/>
        <v>0</v>
      </c>
      <c r="L193">
        <f t="shared" si="12"/>
        <v>1</v>
      </c>
      <c r="M193">
        <f t="shared" si="13"/>
        <v>0</v>
      </c>
      <c r="N193">
        <f>IF(AND(Table34[[#This Row],[Coupe]]&lt;&gt;1, Table34[[#This Row],[Convertible]]&lt;&gt;1), 1, 0)</f>
        <v>0</v>
      </c>
      <c r="O193" t="str">
        <f t="shared" si="14"/>
        <v>Coupe</v>
      </c>
    </row>
    <row r="194" spans="1:15" x14ac:dyDescent="0.25">
      <c r="A194">
        <f>'Ajoneuvorekisteri-Parse Modern '!AO18</f>
        <v>608560</v>
      </c>
      <c r="B194" t="str">
        <f>'Ajoneuvorekisteri-Parse Modern '!AN18</f>
        <v>SAJAA44PX7</v>
      </c>
      <c r="C194" t="str" cm="1">
        <f t="array" ref="C194">_xlfn.LET(_xlpm.v,UPPER(SUBSTITUTE(CLEAN(TRIM(B194)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X150_2007MY_MARKET_A_TRANS_A_BODY_44_EMISSION_P_CHECK_X</v>
      </c>
      <c r="D194" t="str" cm="1">
        <f t="array" ref="D194">_xlfn.LET(_xlpm.vin,SUBSTITUTE(CLEAN(TRIM(B194)),CHAR(160),""),_xlpm.rawDate,LEFT(TRIM(E194)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194">
        <f>'Ajoneuvorekisteri-Parse Modern '!G18</f>
        <v>20061005</v>
      </c>
      <c r="F194" t="str">
        <f>LEFT(Table34[[#This Row],[Käyttöönotto]],4)</f>
        <v>2006</v>
      </c>
      <c r="G194" t="str">
        <f>'Ajoneuvorekisteri-Parse Modern '!AA18</f>
        <v>2D CONVERTIBLE XK 4.2 AUTOMATIC QQ6/275</v>
      </c>
      <c r="H194" t="str">
        <f>Ajoneuvorekisteri_Parse_Modern_XK_Range_TieliikenneAvoinData_30_06_2026_csv[[#This Row],[tyyppihyvaksyntanro]]</f>
        <v>e11*2001/116*0272*01</v>
      </c>
      <c r="I194">
        <f>'Ajoneuvorekisteri-Parse Modern '!M18</f>
        <v>1735</v>
      </c>
      <c r="J194">
        <f t="shared" ref="J194:J257" si="15">IF(AND(
    OR(
        ISNUMBER(SEARCH("XK ", G194)),
        ISNUMBER(SEARCH("XK8", G194))
    ),
    F194 &gt; 2005
), 1, 0)</f>
        <v>1</v>
      </c>
      <c r="K194">
        <f t="shared" ref="K194:K257" si="16">IF(OR(
    ISNUMBER(SEARCH("XKR", G194)),
), 1, 0)</f>
        <v>0</v>
      </c>
      <c r="L194">
        <f t="shared" ref="L194:L257" si="17">IF(OR(
    ISNUMBER(SEARCH("COUPE", G194)),
    ISNUMBER(SEARCH("COUPÉ", G194)),
    ISNUMBER(SEARCH("COUP�", G194))
), 1, 0)</f>
        <v>0</v>
      </c>
      <c r="M194">
        <f t="shared" ref="M194:M257" si="18">IF(OR(
    ISNUMBER(SEARCH("CONVERTIBLE",G194)),
    ISNUMBER(SEARCH("AVOAUTO",G194)),
    ISNUMBER(SEARCH("AVO",G194)),
    ISNUMBER(SEARCH("CABRIO",G194))
),1,0)</f>
        <v>1</v>
      </c>
      <c r="N194">
        <f>IF(AND(Table34[[#This Row],[Coupe]]&lt;&gt;1, Table34[[#This Row],[Convertible]]&lt;&gt;1), 1, 0)</f>
        <v>0</v>
      </c>
      <c r="O194" t="str">
        <f t="shared" ref="O194:O257" si="19">IF(L194=1, "Coupe", IF(M194=1, "Convertible", "Unknown"))</f>
        <v>Convertible</v>
      </c>
    </row>
    <row r="195" spans="1:15" x14ac:dyDescent="0.25">
      <c r="A195">
        <f>'Ajoneuvorekisteri-Parse Modern '!AO172</f>
        <v>2968213</v>
      </c>
      <c r="B195" t="str">
        <f>'Ajoneuvorekisteri-Parse Modern '!AN172</f>
        <v>SAJAA43P57</v>
      </c>
      <c r="C195" t="str" cm="1">
        <f t="array" ref="C195">_xlfn.LET(_xlpm.v,UPPER(SUBSTITUTE(CLEAN(TRIM(B195)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X150_2007MY_MARKET_A_TRANS_A_BODY_43_EMISSION_P_CHECK_5</v>
      </c>
      <c r="D195" t="str" cm="1">
        <f t="array" ref="D195">_xlfn.LET(_xlpm.vin,SUBSTITUTE(CLEAN(TRIM(B195)),CHAR(160),""),_xlpm.rawDate,LEFT(TRIM(E195)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195">
        <f>'Ajoneuvorekisteri-Parse Modern '!G172</f>
        <v>20061009</v>
      </c>
      <c r="F195" t="str">
        <f>LEFT(Table34[[#This Row],[Käyttöönotto]],4)</f>
        <v>2006</v>
      </c>
      <c r="G195" t="str">
        <f>'Ajoneuvorekisteri-Parse Modern '!AA172</f>
        <v>XK Coup� (AD) 2ov 4190cm3</v>
      </c>
      <c r="H195" t="str">
        <f>Ajoneuvorekisteri_Parse_Modern_XK_Range_TieliikenneAvoinData_30_06_2026_csv[[#This Row],[tyyppihyvaksyntanro]]</f>
        <v>e11*2001/116*0272*03</v>
      </c>
      <c r="I195">
        <f>'Ajoneuvorekisteri-Parse Modern '!M172</f>
        <v>1720</v>
      </c>
      <c r="J195">
        <f t="shared" si="15"/>
        <v>1</v>
      </c>
      <c r="K195">
        <f t="shared" si="16"/>
        <v>0</v>
      </c>
      <c r="L195">
        <f t="shared" si="17"/>
        <v>1</v>
      </c>
      <c r="M195">
        <f t="shared" si="18"/>
        <v>0</v>
      </c>
      <c r="N195">
        <f>IF(AND(Table34[[#This Row],[Coupe]]&lt;&gt;1, Table34[[#This Row],[Convertible]]&lt;&gt;1), 1, 0)</f>
        <v>0</v>
      </c>
      <c r="O195" t="str">
        <f t="shared" si="19"/>
        <v>Coupe</v>
      </c>
    </row>
    <row r="196" spans="1:15" x14ac:dyDescent="0.25">
      <c r="A196">
        <f>'Ajoneuvorekisteri-Parse Modern '!AO192</f>
        <v>3275914</v>
      </c>
      <c r="B196" t="str">
        <f>'Ajoneuvorekisteri-Parse Modern '!AN192</f>
        <v>SAJAA43P77</v>
      </c>
      <c r="C196" t="str" cm="1">
        <f t="array" ref="C196">_xlfn.LET(_xlpm.v,UPPER(SUBSTITUTE(CLEAN(TRIM(B196)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X150_2007MY_MARKET_A_TRANS_A_BODY_43_EMISSION_P_CHECK_7</v>
      </c>
      <c r="D196" t="str" cm="1">
        <f t="array" ref="D196">_xlfn.LET(_xlpm.vin,SUBSTITUTE(CLEAN(TRIM(B196)),CHAR(160),""),_xlpm.rawDate,LEFT(TRIM(E196)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196">
        <f>'Ajoneuvorekisteri-Parse Modern '!G192</f>
        <v>20061011</v>
      </c>
      <c r="F196" t="str">
        <f>LEFT(Table34[[#This Row],[Käyttöönotto]],4)</f>
        <v>2006</v>
      </c>
      <c r="G196" t="str">
        <f>'Ajoneuvorekisteri-Parse Modern '!AA192</f>
        <v>Jaguar XK Coupe Coup� (AD) 2ov 4196cm3 A</v>
      </c>
      <c r="H196" t="str">
        <f>Ajoneuvorekisteri_Parse_Modern_XK_Range_TieliikenneAvoinData_30_06_2026_csv[[#This Row],[tyyppihyvaksyntanro]]</f>
        <v/>
      </c>
      <c r="I196">
        <f>'Ajoneuvorekisteri-Parse Modern '!M192</f>
        <v>1720</v>
      </c>
      <c r="J196">
        <f t="shared" si="15"/>
        <v>1</v>
      </c>
      <c r="K196">
        <f t="shared" si="16"/>
        <v>0</v>
      </c>
      <c r="L196">
        <f t="shared" si="17"/>
        <v>1</v>
      </c>
      <c r="M196">
        <f t="shared" si="18"/>
        <v>0</v>
      </c>
      <c r="N196">
        <f>IF(AND(Table34[[#This Row],[Coupe]]&lt;&gt;1, Table34[[#This Row],[Convertible]]&lt;&gt;1), 1, 0)</f>
        <v>0</v>
      </c>
      <c r="O196" t="str">
        <f t="shared" si="19"/>
        <v>Coupe</v>
      </c>
    </row>
    <row r="197" spans="1:15" x14ac:dyDescent="0.25">
      <c r="A197">
        <f>'Ajoneuvorekisteri-Parse Modern '!AO160</f>
        <v>2837836</v>
      </c>
      <c r="B197" t="str">
        <f>'Ajoneuvorekisteri-Parse Modern '!AN160</f>
        <v>SAJAA44P77</v>
      </c>
      <c r="C197" t="str" cm="1">
        <f t="array" ref="C197">_xlfn.LET(_xlpm.v,UPPER(SUBSTITUTE(CLEAN(TRIM(B197)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X150_2007MY_MARKET_A_TRANS_A_BODY_44_EMISSION_P_CHECK_7</v>
      </c>
      <c r="D197" t="str" cm="1">
        <f t="array" ref="D197">_xlfn.LET(_xlpm.vin,SUBSTITUTE(CLEAN(TRIM(B197)),CHAR(160),""),_xlpm.rawDate,LEFT(TRIM(E197)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197">
        <f>'Ajoneuvorekisteri-Parse Modern '!G160</f>
        <v>20061013</v>
      </c>
      <c r="F197" t="str">
        <f>LEFT(Table34[[#This Row],[Käyttöönotto]],4)</f>
        <v>2006</v>
      </c>
      <c r="G197" t="str">
        <f>'Ajoneuvorekisteri-Parse Modern '!AA160</f>
        <v>XK Avoauto (AE) 2ov 4190cm3 A</v>
      </c>
      <c r="H197" t="str">
        <f>Ajoneuvorekisteri_Parse_Modern_XK_Range_TieliikenneAvoinData_30_06_2026_csv[[#This Row],[tyyppihyvaksyntanro]]</f>
        <v>e11*2001/116*0272*07</v>
      </c>
      <c r="I197">
        <f>'Ajoneuvorekisteri-Parse Modern '!M160</f>
        <v>1735</v>
      </c>
      <c r="J197">
        <f t="shared" si="15"/>
        <v>1</v>
      </c>
      <c r="K197">
        <f t="shared" si="16"/>
        <v>0</v>
      </c>
      <c r="L197">
        <f t="shared" si="17"/>
        <v>0</v>
      </c>
      <c r="M197">
        <f t="shared" si="18"/>
        <v>1</v>
      </c>
      <c r="N197">
        <f>IF(AND(Table34[[#This Row],[Coupe]]&lt;&gt;1, Table34[[#This Row],[Convertible]]&lt;&gt;1), 1, 0)</f>
        <v>0</v>
      </c>
      <c r="O197" t="str">
        <f t="shared" si="19"/>
        <v>Convertible</v>
      </c>
    </row>
    <row r="198" spans="1:15" x14ac:dyDescent="0.25">
      <c r="A198">
        <f>'Ajoneuvorekisteri-Parse Modern '!AO199</f>
        <v>3358627</v>
      </c>
      <c r="B198" t="str">
        <f>'Ajoneuvorekisteri-Parse Modern '!AN199</f>
        <v>SAJAA43P47</v>
      </c>
      <c r="C198" t="str" cm="1">
        <f t="array" ref="C198">_xlfn.LET(_xlpm.v,UPPER(SUBSTITUTE(CLEAN(TRIM(B198)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X150_2007MY_MARKET_A_TRANS_A_BODY_43_EMISSION_P_CHECK_4</v>
      </c>
      <c r="D198" t="str" cm="1">
        <f t="array" ref="D198">_xlfn.LET(_xlpm.vin,SUBSTITUTE(CLEAN(TRIM(B198)),CHAR(160),""),_xlpm.rawDate,LEFT(TRIM(E198)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198">
        <f>'Ajoneuvorekisteri-Parse Modern '!G199</f>
        <v>20061030</v>
      </c>
      <c r="F198" t="str">
        <f>LEFT(Table34[[#This Row],[Käyttöönotto]],4)</f>
        <v>2006</v>
      </c>
      <c r="G198" t="str">
        <f>'Ajoneuvorekisteri-Parse Modern '!AA199</f>
        <v>XK Coup� (AD) 2ov 4190cm3 A</v>
      </c>
      <c r="H198" t="str">
        <f>Ajoneuvorekisteri_Parse_Modern_XK_Range_TieliikenneAvoinData_30_06_2026_csv[[#This Row],[tyyppihyvaksyntanro]]</f>
        <v/>
      </c>
      <c r="I198">
        <f>'Ajoneuvorekisteri-Parse Modern '!M199</f>
        <v>1720</v>
      </c>
      <c r="J198">
        <f t="shared" si="15"/>
        <v>1</v>
      </c>
      <c r="K198">
        <f t="shared" si="16"/>
        <v>0</v>
      </c>
      <c r="L198">
        <f t="shared" si="17"/>
        <v>1</v>
      </c>
      <c r="M198">
        <f t="shared" si="18"/>
        <v>0</v>
      </c>
      <c r="N198">
        <f>IF(AND(Table34[[#This Row],[Coupe]]&lt;&gt;1, Table34[[#This Row],[Convertible]]&lt;&gt;1), 1, 0)</f>
        <v>0</v>
      </c>
      <c r="O198" t="str">
        <f t="shared" si="19"/>
        <v>Coupe</v>
      </c>
    </row>
    <row r="199" spans="1:15" x14ac:dyDescent="0.25">
      <c r="A199">
        <f>'Ajoneuvorekisteri-Parse Modern '!AO121</f>
        <v>2489110</v>
      </c>
      <c r="B199" t="str">
        <f>'Ajoneuvorekisteri-Parse Modern '!AN121</f>
        <v>SAJAA44R87</v>
      </c>
      <c r="C199" t="str" cm="1">
        <f t="array" ref="C199">_xlfn.LET(_xlpm.v,UPPER(SUBSTITUTE(CLEAN(TRIM(B199)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X150_2007MY_MARKET_A_TRANS_A_BODY_44_EMISSION_R_CHECK_8</v>
      </c>
      <c r="D199" t="str" cm="1">
        <f t="array" ref="D199">_xlfn.LET(_xlpm.vin,SUBSTITUTE(CLEAN(TRIM(B199)),CHAR(160),""),_xlpm.rawDate,LEFT(TRIM(E199)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199">
        <f>'Ajoneuvorekisteri-Parse Modern '!G121</f>
        <v>20061130</v>
      </c>
      <c r="F199" t="str">
        <f>LEFT(Table34[[#This Row],[Käyttöönotto]],4)</f>
        <v>2006</v>
      </c>
      <c r="G199" t="str">
        <f>'Ajoneuvorekisteri-Parse Modern '!AA121</f>
        <v>XK Avoauto (AE) 2ov 4190cm3 A</v>
      </c>
      <c r="H199" t="str">
        <f>Ajoneuvorekisteri_Parse_Modern_XK_Range_TieliikenneAvoinData_30_06_2026_csv[[#This Row],[tyyppihyvaksyntanro]]</f>
        <v>e11*2001/116*0272*01</v>
      </c>
      <c r="I199">
        <f>'Ajoneuvorekisteri-Parse Modern '!M121</f>
        <v>1785</v>
      </c>
      <c r="J199">
        <f t="shared" si="15"/>
        <v>1</v>
      </c>
      <c r="K199">
        <f t="shared" si="16"/>
        <v>0</v>
      </c>
      <c r="L199">
        <f t="shared" si="17"/>
        <v>0</v>
      </c>
      <c r="M199">
        <f t="shared" si="18"/>
        <v>1</v>
      </c>
      <c r="N199">
        <f>IF(AND(Table34[[#This Row],[Coupe]]&lt;&gt;1, Table34[[#This Row],[Convertible]]&lt;&gt;1), 1, 0)</f>
        <v>0</v>
      </c>
      <c r="O199" t="str">
        <f t="shared" si="19"/>
        <v>Convertible</v>
      </c>
    </row>
    <row r="200" spans="1:15" x14ac:dyDescent="0.25">
      <c r="A200">
        <f>'Ajoneuvorekisteri-Parse Modern '!AO162</f>
        <v>2847660</v>
      </c>
      <c r="B200" t="str">
        <f>'Ajoneuvorekisteri-Parse Modern '!AN162</f>
        <v>SAJAA44R37</v>
      </c>
      <c r="C200" t="str" cm="1">
        <f t="array" ref="C200">_xlfn.LET(_xlpm.v,UPPER(SUBSTITUTE(CLEAN(TRIM(B200)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X150_2007MY_MARKET_A_TRANS_A_BODY_44_EMISSION_R_CHECK_3</v>
      </c>
      <c r="D200" t="str" cm="1">
        <f t="array" ref="D200">_xlfn.LET(_xlpm.vin,SUBSTITUTE(CLEAN(TRIM(B200)),CHAR(160),""),_xlpm.rawDate,LEFT(TRIM(E200)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200">
        <f>'Ajoneuvorekisteri-Parse Modern '!G162</f>
        <v>20061130</v>
      </c>
      <c r="F200" t="str">
        <f>LEFT(Table34[[#This Row],[Käyttöönotto]],4)</f>
        <v>2006</v>
      </c>
      <c r="G200" t="str">
        <f>'Ajoneuvorekisteri-Parse Modern '!AA162</f>
        <v>XK Avoauto (AE) 2ov 4190cm3 A</v>
      </c>
      <c r="H200" t="str">
        <f>Ajoneuvorekisteri_Parse_Modern_XK_Range_TieliikenneAvoinData_30_06_2026_csv[[#This Row],[tyyppihyvaksyntanro]]</f>
        <v/>
      </c>
      <c r="I200">
        <f>'Ajoneuvorekisteri-Parse Modern '!M162</f>
        <v>1785</v>
      </c>
      <c r="J200">
        <f t="shared" si="15"/>
        <v>1</v>
      </c>
      <c r="K200">
        <f t="shared" si="16"/>
        <v>0</v>
      </c>
      <c r="L200">
        <f t="shared" si="17"/>
        <v>0</v>
      </c>
      <c r="M200">
        <f t="shared" si="18"/>
        <v>1</v>
      </c>
      <c r="N200">
        <f>IF(AND(Table34[[#This Row],[Coupe]]&lt;&gt;1, Table34[[#This Row],[Convertible]]&lt;&gt;1), 1, 0)</f>
        <v>0</v>
      </c>
      <c r="O200" t="str">
        <f t="shared" si="19"/>
        <v>Convertible</v>
      </c>
    </row>
    <row r="201" spans="1:15" x14ac:dyDescent="0.25">
      <c r="A201">
        <f>'Ajoneuvorekisteri-Parse Modern '!AO194</f>
        <v>3290322</v>
      </c>
      <c r="B201" t="str">
        <f>'Ajoneuvorekisteri-Parse Modern '!AN194</f>
        <v>SAJAA43R87</v>
      </c>
      <c r="C201" t="str" cm="1">
        <f t="array" ref="C201">_xlfn.LET(_xlpm.v,UPPER(SUBSTITUTE(CLEAN(TRIM(B201)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X150_2007MY_MARKET_A_TRANS_A_BODY_43_EMISSION_R_CHECK_8</v>
      </c>
      <c r="D201" t="str" cm="1">
        <f t="array" ref="D201">_xlfn.LET(_xlpm.vin,SUBSTITUTE(CLEAN(TRIM(B201)),CHAR(160),""),_xlpm.rawDate,LEFT(TRIM(E201)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201">
        <f>'Ajoneuvorekisteri-Parse Modern '!G194</f>
        <v>20061220</v>
      </c>
      <c r="F201" t="str">
        <f>LEFT(Table34[[#This Row],[Käyttöönotto]],4)</f>
        <v>2006</v>
      </c>
      <c r="G201" t="str">
        <f>'Ajoneuvorekisteri-Parse Modern '!AA194</f>
        <v>XKR Coup� (AD) 2ov 4190cm3</v>
      </c>
      <c r="H201" t="str">
        <f>Ajoneuvorekisteri_Parse_Modern_XK_Range_TieliikenneAvoinData_30_06_2026_csv[[#This Row],[tyyppihyvaksyntanro]]</f>
        <v>e11*95/54*0061*03</v>
      </c>
      <c r="I201">
        <f>'Ajoneuvorekisteri-Parse Modern '!M194</f>
        <v>1770</v>
      </c>
      <c r="J201">
        <f t="shared" si="15"/>
        <v>0</v>
      </c>
      <c r="K201">
        <f t="shared" si="16"/>
        <v>1</v>
      </c>
      <c r="L201">
        <f t="shared" si="17"/>
        <v>1</v>
      </c>
      <c r="M201">
        <f t="shared" si="18"/>
        <v>0</v>
      </c>
      <c r="N201">
        <f>IF(AND(Table34[[#This Row],[Coupe]]&lt;&gt;1, Table34[[#This Row],[Convertible]]&lt;&gt;1), 1, 0)</f>
        <v>0</v>
      </c>
      <c r="O201" t="str">
        <f t="shared" si="19"/>
        <v>Coupe</v>
      </c>
    </row>
    <row r="202" spans="1:15" x14ac:dyDescent="0.25">
      <c r="A202">
        <f>'Ajoneuvorekisteri-Parse Modern '!AO206</f>
        <v>3408637</v>
      </c>
      <c r="B202" t="str">
        <f>'Ajoneuvorekisteri-Parse Modern '!AN206</f>
        <v>SAJAA43RX7</v>
      </c>
      <c r="C202" t="str" cm="1">
        <f t="array" ref="C202">_xlfn.LET(_xlpm.v,UPPER(SUBSTITUTE(CLEAN(TRIM(B202)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X150_2007MY_MARKET_A_TRANS_A_BODY_43_EMISSION_R_CHECK_X</v>
      </c>
      <c r="D202" t="str" cm="1">
        <f t="array" ref="D202">_xlfn.LET(_xlpm.vin,SUBSTITUTE(CLEAN(TRIM(B202)),CHAR(160),""),_xlpm.rawDate,LEFT(TRIM(E202)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202">
        <f>'Ajoneuvorekisteri-Parse Modern '!G206</f>
        <v>20061220</v>
      </c>
      <c r="F202" t="str">
        <f>LEFT(Table34[[#This Row],[Käyttöönotto]],4)</f>
        <v>2006</v>
      </c>
      <c r="G202" t="str">
        <f>'Ajoneuvorekisteri-Parse Modern '!AA206</f>
        <v>XKR COUPE Coup� (AD) 2ov 4196cm3 A</v>
      </c>
      <c r="H202" t="str">
        <f>Ajoneuvorekisteri_Parse_Modern_XK_Range_TieliikenneAvoinData_30_06_2026_csv[[#This Row],[tyyppihyvaksyntanro]]</f>
        <v/>
      </c>
      <c r="I202">
        <f>'Ajoneuvorekisteri-Parse Modern '!M206</f>
        <v>1770</v>
      </c>
      <c r="J202">
        <f t="shared" si="15"/>
        <v>0</v>
      </c>
      <c r="K202">
        <f t="shared" si="16"/>
        <v>1</v>
      </c>
      <c r="L202">
        <f t="shared" si="17"/>
        <v>1</v>
      </c>
      <c r="M202">
        <f t="shared" si="18"/>
        <v>0</v>
      </c>
      <c r="N202">
        <f>IF(AND(Table34[[#This Row],[Coupe]]&lt;&gt;1, Table34[[#This Row],[Convertible]]&lt;&gt;1), 1, 0)</f>
        <v>0</v>
      </c>
      <c r="O202" t="str">
        <f t="shared" si="19"/>
        <v>Coupe</v>
      </c>
    </row>
    <row r="203" spans="1:15" x14ac:dyDescent="0.25">
      <c r="A203">
        <f>'Ajoneuvorekisteri-Parse Modern '!AO72</f>
        <v>1943688</v>
      </c>
      <c r="B203" t="str">
        <f>'Ajoneuvorekisteri-Parse Modern '!AN246</f>
        <v>SAJAA44F47</v>
      </c>
      <c r="C203" t="str" cm="1">
        <f t="array" ref="C203">_xlfn.LET(_xlpm.v,UPPER(SUBSTITUTE(CLEAN(TRIM(B203)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X150_2007MY_MARKET_A_TRANS_A_BODY_44_EMISSION_F_CHECK_4</v>
      </c>
      <c r="D203" t="str" cm="1">
        <f t="array" ref="D203">_xlfn.LET(_xlpm.vin,SUBSTITUTE(CLEAN(TRIM(B203)),CHAR(160),""),_xlpm.rawDate,LEFT(TRIM(E203)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203">
        <f>'Ajoneuvorekisteri-Parse Modern '!G246</f>
        <v>20070000</v>
      </c>
      <c r="F203" t="str">
        <f>LEFT(Table34[[#This Row],[Käyttöönotto]],4)</f>
        <v>2007</v>
      </c>
      <c r="G203" t="str">
        <f>'Ajoneuvorekisteri-Parse Modern '!AA246</f>
        <v>XK Avoauto (AE) 2ov 4190cm3 A</v>
      </c>
      <c r="H203" t="str">
        <f>Ajoneuvorekisteri_Parse_Modern_XK_Range_TieliikenneAvoinData_30_06_2026_csv[[#This Row],[tyyppihyvaksyntanro]]</f>
        <v/>
      </c>
      <c r="I203">
        <f>'Ajoneuvorekisteri-Parse Modern '!M246</f>
        <v>1815</v>
      </c>
      <c r="J203">
        <f t="shared" si="15"/>
        <v>1</v>
      </c>
      <c r="K203">
        <f t="shared" si="16"/>
        <v>0</v>
      </c>
      <c r="L203">
        <f t="shared" si="17"/>
        <v>0</v>
      </c>
      <c r="M203">
        <f t="shared" si="18"/>
        <v>1</v>
      </c>
      <c r="N203">
        <f>IF(AND(Table34[[#This Row],[Coupe]]&lt;&gt;1, Table34[[#This Row],[Convertible]]&lt;&gt;1), 1, 0)</f>
        <v>0</v>
      </c>
      <c r="O203" t="str">
        <f t="shared" si="19"/>
        <v>Convertible</v>
      </c>
    </row>
    <row r="204" spans="1:15" x14ac:dyDescent="0.25">
      <c r="A204">
        <f>'Ajoneuvorekisteri-Parse Modern '!AO74</f>
        <v>1949855</v>
      </c>
      <c r="B204" t="str">
        <f>'Ajoneuvorekisteri-Parse Modern '!AN256</f>
        <v>SAJFA44B17</v>
      </c>
      <c r="C204" t="str" cm="1">
        <f t="array" ref="C204">_xlfn.LET(_xlpm.v,UPPER(SUBSTITUTE(CLEAN(TRIM(B204)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X150_2007MY_MARKET_F_TRANS_A_BODY_44_EMISSION_B_CHECK_1</v>
      </c>
      <c r="D204" t="str" cm="1">
        <f t="array" ref="D204">_xlfn.LET(_xlpm.vin,SUBSTITUTE(CLEAN(TRIM(B204)),CHAR(160),""),_xlpm.rawDate,LEFT(TRIM(E204)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204">
        <f>'Ajoneuvorekisteri-Parse Modern '!G256</f>
        <v>20070000</v>
      </c>
      <c r="F204" t="str">
        <f>LEFT(Table34[[#This Row],[Käyttöönotto]],4)</f>
        <v>2007</v>
      </c>
      <c r="G204" t="str">
        <f>'Ajoneuvorekisteri-Parse Modern '!AA256</f>
        <v>XK Avoauto (AE) 2ov 4190cm3 A</v>
      </c>
      <c r="H204" t="str">
        <f>Ajoneuvorekisteri_Parse_Modern_XK_Range_TieliikenneAvoinData_30_06_2026_csv[[#This Row],[tyyppihyvaksyntanro]]</f>
        <v>e11*2001/116*0272*01</v>
      </c>
      <c r="I204">
        <f>'Ajoneuvorekisteri-Parse Modern '!M256</f>
        <v>1735</v>
      </c>
      <c r="J204">
        <f t="shared" si="15"/>
        <v>1</v>
      </c>
      <c r="K204">
        <f t="shared" si="16"/>
        <v>0</v>
      </c>
      <c r="L204">
        <f t="shared" si="17"/>
        <v>0</v>
      </c>
      <c r="M204">
        <f t="shared" si="18"/>
        <v>1</v>
      </c>
      <c r="N204">
        <f>IF(AND(Table34[[#This Row],[Coupe]]&lt;&gt;1, Table34[[#This Row],[Convertible]]&lt;&gt;1), 1, 0)</f>
        <v>0</v>
      </c>
      <c r="O204" t="str">
        <f t="shared" si="19"/>
        <v>Convertible</v>
      </c>
    </row>
    <row r="205" spans="1:15" x14ac:dyDescent="0.25">
      <c r="A205">
        <f>'Ajoneuvorekisteri-Parse Modern '!AO216</f>
        <v>3590269</v>
      </c>
      <c r="B205" t="str">
        <f>'Ajoneuvorekisteri-Parse Modern '!AN254</f>
        <v>SAJWA43C77</v>
      </c>
      <c r="C205" t="str" cm="1">
        <f t="array" ref="C205">_xlfn.LET(_xlpm.v,UPPER(SUBSTITUTE(CLEAN(TRIM(B205)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X150_2007MY_MARKET_W_TRANS_A_BODY_43_EMISSION_C_CHECK_7</v>
      </c>
      <c r="D205" t="str" cm="1">
        <f t="array" ref="D205">_xlfn.LET(_xlpm.vin,SUBSTITUTE(CLEAN(TRIM(B205)),CHAR(160),""),_xlpm.rawDate,LEFT(TRIM(E205)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205">
        <f>'Ajoneuvorekisteri-Parse Modern '!G254</f>
        <v>20070000</v>
      </c>
      <c r="F205" t="str">
        <f>LEFT(Table34[[#This Row],[Käyttöönotto]],4)</f>
        <v>2007</v>
      </c>
      <c r="G205" t="str">
        <f>'Ajoneuvorekisteri-Parse Modern '!AA254</f>
        <v>XK Coup� (AD) 2ov 4200cm3 A</v>
      </c>
      <c r="H205" t="str">
        <f>Ajoneuvorekisteri_Parse_Modern_XK_Range_TieliikenneAvoinData_30_06_2026_csv[[#This Row],[tyyppihyvaksyntanro]]</f>
        <v>e11*2001/116*0272*01</v>
      </c>
      <c r="I205">
        <f>'Ajoneuvorekisteri-Parse Modern '!M254</f>
        <v>1595</v>
      </c>
      <c r="J205">
        <f t="shared" si="15"/>
        <v>1</v>
      </c>
      <c r="K205">
        <f t="shared" si="16"/>
        <v>0</v>
      </c>
      <c r="L205">
        <f t="shared" si="17"/>
        <v>1</v>
      </c>
      <c r="M205">
        <f t="shared" si="18"/>
        <v>0</v>
      </c>
      <c r="N205">
        <f>IF(AND(Table34[[#This Row],[Coupe]]&lt;&gt;1, Table34[[#This Row],[Convertible]]&lt;&gt;1), 1, 0)</f>
        <v>0</v>
      </c>
      <c r="O205" t="str">
        <f t="shared" si="19"/>
        <v>Coupe</v>
      </c>
    </row>
    <row r="206" spans="1:15" x14ac:dyDescent="0.25">
      <c r="A206">
        <f>'Ajoneuvorekisteri-Parse Modern '!AO251</f>
        <v>4608297</v>
      </c>
      <c r="B206" t="str">
        <f>'Ajoneuvorekisteri-Parse Modern '!AN216</f>
        <v>SAJWA43C87</v>
      </c>
      <c r="C206" t="str" cm="1">
        <f t="array" ref="C206">_xlfn.LET(_xlpm.v,UPPER(SUBSTITUTE(CLEAN(TRIM(B206)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X150_2007MY_MARKET_W_TRANS_A_BODY_43_EMISSION_C_CHECK_8</v>
      </c>
      <c r="D206" t="str" cm="1">
        <f t="array" ref="D206">_xlfn.LET(_xlpm.vin,SUBSTITUTE(CLEAN(TRIM(B206)),CHAR(160),""),_xlpm.rawDate,LEFT(TRIM(E206)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206">
        <f>'Ajoneuvorekisteri-Parse Modern '!G216</f>
        <v>20070000</v>
      </c>
      <c r="F206" t="str">
        <f>LEFT(Table34[[#This Row],[Käyttöönotto]],4)</f>
        <v>2007</v>
      </c>
      <c r="G206" t="str">
        <f>'Ajoneuvorekisteri-Parse Modern '!AA216</f>
        <v>XKR COUPE Coup� (AD) 2ov 4196cm3 A</v>
      </c>
      <c r="H206" t="str">
        <f>Ajoneuvorekisteri_Parse_Modern_XK_Range_TieliikenneAvoinData_30_06_2026_csv[[#This Row],[tyyppihyvaksyntanro]]</f>
        <v>e11*2001/116*0272*01</v>
      </c>
      <c r="I206">
        <f>'Ajoneuvorekisteri-Parse Modern '!M216</f>
        <v>1770</v>
      </c>
      <c r="J206">
        <f t="shared" si="15"/>
        <v>0</v>
      </c>
      <c r="K206">
        <f t="shared" si="16"/>
        <v>1</v>
      </c>
      <c r="L206">
        <f t="shared" si="17"/>
        <v>1</v>
      </c>
      <c r="M206">
        <f t="shared" si="18"/>
        <v>0</v>
      </c>
      <c r="N206">
        <f>IF(AND(Table34[[#This Row],[Coupe]]&lt;&gt;1, Table34[[#This Row],[Convertible]]&lt;&gt;1), 1, 0)</f>
        <v>0</v>
      </c>
      <c r="O206" t="str">
        <f t="shared" si="19"/>
        <v>Coupe</v>
      </c>
    </row>
    <row r="207" spans="1:15" x14ac:dyDescent="0.25">
      <c r="A207">
        <f>'Ajoneuvorekisteri-Parse Modern '!AO69</f>
        <v>1879806</v>
      </c>
      <c r="B207" t="str">
        <f>'Ajoneuvorekisteri-Parse Modern '!AN242</f>
        <v>SAJDA44B37</v>
      </c>
      <c r="C207" t="str" cm="1">
        <f t="array" ref="C207">_xlfn.LET(_xlpm.v,UPPER(SUBSTITUTE(CLEAN(TRIM(B207)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X150_2007MY_MARKET_D_TRANS_A_BODY_44_EMISSION_B_CHECK_3</v>
      </c>
      <c r="D207" t="str" cm="1">
        <f t="array" ref="D207">_xlfn.LET(_xlpm.vin,SUBSTITUTE(CLEAN(TRIM(B207)),CHAR(160),""),_xlpm.rawDate,LEFT(TRIM(E207)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207">
        <f>'Ajoneuvorekisteri-Parse Modern '!G242</f>
        <v>20070101</v>
      </c>
      <c r="F207" t="str">
        <f>LEFT(Table34[[#This Row],[Käyttöönotto]],4)</f>
        <v>2007</v>
      </c>
      <c r="G207" t="str">
        <f>'Ajoneuvorekisteri-Parse Modern '!AA242</f>
        <v>XK Avoauto (AE) 2ov 4190cm3 A</v>
      </c>
      <c r="H207" t="str">
        <f>Ajoneuvorekisteri_Parse_Modern_XK_Range_TieliikenneAvoinData_30_06_2026_csv[[#This Row],[tyyppihyvaksyntanro]]</f>
        <v/>
      </c>
      <c r="I207">
        <f>'Ajoneuvorekisteri-Parse Modern '!M242</f>
        <v>1735</v>
      </c>
      <c r="J207">
        <f t="shared" si="15"/>
        <v>1</v>
      </c>
      <c r="K207">
        <f t="shared" si="16"/>
        <v>0</v>
      </c>
      <c r="L207">
        <f t="shared" si="17"/>
        <v>0</v>
      </c>
      <c r="M207">
        <f t="shared" si="18"/>
        <v>1</v>
      </c>
      <c r="N207">
        <f>IF(AND(Table34[[#This Row],[Coupe]]&lt;&gt;1, Table34[[#This Row],[Convertible]]&lt;&gt;1), 1, 0)</f>
        <v>0</v>
      </c>
      <c r="O207" t="str">
        <f t="shared" si="19"/>
        <v>Convertible</v>
      </c>
    </row>
    <row r="208" spans="1:15" x14ac:dyDescent="0.25">
      <c r="A208">
        <f>'Ajoneuvorekisteri-Parse Modern '!AO3</f>
        <v>78053</v>
      </c>
      <c r="B208" t="str">
        <f>'Ajoneuvorekisteri-Parse Modern '!AN25</f>
        <v>SAJAA44P57</v>
      </c>
      <c r="C208" t="str" cm="1">
        <f t="array" ref="C208">_xlfn.LET(_xlpm.v,UPPER(SUBSTITUTE(CLEAN(TRIM(B208)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X150_2007MY_MARKET_A_TRANS_A_BODY_44_EMISSION_P_CHECK_5</v>
      </c>
      <c r="D208" t="str" cm="1">
        <f t="array" ref="D208">_xlfn.LET(_xlpm.vin,SUBSTITUTE(CLEAN(TRIM(B208)),CHAR(160),""),_xlpm.rawDate,LEFT(TRIM(E208)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208">
        <f>'Ajoneuvorekisteri-Parse Modern '!G25</f>
        <v>20070116</v>
      </c>
      <c r="F208" t="str">
        <f>LEFT(Table34[[#This Row],[Käyttöönotto]],4)</f>
        <v>2007</v>
      </c>
      <c r="G208" t="str">
        <f>'Ajoneuvorekisteri-Parse Modern '!AA25</f>
        <v>2D CONVERTIBLE XK 4.2 AUTOMATIC QQ6/275</v>
      </c>
      <c r="H208" t="str">
        <f>Ajoneuvorekisteri_Parse_Modern_XK_Range_TieliikenneAvoinData_30_06_2026_csv[[#This Row],[tyyppihyvaksyntanro]]</f>
        <v/>
      </c>
      <c r="I208">
        <f>'Ajoneuvorekisteri-Parse Modern '!M25</f>
        <v>1735</v>
      </c>
      <c r="J208">
        <f t="shared" si="15"/>
        <v>1</v>
      </c>
      <c r="K208">
        <f t="shared" si="16"/>
        <v>0</v>
      </c>
      <c r="L208">
        <f t="shared" si="17"/>
        <v>0</v>
      </c>
      <c r="M208">
        <f t="shared" si="18"/>
        <v>1</v>
      </c>
      <c r="N208">
        <f>IF(AND(Table34[[#This Row],[Coupe]]&lt;&gt;1, Table34[[#This Row],[Convertible]]&lt;&gt;1), 1, 0)</f>
        <v>0</v>
      </c>
      <c r="O208" t="str">
        <f t="shared" si="19"/>
        <v>Convertible</v>
      </c>
    </row>
    <row r="209" spans="1:15" x14ac:dyDescent="0.25">
      <c r="A209">
        <f>'Ajoneuvorekisteri-Parse Modern '!AO246</f>
        <v>4280591</v>
      </c>
      <c r="B209" t="str">
        <f>'Ajoneuvorekisteri-Parse Modern '!AN196</f>
        <v>SAJWA43C67</v>
      </c>
      <c r="C209" t="str" cm="1">
        <f t="array" ref="C209">_xlfn.LET(_xlpm.v,UPPER(SUBSTITUTE(CLEAN(TRIM(B209)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X150_2007MY_MARKET_W_TRANS_A_BODY_43_EMISSION_C_CHECK_6</v>
      </c>
      <c r="D209" t="str" cm="1">
        <f t="array" ref="D209">_xlfn.LET(_xlpm.vin,SUBSTITUTE(CLEAN(TRIM(B209)),CHAR(160),""),_xlpm.rawDate,LEFT(TRIM(E209)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209">
        <f>'Ajoneuvorekisteri-Parse Modern '!G196</f>
        <v>20070130</v>
      </c>
      <c r="F209" t="str">
        <f>LEFT(Table34[[#This Row],[Käyttöönotto]],4)</f>
        <v>2007</v>
      </c>
      <c r="G209" t="str">
        <f>'Ajoneuvorekisteri-Parse Modern '!AA196</f>
        <v>XKR Coupe Coup� (AD) 2ov 4196cm3 A</v>
      </c>
      <c r="H209" t="str">
        <f>Ajoneuvorekisteri_Parse_Modern_XK_Range_TieliikenneAvoinData_30_06_2026_csv[[#This Row],[tyyppihyvaksyntanro]]</f>
        <v/>
      </c>
      <c r="I209">
        <f>'Ajoneuvorekisteri-Parse Modern '!M196</f>
        <v>1760</v>
      </c>
      <c r="J209">
        <f t="shared" si="15"/>
        <v>0</v>
      </c>
      <c r="K209">
        <f t="shared" si="16"/>
        <v>1</v>
      </c>
      <c r="L209">
        <f t="shared" si="17"/>
        <v>1</v>
      </c>
      <c r="M209">
        <f t="shared" si="18"/>
        <v>0</v>
      </c>
      <c r="N209">
        <f>IF(AND(Table34[[#This Row],[Coupe]]&lt;&gt;1, Table34[[#This Row],[Convertible]]&lt;&gt;1), 1, 0)</f>
        <v>0</v>
      </c>
      <c r="O209" t="str">
        <f t="shared" si="19"/>
        <v>Coupe</v>
      </c>
    </row>
    <row r="210" spans="1:15" x14ac:dyDescent="0.25">
      <c r="A210">
        <f>'Ajoneuvorekisteri-Parse Modern '!AO241</f>
        <v>4195214</v>
      </c>
      <c r="B210" t="str">
        <f>'Ajoneuvorekisteri-Parse Modern '!AN158</f>
        <v>SAJAA43R87</v>
      </c>
      <c r="C210" t="str" cm="1">
        <f t="array" ref="C210">_xlfn.LET(_xlpm.v,UPPER(SUBSTITUTE(CLEAN(TRIM(B210)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X150_2007MY_MARKET_A_TRANS_A_BODY_43_EMISSION_R_CHECK_8</v>
      </c>
      <c r="D210" t="str" cm="1">
        <f t="array" ref="D210">_xlfn.LET(_xlpm.vin,SUBSTITUTE(CLEAN(TRIM(B210)),CHAR(160),""),_xlpm.rawDate,LEFT(TRIM(E210)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210">
        <f>'Ajoneuvorekisteri-Parse Modern '!G158</f>
        <v>20070205</v>
      </c>
      <c r="F210" t="str">
        <f>LEFT(Table34[[#This Row],[Käyttöönotto]],4)</f>
        <v>2007</v>
      </c>
      <c r="G210" t="str">
        <f>'Ajoneuvorekisteri-Parse Modern '!AA158</f>
        <v>XKR COUPE  2ov 4196cm3 A</v>
      </c>
      <c r="H210" t="str">
        <f>Ajoneuvorekisteri_Parse_Modern_XK_Range_TieliikenneAvoinData_30_06_2026_csv[[#This Row],[tyyppihyvaksyntanro]]</f>
        <v/>
      </c>
      <c r="I210">
        <f>'Ajoneuvorekisteri-Parse Modern '!M158</f>
        <v>1770</v>
      </c>
      <c r="J210">
        <f t="shared" si="15"/>
        <v>0</v>
      </c>
      <c r="K210">
        <f t="shared" si="16"/>
        <v>1</v>
      </c>
      <c r="L210">
        <f t="shared" si="17"/>
        <v>1</v>
      </c>
      <c r="M210">
        <f t="shared" si="18"/>
        <v>0</v>
      </c>
      <c r="N210">
        <f>IF(AND(Table34[[#This Row],[Coupe]]&lt;&gt;1, Table34[[#This Row],[Convertible]]&lt;&gt;1), 1, 0)</f>
        <v>0</v>
      </c>
      <c r="O210" t="str">
        <f t="shared" si="19"/>
        <v>Coupe</v>
      </c>
    </row>
    <row r="211" spans="1:15" x14ac:dyDescent="0.25">
      <c r="A211">
        <f>'Ajoneuvorekisteri-Parse Modern '!AO222</f>
        <v>3710560</v>
      </c>
      <c r="B211" t="str">
        <f>'Ajoneuvorekisteri-Parse Modern '!AN58</f>
        <v>SAJAA43R87</v>
      </c>
      <c r="C211" t="str" cm="1">
        <f t="array" ref="C211">_xlfn.LET(_xlpm.v,UPPER(SUBSTITUTE(CLEAN(TRIM(B211)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X150_2007MY_MARKET_A_TRANS_A_BODY_43_EMISSION_R_CHECK_8</v>
      </c>
      <c r="D211" t="str" cm="1">
        <f t="array" ref="D211">_xlfn.LET(_xlpm.vin,SUBSTITUTE(CLEAN(TRIM(B211)),CHAR(160),""),_xlpm.rawDate,LEFT(TRIM(E211)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211">
        <f>'Ajoneuvorekisteri-Parse Modern '!G58</f>
        <v>20070208</v>
      </c>
      <c r="F211" t="str">
        <f>LEFT(Table34[[#This Row],[Käyttöönotto]],4)</f>
        <v>2007</v>
      </c>
      <c r="G211" t="str">
        <f>'Ajoneuvorekisteri-Parse Modern '!AA58</f>
        <v>COUPE XKR 4.2 AUTOMATIC QQ6/275</v>
      </c>
      <c r="H211" t="str">
        <f>Ajoneuvorekisteri_Parse_Modern_XK_Range_TieliikenneAvoinData_30_06_2026_csv[[#This Row],[tyyppihyvaksyntanro]]</f>
        <v>e11*95/54*0062*06</v>
      </c>
      <c r="I211">
        <f>'Ajoneuvorekisteri-Parse Modern '!M58</f>
        <v>1770</v>
      </c>
      <c r="J211">
        <f t="shared" si="15"/>
        <v>0</v>
      </c>
      <c r="K211">
        <f t="shared" si="16"/>
        <v>1</v>
      </c>
      <c r="L211">
        <f t="shared" si="17"/>
        <v>1</v>
      </c>
      <c r="M211">
        <f t="shared" si="18"/>
        <v>0</v>
      </c>
      <c r="N211">
        <f>IF(AND(Table34[[#This Row],[Coupe]]&lt;&gt;1, Table34[[#This Row],[Convertible]]&lt;&gt;1), 1, 0)</f>
        <v>0</v>
      </c>
      <c r="O211" t="str">
        <f t="shared" si="19"/>
        <v>Coupe</v>
      </c>
    </row>
    <row r="212" spans="1:15" x14ac:dyDescent="0.25">
      <c r="A212">
        <f>'Ajoneuvorekisteri-Parse Modern '!AO187</f>
        <v>3213919</v>
      </c>
      <c r="B212" t="str">
        <f>'Ajoneuvorekisteri-Parse Modern '!AN3</f>
        <v>SAJAA43P07</v>
      </c>
      <c r="C212" t="str" cm="1">
        <f t="array" ref="C212">_xlfn.LET(_xlpm.v,UPPER(SUBSTITUTE(CLEAN(TRIM(B212)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X150_2007MY_MARKET_A_TRANS_A_BODY_43_EMISSION_P_CHECK_0</v>
      </c>
      <c r="D212" t="str" cm="1">
        <f t="array" ref="D212">_xlfn.LET(_xlpm.vin,SUBSTITUTE(CLEAN(TRIM(B212)),CHAR(160),""),_xlpm.rawDate,LEFT(TRIM(E212)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212">
        <f>'Ajoneuvorekisteri-Parse Modern '!G3</f>
        <v>20070222</v>
      </c>
      <c r="F212" t="str">
        <f>LEFT(Table34[[#This Row],[Käyttöönotto]],4)</f>
        <v>2007</v>
      </c>
      <c r="G212" t="str">
        <f>'Ajoneuvorekisteri-Parse Modern '!AA3</f>
        <v>COUPE XK 4.2 AUTOMATIC QQ6/275</v>
      </c>
      <c r="H212" t="str">
        <f>Ajoneuvorekisteri_Parse_Modern_XK_Range_TieliikenneAvoinData_30_06_2026_csv[[#This Row],[tyyppihyvaksyntanro]]</f>
        <v>e11*2001/116*0272*02</v>
      </c>
      <c r="I212">
        <f>'Ajoneuvorekisteri-Parse Modern '!M3</f>
        <v>1720</v>
      </c>
      <c r="J212">
        <f t="shared" si="15"/>
        <v>1</v>
      </c>
      <c r="K212">
        <f t="shared" si="16"/>
        <v>0</v>
      </c>
      <c r="L212">
        <f t="shared" si="17"/>
        <v>1</v>
      </c>
      <c r="M212">
        <f t="shared" si="18"/>
        <v>0</v>
      </c>
      <c r="N212">
        <f>IF(AND(Table34[[#This Row],[Coupe]]&lt;&gt;1, Table34[[#This Row],[Convertible]]&lt;&gt;1), 1, 0)</f>
        <v>0</v>
      </c>
      <c r="O212" t="str">
        <f t="shared" si="19"/>
        <v>Coupe</v>
      </c>
    </row>
    <row r="213" spans="1:15" x14ac:dyDescent="0.25">
      <c r="A213">
        <f>'Ajoneuvorekisteri-Parse Modern '!AO196</f>
        <v>3350827</v>
      </c>
      <c r="B213" t="str">
        <f>'Ajoneuvorekisteri-Parse Modern '!AN178</f>
        <v>SAJAA43P87</v>
      </c>
      <c r="C213" t="str" cm="1">
        <f t="array" ref="C213">_xlfn.LET(_xlpm.v,UPPER(SUBSTITUTE(CLEAN(TRIM(B213)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X150_2007MY_MARKET_A_TRANS_A_BODY_43_EMISSION_P_CHECK_8</v>
      </c>
      <c r="D213" t="str" cm="1">
        <f t="array" ref="D213">_xlfn.LET(_xlpm.vin,SUBSTITUTE(CLEAN(TRIM(B213)),CHAR(160),""),_xlpm.rawDate,LEFT(TRIM(E213)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213">
        <f>'Ajoneuvorekisteri-Parse Modern '!G178</f>
        <v>20070301</v>
      </c>
      <c r="F213" t="str">
        <f>LEFT(Table34[[#This Row],[Käyttöönotto]],4)</f>
        <v>2007</v>
      </c>
      <c r="G213" t="str">
        <f>'Ajoneuvorekisteri-Parse Modern '!AA178</f>
        <v>XK COUPE Coup� (AD) 2ov 4190cm3 A</v>
      </c>
      <c r="H213" t="str">
        <f>Ajoneuvorekisteri_Parse_Modern_XK_Range_TieliikenneAvoinData_30_06_2026_csv[[#This Row],[tyyppihyvaksyntanro]]</f>
        <v>e11*2001/116*0272*03</v>
      </c>
      <c r="I213">
        <f>'Ajoneuvorekisteri-Parse Modern '!M178</f>
        <v>1720</v>
      </c>
      <c r="J213">
        <f t="shared" si="15"/>
        <v>1</v>
      </c>
      <c r="K213">
        <f t="shared" si="16"/>
        <v>0</v>
      </c>
      <c r="L213">
        <f t="shared" si="17"/>
        <v>1</v>
      </c>
      <c r="M213">
        <f t="shared" si="18"/>
        <v>0</v>
      </c>
      <c r="N213">
        <f>IF(AND(Table34[[#This Row],[Coupe]]&lt;&gt;1, Table34[[#This Row],[Convertible]]&lt;&gt;1), 1, 0)</f>
        <v>0</v>
      </c>
      <c r="O213" t="str">
        <f t="shared" si="19"/>
        <v>Coupe</v>
      </c>
    </row>
    <row r="214" spans="1:15" x14ac:dyDescent="0.25">
      <c r="A214">
        <f>'Ajoneuvorekisteri-Parse Modern '!AO257</f>
        <v>5164401</v>
      </c>
      <c r="B214" t="str">
        <f>'Ajoneuvorekisteri-Parse Modern '!AN251</f>
        <v>SAJWA44C57</v>
      </c>
      <c r="C214" t="str" cm="1">
        <f t="array" ref="C214">_xlfn.LET(_xlpm.v,UPPER(SUBSTITUTE(CLEAN(TRIM(B214)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X150_2007MY_MARKET_W_TRANS_A_BODY_44_EMISSION_C_CHECK_5</v>
      </c>
      <c r="D214" t="str" cm="1">
        <f t="array" ref="D214">_xlfn.LET(_xlpm.vin,SUBSTITUTE(CLEAN(TRIM(B214)),CHAR(160),""),_xlpm.rawDate,LEFT(TRIM(E214)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214">
        <f>'Ajoneuvorekisteri-Parse Modern '!G251</f>
        <v>20070317</v>
      </c>
      <c r="F214" t="str">
        <f>LEFT(Table34[[#This Row],[Käyttöönotto]],4)</f>
        <v>2007</v>
      </c>
      <c r="G214" t="str">
        <f>'Ajoneuvorekisteri-Parse Modern '!AA251</f>
        <v>XKR  2ov 4196cm3 A</v>
      </c>
      <c r="H214" t="str">
        <f>Ajoneuvorekisteri_Parse_Modern_XK_Range_TieliikenneAvoinData_30_06_2026_csv[[#This Row],[tyyppihyvaksyntanro]]</f>
        <v>e11*2001/116*0272*03</v>
      </c>
      <c r="I214">
        <f>'Ajoneuvorekisteri-Parse Modern '!M251</f>
        <v>1800</v>
      </c>
      <c r="J214">
        <f t="shared" si="15"/>
        <v>0</v>
      </c>
      <c r="K214">
        <f t="shared" si="16"/>
        <v>1</v>
      </c>
      <c r="L214">
        <f t="shared" si="17"/>
        <v>0</v>
      </c>
      <c r="M214">
        <f t="shared" si="18"/>
        <v>0</v>
      </c>
      <c r="N214">
        <f>IF(AND(Table34[[#This Row],[Coupe]]&lt;&gt;1, Table34[[#This Row],[Convertible]]&lt;&gt;1), 1, 0)</f>
        <v>1</v>
      </c>
      <c r="O214" t="str">
        <f t="shared" si="19"/>
        <v>Unknown</v>
      </c>
    </row>
    <row r="215" spans="1:15" x14ac:dyDescent="0.25">
      <c r="A215">
        <f>'Ajoneuvorekisteri-Parse Modern '!AO25</f>
        <v>840818</v>
      </c>
      <c r="B215" t="str">
        <f>'Ajoneuvorekisteri-Parse Modern '!AN69</f>
        <v>SAJAA44P97</v>
      </c>
      <c r="C215" t="str" cm="1">
        <f t="array" ref="C215">_xlfn.LET(_xlpm.v,UPPER(SUBSTITUTE(CLEAN(TRIM(B215)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X150_2007MY_MARKET_A_TRANS_A_BODY_44_EMISSION_P_CHECK_9</v>
      </c>
      <c r="D215" t="str" cm="1">
        <f t="array" ref="D215">_xlfn.LET(_xlpm.vin,SUBSTITUTE(CLEAN(TRIM(B215)),CHAR(160),""),_xlpm.rawDate,LEFT(TRIM(E215)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215">
        <f>'Ajoneuvorekisteri-Parse Modern '!G69</f>
        <v>20070426</v>
      </c>
      <c r="F215" t="str">
        <f>LEFT(Table34[[#This Row],[Käyttöönotto]],4)</f>
        <v>2007</v>
      </c>
      <c r="G215" t="str">
        <f>'Ajoneuvorekisteri-Parse Modern '!AA69</f>
        <v>2D CONVERTIBLE XK 4.2 AUTOMATIC QQ6/275</v>
      </c>
      <c r="H215" t="str">
        <f>Ajoneuvorekisteri_Parse_Modern_XK_Range_TieliikenneAvoinData_30_06_2026_csv[[#This Row],[tyyppihyvaksyntanro]]</f>
        <v/>
      </c>
      <c r="I215">
        <f>'Ajoneuvorekisteri-Parse Modern '!M69</f>
        <v>1735</v>
      </c>
      <c r="J215">
        <f t="shared" si="15"/>
        <v>1</v>
      </c>
      <c r="K215">
        <f t="shared" si="16"/>
        <v>0</v>
      </c>
      <c r="L215">
        <f t="shared" si="17"/>
        <v>0</v>
      </c>
      <c r="M215">
        <f t="shared" si="18"/>
        <v>1</v>
      </c>
      <c r="N215">
        <f>IF(AND(Table34[[#This Row],[Coupe]]&lt;&gt;1, Table34[[#This Row],[Convertible]]&lt;&gt;1), 1, 0)</f>
        <v>0</v>
      </c>
      <c r="O215" t="str">
        <f t="shared" si="19"/>
        <v>Convertible</v>
      </c>
    </row>
    <row r="216" spans="1:15" x14ac:dyDescent="0.25">
      <c r="A216">
        <f>'Ajoneuvorekisteri-Parse Modern '!AO204</f>
        <v>3400012</v>
      </c>
      <c r="B216" t="str">
        <f>'Ajoneuvorekisteri-Parse Modern '!AN205</f>
        <v>SAJAA43P77</v>
      </c>
      <c r="C216" t="str" cm="1">
        <f t="array" ref="C216">_xlfn.LET(_xlpm.v,UPPER(SUBSTITUTE(CLEAN(TRIM(B216)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X150_2007MY_MARKET_A_TRANS_A_BODY_43_EMISSION_P_CHECK_7</v>
      </c>
      <c r="D216" t="str" cm="1">
        <f t="array" ref="D216">_xlfn.LET(_xlpm.vin,SUBSTITUTE(CLEAN(TRIM(B216)),CHAR(160),""),_xlpm.rawDate,LEFT(TRIM(E216)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216">
        <f>'Ajoneuvorekisteri-Parse Modern '!G205</f>
        <v>20070427</v>
      </c>
      <c r="F216" t="str">
        <f>LEFT(Table34[[#This Row],[Käyttöönotto]],4)</f>
        <v>2007</v>
      </c>
      <c r="G216" t="str">
        <f>'Ajoneuvorekisteri-Parse Modern '!AA205</f>
        <v>XK COUPE Coup� (AD) 2ov 4190cm3 A</v>
      </c>
      <c r="H216" t="str">
        <f>Ajoneuvorekisteri_Parse_Modern_XK_Range_TieliikenneAvoinData_30_06_2026_csv[[#This Row],[tyyppihyvaksyntanro]]</f>
        <v/>
      </c>
      <c r="I216">
        <f>'Ajoneuvorekisteri-Parse Modern '!M205</f>
        <v>1720</v>
      </c>
      <c r="J216">
        <f t="shared" si="15"/>
        <v>1</v>
      </c>
      <c r="K216">
        <f t="shared" si="16"/>
        <v>0</v>
      </c>
      <c r="L216">
        <f t="shared" si="17"/>
        <v>1</v>
      </c>
      <c r="M216">
        <f t="shared" si="18"/>
        <v>0</v>
      </c>
      <c r="N216">
        <f>IF(AND(Table34[[#This Row],[Coupe]]&lt;&gt;1, Table34[[#This Row],[Convertible]]&lt;&gt;1), 1, 0)</f>
        <v>0</v>
      </c>
      <c r="O216" t="str">
        <f t="shared" si="19"/>
        <v>Coupe</v>
      </c>
    </row>
    <row r="217" spans="1:15" x14ac:dyDescent="0.25">
      <c r="A217">
        <f>'Ajoneuvorekisteri-Parse Modern '!AO218</f>
        <v>3601127</v>
      </c>
      <c r="B217" t="str">
        <f>'Ajoneuvorekisteri-Parse Modern '!AN257</f>
        <v>SAJAA43P77</v>
      </c>
      <c r="C217" t="str" cm="1">
        <f t="array" ref="C217">_xlfn.LET(_xlpm.v,UPPER(SUBSTITUTE(CLEAN(TRIM(B217)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X150_2007MY_MARKET_A_TRANS_A_BODY_43_EMISSION_P_CHECK_7</v>
      </c>
      <c r="D217" t="str" cm="1">
        <f t="array" ref="D217">_xlfn.LET(_xlpm.vin,SUBSTITUTE(CLEAN(TRIM(B217)),CHAR(160),""),_xlpm.rawDate,LEFT(TRIM(E217)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217">
        <f>'Ajoneuvorekisteri-Parse Modern '!G257</f>
        <v>20070516</v>
      </c>
      <c r="F217" t="str">
        <f>LEFT(Table34[[#This Row],[Käyttöönotto]],4)</f>
        <v>2007</v>
      </c>
      <c r="G217" t="str">
        <f>'Ajoneuvorekisteri-Parse Modern '!AA257</f>
        <v>XK Coup� (AD) 2ov 4196cm3 A</v>
      </c>
      <c r="H217" t="str">
        <f>Ajoneuvorekisteri_Parse_Modern_XK_Range_TieliikenneAvoinData_30_06_2026_csv[[#This Row],[tyyppihyvaksyntanro]]</f>
        <v/>
      </c>
      <c r="I217">
        <f>'Ajoneuvorekisteri-Parse Modern '!M257</f>
        <v>1720</v>
      </c>
      <c r="J217">
        <f t="shared" si="15"/>
        <v>1</v>
      </c>
      <c r="K217">
        <f t="shared" si="16"/>
        <v>0</v>
      </c>
      <c r="L217">
        <f t="shared" si="17"/>
        <v>1</v>
      </c>
      <c r="M217">
        <f t="shared" si="18"/>
        <v>0</v>
      </c>
      <c r="N217">
        <f>IF(AND(Table34[[#This Row],[Coupe]]&lt;&gt;1, Table34[[#This Row],[Convertible]]&lt;&gt;1), 1, 0)</f>
        <v>0</v>
      </c>
      <c r="O217" t="str">
        <f t="shared" si="19"/>
        <v>Coupe</v>
      </c>
    </row>
    <row r="218" spans="1:15" x14ac:dyDescent="0.25">
      <c r="A218">
        <f>'Ajoneuvorekisteri-Parse Modern '!AO242</f>
        <v>4236658</v>
      </c>
      <c r="B218" t="str">
        <f>'Ajoneuvorekisteri-Parse Modern '!AN189</f>
        <v>SAJAA43R97</v>
      </c>
      <c r="C218" t="str" cm="1">
        <f t="array" ref="C218">_xlfn.LET(_xlpm.v,UPPER(SUBSTITUTE(CLEAN(TRIM(B218)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X150_2007MY_MARKET_A_TRANS_A_BODY_43_EMISSION_R_CHECK_9</v>
      </c>
      <c r="D218" t="str" cm="1">
        <f t="array" ref="D218">_xlfn.LET(_xlpm.vin,SUBSTITUTE(CLEAN(TRIM(B218)),CHAR(160),""),_xlpm.rawDate,LEFT(TRIM(E218)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218">
        <f>'Ajoneuvorekisteri-Parse Modern '!G189</f>
        <v>20070529</v>
      </c>
      <c r="F218" t="str">
        <f>LEFT(Table34[[#This Row],[Käyttöönotto]],4)</f>
        <v>2007</v>
      </c>
      <c r="G218" t="str">
        <f>'Ajoneuvorekisteri-Parse Modern '!AA189</f>
        <v>XKR COUPE Coup� (AD) 2ov 4196cm3 A</v>
      </c>
      <c r="H218" t="str">
        <f>Ajoneuvorekisteri_Parse_Modern_XK_Range_TieliikenneAvoinData_30_06_2026_csv[[#This Row],[tyyppihyvaksyntanro]]</f>
        <v>e11*2001/116*0272*02</v>
      </c>
      <c r="I218">
        <f>'Ajoneuvorekisteri-Parse Modern '!M189</f>
        <v>1770</v>
      </c>
      <c r="J218">
        <f t="shared" si="15"/>
        <v>0</v>
      </c>
      <c r="K218">
        <f t="shared" si="16"/>
        <v>1</v>
      </c>
      <c r="L218">
        <f t="shared" si="17"/>
        <v>1</v>
      </c>
      <c r="M218">
        <f t="shared" si="18"/>
        <v>0</v>
      </c>
      <c r="N218">
        <f>IF(AND(Table34[[#This Row],[Coupe]]&lt;&gt;1, Table34[[#This Row],[Convertible]]&lt;&gt;1), 1, 0)</f>
        <v>0</v>
      </c>
      <c r="O218" t="str">
        <f t="shared" si="19"/>
        <v>Coupe</v>
      </c>
    </row>
    <row r="219" spans="1:15" x14ac:dyDescent="0.25">
      <c r="A219">
        <f>'Ajoneuvorekisteri-Parse Modern '!AO212</f>
        <v>3549450</v>
      </c>
      <c r="B219" t="str">
        <f>'Ajoneuvorekisteri-Parse Modern '!AN222</f>
        <v>SAJAA43P07</v>
      </c>
      <c r="C219" t="str" cm="1">
        <f t="array" ref="C219">_xlfn.LET(_xlpm.v,UPPER(SUBSTITUTE(CLEAN(TRIM(B219)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X150_2007MY_MARKET_A_TRANS_A_BODY_43_EMISSION_P_CHECK_0</v>
      </c>
      <c r="D219" t="str" cm="1">
        <f t="array" ref="D219">_xlfn.LET(_xlpm.vin,SUBSTITUTE(CLEAN(TRIM(B219)),CHAR(160),""),_xlpm.rawDate,LEFT(TRIM(E219)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219">
        <f>'Ajoneuvorekisteri-Parse Modern '!G222</f>
        <v>20070601</v>
      </c>
      <c r="F219" t="str">
        <f>LEFT(Table34[[#This Row],[Käyttöönotto]],4)</f>
        <v>2007</v>
      </c>
      <c r="G219" t="str">
        <f>'Ajoneuvorekisteri-Parse Modern '!AA222</f>
        <v>XK Coup� (AD) 2ov 4190cm3 A</v>
      </c>
      <c r="H219" t="str">
        <f>Ajoneuvorekisteri_Parse_Modern_XK_Range_TieliikenneAvoinData_30_06_2026_csv[[#This Row],[tyyppihyvaksyntanro]]</f>
        <v>e11*95/54*0062*05</v>
      </c>
      <c r="I219">
        <f>'Ajoneuvorekisteri-Parse Modern '!M222</f>
        <v>1720</v>
      </c>
      <c r="J219">
        <f t="shared" si="15"/>
        <v>1</v>
      </c>
      <c r="K219">
        <f t="shared" si="16"/>
        <v>0</v>
      </c>
      <c r="L219">
        <f t="shared" si="17"/>
        <v>1</v>
      </c>
      <c r="M219">
        <f t="shared" si="18"/>
        <v>0</v>
      </c>
      <c r="N219">
        <f>IF(AND(Table34[[#This Row],[Coupe]]&lt;&gt;1, Table34[[#This Row],[Convertible]]&lt;&gt;1), 1, 0)</f>
        <v>0</v>
      </c>
      <c r="O219" t="str">
        <f t="shared" si="19"/>
        <v>Coupe</v>
      </c>
    </row>
    <row r="220" spans="1:15" x14ac:dyDescent="0.25">
      <c r="A220">
        <f>'Ajoneuvorekisteri-Parse Modern '!AO158</f>
        <v>2806459</v>
      </c>
      <c r="B220" t="str">
        <f>'Ajoneuvorekisteri-Parse Modern '!AN60</f>
        <v>SAJAA44R77</v>
      </c>
      <c r="C220" t="str" cm="1">
        <f t="array" ref="C220">_xlfn.LET(_xlpm.v,UPPER(SUBSTITUTE(CLEAN(TRIM(B220)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X150_2007MY_MARKET_A_TRANS_A_BODY_44_EMISSION_R_CHECK_7</v>
      </c>
      <c r="D220" t="str" cm="1">
        <f t="array" ref="D220">_xlfn.LET(_xlpm.vin,SUBSTITUTE(CLEAN(TRIM(B220)),CHAR(160),""),_xlpm.rawDate,LEFT(TRIM(E220)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220">
        <f>'Ajoneuvorekisteri-Parse Modern '!G60</f>
        <v>20070619</v>
      </c>
      <c r="F220" t="str">
        <f>LEFT(Table34[[#This Row],[Käyttöönotto]],4)</f>
        <v>2007</v>
      </c>
      <c r="G220" t="str">
        <f>'Ajoneuvorekisteri-Parse Modern '!AA60</f>
        <v>2D CONVERTIBLE XKR 4.2 AUTOMATIC QQ6/275</v>
      </c>
      <c r="H220" t="str">
        <f>Ajoneuvorekisteri_Parse_Modern_XK_Range_TieliikenneAvoinData_30_06_2026_csv[[#This Row],[tyyppihyvaksyntanro]]</f>
        <v/>
      </c>
      <c r="I220">
        <f>'Ajoneuvorekisteri-Parse Modern '!M60</f>
        <v>1785</v>
      </c>
      <c r="J220">
        <f t="shared" si="15"/>
        <v>0</v>
      </c>
      <c r="K220">
        <f t="shared" si="16"/>
        <v>1</v>
      </c>
      <c r="L220">
        <f t="shared" si="17"/>
        <v>0</v>
      </c>
      <c r="M220">
        <f t="shared" si="18"/>
        <v>1</v>
      </c>
      <c r="N220">
        <f>IF(AND(Table34[[#This Row],[Coupe]]&lt;&gt;1, Table34[[#This Row],[Convertible]]&lt;&gt;1), 1, 0)</f>
        <v>0</v>
      </c>
      <c r="O220" t="str">
        <f t="shared" si="19"/>
        <v>Convertible</v>
      </c>
    </row>
    <row r="221" spans="1:15" x14ac:dyDescent="0.25">
      <c r="A221">
        <f>'Ajoneuvorekisteri-Parse Modern '!AO58</f>
        <v>1642190</v>
      </c>
      <c r="B221" t="str">
        <f>'Ajoneuvorekisteri-Parse Modern '!AN175</f>
        <v>SAJDA44B57</v>
      </c>
      <c r="C221" t="str" cm="1">
        <f t="array" ref="C221">_xlfn.LET(_xlpm.v,UPPER(SUBSTITUTE(CLEAN(TRIM(B221)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X150_2007MY_MARKET_D_TRANS_A_BODY_44_EMISSION_B_CHECK_5</v>
      </c>
      <c r="D221" t="str" cm="1">
        <f t="array" ref="D221">_xlfn.LET(_xlpm.vin,SUBSTITUTE(CLEAN(TRIM(B221)),CHAR(160),""),_xlpm.rawDate,LEFT(TRIM(E221)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221">
        <f>'Ajoneuvorekisteri-Parse Modern '!G175</f>
        <v>20070701</v>
      </c>
      <c r="F221" t="str">
        <f>LEFT(Table34[[#This Row],[Käyttöönotto]],4)</f>
        <v>2007</v>
      </c>
      <c r="G221" t="str">
        <f>'Ajoneuvorekisteri-Parse Modern '!AA175</f>
        <v>JAGUAR XK8 CONVERTIBLE Avoauto (AE) 2ov 4196cm3 A</v>
      </c>
      <c r="H221" t="str">
        <f>Ajoneuvorekisteri_Parse_Modern_XK_Range_TieliikenneAvoinData_30_06_2026_csv[[#This Row],[tyyppihyvaksyntanro]]</f>
        <v>e11*2001/116*0272*03</v>
      </c>
      <c r="I221">
        <f>'Ajoneuvorekisteri-Parse Modern '!M175</f>
        <v>1760</v>
      </c>
      <c r="J221">
        <f t="shared" si="15"/>
        <v>1</v>
      </c>
      <c r="K221">
        <f t="shared" si="16"/>
        <v>0</v>
      </c>
      <c r="L221">
        <f t="shared" si="17"/>
        <v>0</v>
      </c>
      <c r="M221">
        <f t="shared" si="18"/>
        <v>1</v>
      </c>
      <c r="N221">
        <f>IF(AND(Table34[[#This Row],[Coupe]]&lt;&gt;1, Table34[[#This Row],[Convertible]]&lt;&gt;1), 1, 0)</f>
        <v>0</v>
      </c>
      <c r="O221" t="str">
        <f t="shared" si="19"/>
        <v>Convertible</v>
      </c>
    </row>
    <row r="222" spans="1:15" x14ac:dyDescent="0.25">
      <c r="A222">
        <f>'Ajoneuvorekisteri-Parse Modern '!AO60</f>
        <v>1645196</v>
      </c>
      <c r="B222" t="str">
        <f>'Ajoneuvorekisteri-Parse Modern '!AN204</f>
        <v>SAJAA44R67</v>
      </c>
      <c r="C222" t="str" cm="1">
        <f t="array" ref="C222">_xlfn.LET(_xlpm.v,UPPER(SUBSTITUTE(CLEAN(TRIM(B222)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X150_2007MY_MARKET_A_TRANS_A_BODY_44_EMISSION_R_CHECK_6</v>
      </c>
      <c r="D222" t="str" cm="1">
        <f t="array" ref="D222">_xlfn.LET(_xlpm.vin,SUBSTITUTE(CLEAN(TRIM(B222)),CHAR(160),""),_xlpm.rawDate,LEFT(TRIM(E222)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222">
        <f>'Ajoneuvorekisteri-Parse Modern '!G204</f>
        <v>20070913</v>
      </c>
      <c r="F222" t="str">
        <f>LEFT(Table34[[#This Row],[Käyttöönotto]],4)</f>
        <v>2007</v>
      </c>
      <c r="G222" t="str">
        <f>'Ajoneuvorekisteri-Parse Modern '!AA204</f>
        <v>XK Avoauto (AE) 2ov 4190cm3 A</v>
      </c>
      <c r="H222" t="str">
        <f>Ajoneuvorekisteri_Parse_Modern_XK_Range_TieliikenneAvoinData_30_06_2026_csv[[#This Row],[tyyppihyvaksyntanro]]</f>
        <v>e11*2001/116*0272*02</v>
      </c>
      <c r="I222">
        <f>'Ajoneuvorekisteri-Parse Modern '!M204</f>
        <v>1785</v>
      </c>
      <c r="J222">
        <f t="shared" si="15"/>
        <v>1</v>
      </c>
      <c r="K222">
        <f t="shared" si="16"/>
        <v>0</v>
      </c>
      <c r="L222">
        <f t="shared" si="17"/>
        <v>0</v>
      </c>
      <c r="M222">
        <f t="shared" si="18"/>
        <v>1</v>
      </c>
      <c r="N222">
        <f>IF(AND(Table34[[#This Row],[Coupe]]&lt;&gt;1, Table34[[#This Row],[Convertible]]&lt;&gt;1), 1, 0)</f>
        <v>0</v>
      </c>
      <c r="O222" t="str">
        <f t="shared" si="19"/>
        <v>Convertible</v>
      </c>
    </row>
    <row r="223" spans="1:15" x14ac:dyDescent="0.25">
      <c r="A223">
        <f>'Ajoneuvorekisteri-Parse Modern '!AO175</f>
        <v>3032721</v>
      </c>
      <c r="B223" t="str">
        <f>'Ajoneuvorekisteri-Parse Modern '!AN187</f>
        <v>SAJAA44R88</v>
      </c>
      <c r="C223" t="str" cm="1">
        <f t="array" ref="C223">_xlfn.LET(_xlpm.v,UPPER(SUBSTITUTE(CLEAN(TRIM(B223)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X150_2008MY_MARKET_A_TRANS_A_BODY_44_EMISSION_R_CHECK_8</v>
      </c>
      <c r="D223" t="str" cm="1">
        <f t="array" ref="D223">_xlfn.LET(_xlpm.vin,SUBSTITUTE(CLEAN(TRIM(B223)),CHAR(160),""),_xlpm.rawDate,LEFT(TRIM(E223)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E223">
        <f>'Ajoneuvorekisteri-Parse Modern '!G187</f>
        <v>20071001</v>
      </c>
      <c r="F223" t="str">
        <f>LEFT(Table34[[#This Row],[Käyttöönotto]],4)</f>
        <v>2007</v>
      </c>
      <c r="G223" t="str">
        <f>'Ajoneuvorekisteri-Parse Modern '!AA187</f>
        <v>XKR CONVERTIBLE Avoauto (AE) 2ov 4190cm3 A</v>
      </c>
      <c r="H223" t="str">
        <f>Ajoneuvorekisteri_Parse_Modern_XK_Range_TieliikenneAvoinData_30_06_2026_csv[[#This Row],[tyyppihyvaksyntanro]]</f>
        <v/>
      </c>
      <c r="I223">
        <f>'Ajoneuvorekisteri-Parse Modern '!M187</f>
        <v>1785</v>
      </c>
      <c r="J223">
        <f t="shared" si="15"/>
        <v>0</v>
      </c>
      <c r="K223">
        <f t="shared" si="16"/>
        <v>1</v>
      </c>
      <c r="L223">
        <f t="shared" si="17"/>
        <v>0</v>
      </c>
      <c r="M223">
        <f t="shared" si="18"/>
        <v>1</v>
      </c>
      <c r="N223">
        <f>IF(AND(Table34[[#This Row],[Coupe]]&lt;&gt;1, Table34[[#This Row],[Convertible]]&lt;&gt;1), 1, 0)</f>
        <v>0</v>
      </c>
      <c r="O223" t="str">
        <f t="shared" si="19"/>
        <v>Convertible</v>
      </c>
    </row>
    <row r="224" spans="1:15" x14ac:dyDescent="0.25">
      <c r="A224">
        <f>'Ajoneuvorekisteri-Parse Modern '!AO205</f>
        <v>3406411</v>
      </c>
      <c r="B224" t="str">
        <f>'Ajoneuvorekisteri-Parse Modern '!AN212</f>
        <v>SAJAA43P48</v>
      </c>
      <c r="C224" t="str" cm="1">
        <f t="array" ref="C224">_xlfn.LET(_xlpm.v,UPPER(SUBSTITUTE(CLEAN(TRIM(B224)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X150_2008MY_MARKET_A_TRANS_A_BODY_43_EMISSION_P_CHECK_4</v>
      </c>
      <c r="D224" t="str" cm="1">
        <f t="array" ref="D224">_xlfn.LET(_xlpm.vin,SUBSTITUTE(CLEAN(TRIM(B224)),CHAR(160),""),_xlpm.rawDate,LEFT(TRIM(E224)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E224">
        <f>'Ajoneuvorekisteri-Parse Modern '!G212</f>
        <v>20071001</v>
      </c>
      <c r="F224" t="str">
        <f>LEFT(Table34[[#This Row],[Käyttöönotto]],4)</f>
        <v>2007</v>
      </c>
      <c r="G224" t="str">
        <f>'Ajoneuvorekisteri-Parse Modern '!AA212</f>
        <v>XK COUPE Coup� (AD) 2ov 4196cm3 A</v>
      </c>
      <c r="H224" t="str">
        <f>Ajoneuvorekisteri_Parse_Modern_XK_Range_TieliikenneAvoinData_30_06_2026_csv[[#This Row],[tyyppihyvaksyntanro]]</f>
        <v/>
      </c>
      <c r="I224">
        <f>'Ajoneuvorekisteri-Parse Modern '!M212</f>
        <v>1720</v>
      </c>
      <c r="J224">
        <f t="shared" si="15"/>
        <v>1</v>
      </c>
      <c r="K224">
        <f t="shared" si="16"/>
        <v>0</v>
      </c>
      <c r="L224">
        <f t="shared" si="17"/>
        <v>1</v>
      </c>
      <c r="M224">
        <f t="shared" si="18"/>
        <v>0</v>
      </c>
      <c r="N224">
        <f>IF(AND(Table34[[#This Row],[Coupe]]&lt;&gt;1, Table34[[#This Row],[Convertible]]&lt;&gt;1), 1, 0)</f>
        <v>0</v>
      </c>
      <c r="O224" t="str">
        <f t="shared" si="19"/>
        <v>Coupe</v>
      </c>
    </row>
    <row r="225" spans="1:15" x14ac:dyDescent="0.25">
      <c r="A225">
        <f>'Ajoneuvorekisteri-Parse Modern '!AO254</f>
        <v>5043868</v>
      </c>
      <c r="B225" t="str">
        <f>'Ajoneuvorekisteri-Parse Modern '!AN218</f>
        <v>SAJAA43R67</v>
      </c>
      <c r="C225" t="str" cm="1">
        <f t="array" ref="C225">_xlfn.LET(_xlpm.v,UPPER(SUBSTITUTE(CLEAN(TRIM(B225)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X150_2007MY_MARKET_A_TRANS_A_BODY_43_EMISSION_R_CHECK_6</v>
      </c>
      <c r="D225" t="str" cm="1">
        <f t="array" ref="D225">_xlfn.LET(_xlpm.vin,SUBSTITUTE(CLEAN(TRIM(B225)),CHAR(160),""),_xlpm.rawDate,LEFT(TRIM(E225)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225">
        <f>'Ajoneuvorekisteri-Parse Modern '!G218</f>
        <v>20071012</v>
      </c>
      <c r="F225" t="str">
        <f>LEFT(Table34[[#This Row],[Käyttöönotto]],4)</f>
        <v>2007</v>
      </c>
      <c r="G225" t="str">
        <f>'Ajoneuvorekisteri-Parse Modern '!AA218</f>
        <v>XKR COUPE Coup� (AD) 2ov 4190cm3 A</v>
      </c>
      <c r="H225" t="str">
        <f>Ajoneuvorekisteri_Parse_Modern_XK_Range_TieliikenneAvoinData_30_06_2026_csv[[#This Row],[tyyppihyvaksyntanro]]</f>
        <v/>
      </c>
      <c r="I225">
        <f>'Ajoneuvorekisteri-Parse Modern '!M218</f>
        <v>1770</v>
      </c>
      <c r="J225">
        <f t="shared" si="15"/>
        <v>0</v>
      </c>
      <c r="K225">
        <f t="shared" si="16"/>
        <v>1</v>
      </c>
      <c r="L225">
        <f t="shared" si="17"/>
        <v>1</v>
      </c>
      <c r="M225">
        <f t="shared" si="18"/>
        <v>0</v>
      </c>
      <c r="N225">
        <f>IF(AND(Table34[[#This Row],[Coupe]]&lt;&gt;1, Table34[[#This Row],[Convertible]]&lt;&gt;1), 1, 0)</f>
        <v>0</v>
      </c>
      <c r="O225" t="str">
        <f t="shared" si="19"/>
        <v>Coupe</v>
      </c>
    </row>
    <row r="226" spans="1:15" x14ac:dyDescent="0.25">
      <c r="A226">
        <f>'Ajoneuvorekisteri-Parse Modern '!AO256</f>
        <v>5162537</v>
      </c>
      <c r="B226" t="str">
        <f>'Ajoneuvorekisteri-Parse Modern '!AN241</f>
        <v>SAJAA43R18</v>
      </c>
      <c r="C226" t="str" cm="1">
        <f t="array" ref="C226">_xlfn.LET(_xlpm.v,UPPER(SUBSTITUTE(CLEAN(TRIM(B226)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X150_2008MY_MARKET_A_TRANS_A_BODY_43_EMISSION_R_CHECK_1</v>
      </c>
      <c r="D226" t="str" cm="1">
        <f t="array" ref="D226">_xlfn.LET(_xlpm.vin,SUBSTITUTE(CLEAN(TRIM(B226)),CHAR(160),""),_xlpm.rawDate,LEFT(TRIM(E226)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E226">
        <f>'Ajoneuvorekisteri-Parse Modern '!G241</f>
        <v>20071128</v>
      </c>
      <c r="F226" t="str">
        <f>LEFT(Table34[[#This Row],[Käyttöönotto]],4)</f>
        <v>2007</v>
      </c>
      <c r="G226" t="str">
        <f>'Ajoneuvorekisteri-Parse Modern '!AA241</f>
        <v>XKR COUPE Coup� (AD) 2ov 4190cm3</v>
      </c>
      <c r="H226" t="str">
        <f>Ajoneuvorekisteri_Parse_Modern_XK_Range_TieliikenneAvoinData_30_06_2026_csv[[#This Row],[tyyppihyvaksyntanro]]</f>
        <v>e11*95/54*0061*00</v>
      </c>
      <c r="I226">
        <f>'Ajoneuvorekisteri-Parse Modern '!M241</f>
        <v>1770</v>
      </c>
      <c r="J226">
        <f t="shared" si="15"/>
        <v>0</v>
      </c>
      <c r="K226">
        <f t="shared" si="16"/>
        <v>1</v>
      </c>
      <c r="L226">
        <f t="shared" si="17"/>
        <v>1</v>
      </c>
      <c r="M226">
        <f t="shared" si="18"/>
        <v>0</v>
      </c>
      <c r="N226">
        <f>IF(AND(Table34[[#This Row],[Coupe]]&lt;&gt;1, Table34[[#This Row],[Convertible]]&lt;&gt;1), 1, 0)</f>
        <v>0</v>
      </c>
      <c r="O226" t="str">
        <f t="shared" si="19"/>
        <v>Coupe</v>
      </c>
    </row>
    <row r="227" spans="1:15" x14ac:dyDescent="0.25">
      <c r="A227">
        <f>'Ajoneuvorekisteri-Parse Modern '!AO178</f>
        <v>3052705</v>
      </c>
      <c r="B227" t="str">
        <f>'Ajoneuvorekisteri-Parse Modern '!AN238</f>
        <v>SAJAA44R58</v>
      </c>
      <c r="C227" t="str" cm="1">
        <f t="array" ref="C227">_xlfn.LET(_xlpm.v,UPPER(SUBSTITUTE(CLEAN(TRIM(B227)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X150_2008MY_MARKET_A_TRANS_A_BODY_44_EMISSION_R_CHECK_5</v>
      </c>
      <c r="D227" t="str" cm="1">
        <f t="array" ref="D227">_xlfn.LET(_xlpm.vin,SUBSTITUTE(CLEAN(TRIM(B227)),CHAR(160),""),_xlpm.rawDate,LEFT(TRIM(E227)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E227">
        <f>'Ajoneuvorekisteri-Parse Modern '!G238</f>
        <v>20071203</v>
      </c>
      <c r="F227" t="str">
        <f>LEFT(Table34[[#This Row],[Käyttöönotto]],4)</f>
        <v>2007</v>
      </c>
      <c r="G227" t="str">
        <f>'Ajoneuvorekisteri-Parse Modern '!AA238</f>
        <v>XKR CONVERTIBLE Avoauto (AE) 2ov 4196cm3 A</v>
      </c>
      <c r="H227" t="str">
        <f>Ajoneuvorekisteri_Parse_Modern_XK_Range_TieliikenneAvoinData_30_06_2026_csv[[#This Row],[tyyppihyvaksyntanro]]</f>
        <v/>
      </c>
      <c r="I227">
        <f>'Ajoneuvorekisteri-Parse Modern '!M238</f>
        <v>1785</v>
      </c>
      <c r="J227">
        <f t="shared" si="15"/>
        <v>0</v>
      </c>
      <c r="K227">
        <f t="shared" si="16"/>
        <v>1</v>
      </c>
      <c r="L227">
        <f t="shared" si="17"/>
        <v>0</v>
      </c>
      <c r="M227">
        <f t="shared" si="18"/>
        <v>1</v>
      </c>
      <c r="N227">
        <f>IF(AND(Table34[[#This Row],[Coupe]]&lt;&gt;1, Table34[[#This Row],[Convertible]]&lt;&gt;1), 1, 0)</f>
        <v>0</v>
      </c>
      <c r="O227" t="str">
        <f t="shared" si="19"/>
        <v>Convertible</v>
      </c>
    </row>
    <row r="228" spans="1:15" x14ac:dyDescent="0.25">
      <c r="A228">
        <f>'Ajoneuvorekisteri-Parse Modern '!AO238</f>
        <v>4125878</v>
      </c>
      <c r="B228" t="str">
        <f>'Ajoneuvorekisteri-Parse Modern '!AN72</f>
        <v>SAJAA43R88</v>
      </c>
      <c r="C228" t="str" cm="1">
        <f t="array" ref="C228">_xlfn.LET(_xlpm.v,UPPER(SUBSTITUTE(CLEAN(TRIM(B228)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X150_2008MY_MARKET_A_TRANS_A_BODY_43_EMISSION_R_CHECK_8</v>
      </c>
      <c r="D228" t="str" cm="1">
        <f t="array" ref="D228">_xlfn.LET(_xlpm.vin,SUBSTITUTE(CLEAN(TRIM(B228)),CHAR(160),""),_xlpm.rawDate,LEFT(TRIM(E228)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E228">
        <f>'Ajoneuvorekisteri-Parse Modern '!G72</f>
        <v>20071210</v>
      </c>
      <c r="F228" t="str">
        <f>LEFT(Table34[[#This Row],[Käyttöönotto]],4)</f>
        <v>2007</v>
      </c>
      <c r="G228" t="str">
        <f>'Ajoneuvorekisteri-Parse Modern '!AA72</f>
        <v>XKR COUPE Coup� (AD) 4190cm3</v>
      </c>
      <c r="H228" t="str">
        <f>Ajoneuvorekisteri_Parse_Modern_XK_Range_TieliikenneAvoinData_30_06_2026_csv[[#This Row],[tyyppihyvaksyntanro]]</f>
        <v>e11*95/54*0062*00</v>
      </c>
      <c r="I228">
        <f>'Ajoneuvorekisteri-Parse Modern '!M72</f>
        <v>1770</v>
      </c>
      <c r="J228">
        <f t="shared" si="15"/>
        <v>0</v>
      </c>
      <c r="K228">
        <f t="shared" si="16"/>
        <v>1</v>
      </c>
      <c r="L228">
        <f t="shared" si="17"/>
        <v>1</v>
      </c>
      <c r="M228">
        <f t="shared" si="18"/>
        <v>0</v>
      </c>
      <c r="N228">
        <f>IF(AND(Table34[[#This Row],[Coupe]]&lt;&gt;1, Table34[[#This Row],[Convertible]]&lt;&gt;1), 1, 0)</f>
        <v>0</v>
      </c>
      <c r="O228" t="str">
        <f t="shared" si="19"/>
        <v>Coupe</v>
      </c>
    </row>
    <row r="229" spans="1:15" x14ac:dyDescent="0.25">
      <c r="A229">
        <f>'Ajoneuvorekisteri-Parse Modern '!AO189</f>
        <v>3223068</v>
      </c>
      <c r="B229" t="str">
        <f>'Ajoneuvorekisteri-Parse Modern '!AN74</f>
        <v>SAJAA43R57</v>
      </c>
      <c r="C229" t="str" cm="1">
        <f t="array" ref="C229">_xlfn.LET(_xlpm.v,UPPER(SUBSTITUTE(CLEAN(TRIM(B229)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X150_2007MY_MARKET_A_TRANS_A_BODY_43_EMISSION_R_CHECK_5</v>
      </c>
      <c r="D229" t="str" cm="1">
        <f t="array" ref="D229">_xlfn.LET(_xlpm.vin,SUBSTITUTE(CLEAN(TRIM(B229)),CHAR(160),""),_xlpm.rawDate,LEFT(TRIM(E229)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229">
        <f>'Ajoneuvorekisteri-Parse Modern '!G74</f>
        <v>20071214</v>
      </c>
      <c r="F229" t="str">
        <f>LEFT(Table34[[#This Row],[Käyttöönotto]],4)</f>
        <v>2007</v>
      </c>
      <c r="G229" t="str">
        <f>'Ajoneuvorekisteri-Parse Modern '!AA74</f>
        <v>XK Coup� (AD) 4190cm3</v>
      </c>
      <c r="H229" t="str">
        <f>Ajoneuvorekisteri_Parse_Modern_XK_Range_TieliikenneAvoinData_30_06_2026_csv[[#This Row],[tyyppihyvaksyntanro]]</f>
        <v/>
      </c>
      <c r="I229">
        <f>'Ajoneuvorekisteri-Parse Modern '!M74</f>
        <v>1770</v>
      </c>
      <c r="J229">
        <f t="shared" si="15"/>
        <v>1</v>
      </c>
      <c r="K229">
        <f t="shared" si="16"/>
        <v>0</v>
      </c>
      <c r="L229">
        <f t="shared" si="17"/>
        <v>1</v>
      </c>
      <c r="M229">
        <f t="shared" si="18"/>
        <v>0</v>
      </c>
      <c r="N229">
        <f>IF(AND(Table34[[#This Row],[Coupe]]&lt;&gt;1, Table34[[#This Row],[Convertible]]&lt;&gt;1), 1, 0)</f>
        <v>0</v>
      </c>
      <c r="O229" t="str">
        <f t="shared" si="19"/>
        <v>Coupe</v>
      </c>
    </row>
    <row r="230" spans="1:15" x14ac:dyDescent="0.25">
      <c r="A230">
        <f>'Ajoneuvorekisteri-Parse Modern '!AO224</f>
        <v>3735485</v>
      </c>
      <c r="B230" t="str">
        <f>'Ajoneuvorekisteri-Parse Modern '!AN224</f>
        <v>SAJWA43CX8</v>
      </c>
      <c r="C230" t="str" cm="1">
        <f t="array" ref="C230">_xlfn.LET(_xlpm.v,UPPER(SUBSTITUTE(CLEAN(TRIM(B230)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X150_2008MY_MARKET_W_TRANS_A_BODY_43_EMISSION_C_CHECK_X</v>
      </c>
      <c r="D230" t="str" cm="1">
        <f t="array" ref="D230">_xlfn.LET(_xlpm.vin,SUBSTITUTE(CLEAN(TRIM(B230)),CHAR(160),""),_xlpm.rawDate,LEFT(TRIM(E230)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E230">
        <f>'Ajoneuvorekisteri-Parse Modern '!G224</f>
        <v>20080000</v>
      </c>
      <c r="F230" t="str">
        <f>LEFT(Table34[[#This Row],[Käyttöönotto]],4)</f>
        <v>2008</v>
      </c>
      <c r="G230" t="str">
        <f>'Ajoneuvorekisteri-Parse Modern '!AA224</f>
        <v>XKR Coup� (AD) 2ov 4196cm3 A</v>
      </c>
      <c r="H230" t="str">
        <f>Ajoneuvorekisteri_Parse_Modern_XK_Range_TieliikenneAvoinData_30_06_2026_csv[[#This Row],[tyyppihyvaksyntanro]]</f>
        <v/>
      </c>
      <c r="I230">
        <f>'Ajoneuvorekisteri-Parse Modern '!M224</f>
        <v>1685</v>
      </c>
      <c r="J230">
        <f t="shared" si="15"/>
        <v>0</v>
      </c>
      <c r="K230">
        <f t="shared" si="16"/>
        <v>1</v>
      </c>
      <c r="L230">
        <f t="shared" si="17"/>
        <v>1</v>
      </c>
      <c r="M230">
        <f t="shared" si="18"/>
        <v>0</v>
      </c>
      <c r="N230">
        <f>IF(AND(Table34[[#This Row],[Coupe]]&lt;&gt;1, Table34[[#This Row],[Convertible]]&lt;&gt;1), 1, 0)</f>
        <v>0</v>
      </c>
      <c r="O230" t="str">
        <f t="shared" si="19"/>
        <v>Coupe</v>
      </c>
    </row>
    <row r="231" spans="1:15" x14ac:dyDescent="0.25">
      <c r="A231">
        <f>'Ajoneuvorekisteri-Parse Modern '!AO253</f>
        <v>4965347</v>
      </c>
      <c r="B231" t="str">
        <f>'Ajoneuvorekisteri-Parse Modern '!AN253</f>
        <v>SAJWA44B68</v>
      </c>
      <c r="C231" t="str" cm="1">
        <f t="array" ref="C231">_xlfn.LET(_xlpm.v,UPPER(SUBSTITUTE(CLEAN(TRIM(B231)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X150_2008MY_MARKET_W_TRANS_A_BODY_44_EMISSION_B_CHECK_6</v>
      </c>
      <c r="D231" t="str" cm="1">
        <f t="array" ref="D231">_xlfn.LET(_xlpm.vin,SUBSTITUTE(CLEAN(TRIM(B231)),CHAR(160),""),_xlpm.rawDate,LEFT(TRIM(E231)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E231">
        <f>'Ajoneuvorekisteri-Parse Modern '!G253</f>
        <v>20080000</v>
      </c>
      <c r="F231" t="str">
        <f>LEFT(Table34[[#This Row],[Käyttöönotto]],4)</f>
        <v>2008</v>
      </c>
      <c r="G231" t="str">
        <f>'Ajoneuvorekisteri-Parse Modern '!AA253</f>
        <v>XK Avoauto (AE) 2ov 4190cm3 A</v>
      </c>
      <c r="H231" t="str">
        <f>Ajoneuvorekisteri_Parse_Modern_XK_Range_TieliikenneAvoinData_30_06_2026_csv[[#This Row],[tyyppihyvaksyntanro]]</f>
        <v>e11*95/54*0061*08</v>
      </c>
      <c r="I231">
        <f>'Ajoneuvorekisteri-Parse Modern '!M253</f>
        <v>1735</v>
      </c>
      <c r="J231">
        <f t="shared" si="15"/>
        <v>1</v>
      </c>
      <c r="K231">
        <f t="shared" si="16"/>
        <v>0</v>
      </c>
      <c r="L231">
        <f t="shared" si="17"/>
        <v>0</v>
      </c>
      <c r="M231">
        <f t="shared" si="18"/>
        <v>1</v>
      </c>
      <c r="N231">
        <f>IF(AND(Table34[[#This Row],[Coupe]]&lt;&gt;1, Table34[[#This Row],[Convertible]]&lt;&gt;1), 1, 0)</f>
        <v>0</v>
      </c>
      <c r="O231" t="str">
        <f t="shared" si="19"/>
        <v>Convertible</v>
      </c>
    </row>
    <row r="232" spans="1:15" x14ac:dyDescent="0.25">
      <c r="A232">
        <f>'Ajoneuvorekisteri-Parse Modern '!AO221</f>
        <v>3692168</v>
      </c>
      <c r="B232" t="str">
        <f>'Ajoneuvorekisteri-Parse Modern '!AN221</f>
        <v>SAJAA43P68</v>
      </c>
      <c r="C232" t="str" cm="1">
        <f t="array" ref="C232">_xlfn.LET(_xlpm.v,UPPER(SUBSTITUTE(CLEAN(TRIM(B232)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X150_2008MY_MARKET_A_TRANS_A_BODY_43_EMISSION_P_CHECK_6</v>
      </c>
      <c r="D232" t="str" cm="1">
        <f t="array" ref="D232">_xlfn.LET(_xlpm.vin,SUBSTITUTE(CLEAN(TRIM(B232)),CHAR(160),""),_xlpm.rawDate,LEFT(TRIM(E232)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E232">
        <f>'Ajoneuvorekisteri-Parse Modern '!G221</f>
        <v>20080218</v>
      </c>
      <c r="F232" t="str">
        <f>LEFT(Table34[[#This Row],[Käyttöönotto]],4)</f>
        <v>2008</v>
      </c>
      <c r="G232" t="str">
        <f>'Ajoneuvorekisteri-Parse Modern '!AA221</f>
        <v>Jaguar XK Coupe Coup� (AD) 2ov 4196cm3 A</v>
      </c>
      <c r="H232" t="str">
        <f>Ajoneuvorekisteri_Parse_Modern_XK_Range_TieliikenneAvoinData_30_06_2026_csv[[#This Row],[tyyppihyvaksyntanro]]</f>
        <v>e11*95/54*0062*06</v>
      </c>
      <c r="I232">
        <f>'Ajoneuvorekisteri-Parse Modern '!M221</f>
        <v>1720</v>
      </c>
      <c r="J232">
        <f t="shared" si="15"/>
        <v>1</v>
      </c>
      <c r="K232">
        <f t="shared" si="16"/>
        <v>0</v>
      </c>
      <c r="L232">
        <f t="shared" si="17"/>
        <v>1</v>
      </c>
      <c r="M232">
        <f t="shared" si="18"/>
        <v>0</v>
      </c>
      <c r="N232">
        <f>IF(AND(Table34[[#This Row],[Coupe]]&lt;&gt;1, Table34[[#This Row],[Convertible]]&lt;&gt;1), 1, 0)</f>
        <v>0</v>
      </c>
      <c r="O232" t="str">
        <f t="shared" si="19"/>
        <v>Coupe</v>
      </c>
    </row>
    <row r="233" spans="1:15" x14ac:dyDescent="0.25">
      <c r="A233">
        <f>'Ajoneuvorekisteri-Parse Modern '!AO75</f>
        <v>1973359</v>
      </c>
      <c r="B233" t="str">
        <f>'Ajoneuvorekisteri-Parse Modern '!AN75</f>
        <v>SAJAA43P78</v>
      </c>
      <c r="C233" t="str" cm="1">
        <f t="array" ref="C233">_xlfn.LET(_xlpm.v,UPPER(SUBSTITUTE(CLEAN(TRIM(B233)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X150_2008MY_MARKET_A_TRANS_A_BODY_43_EMISSION_P_CHECK_7</v>
      </c>
      <c r="D233" t="str" cm="1">
        <f t="array" ref="D233">_xlfn.LET(_xlpm.vin,SUBSTITUTE(CLEAN(TRIM(B233)),CHAR(160),""),_xlpm.rawDate,LEFT(TRIM(E233)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E233">
        <f>'Ajoneuvorekisteri-Parse Modern '!G75</f>
        <v>20080229</v>
      </c>
      <c r="F233" t="str">
        <f>LEFT(Table34[[#This Row],[Käyttöönotto]],4)</f>
        <v>2008</v>
      </c>
      <c r="G233" t="str">
        <f>'Ajoneuvorekisteri-Parse Modern '!AA75</f>
        <v>XK COUPE Coup� (AD) 4190cm3</v>
      </c>
      <c r="H233" t="str">
        <f>Ajoneuvorekisteri_Parse_Modern_XK_Range_TieliikenneAvoinData_30_06_2026_csv[[#This Row],[tyyppihyvaksyntanro]]</f>
        <v/>
      </c>
      <c r="I233">
        <f>'Ajoneuvorekisteri-Parse Modern '!M75</f>
        <v>1720</v>
      </c>
      <c r="J233">
        <f t="shared" si="15"/>
        <v>1</v>
      </c>
      <c r="K233">
        <f t="shared" si="16"/>
        <v>0</v>
      </c>
      <c r="L233">
        <f t="shared" si="17"/>
        <v>1</v>
      </c>
      <c r="M233">
        <f t="shared" si="18"/>
        <v>0</v>
      </c>
      <c r="N233">
        <f>IF(AND(Table34[[#This Row],[Coupe]]&lt;&gt;1, Table34[[#This Row],[Convertible]]&lt;&gt;1), 1, 0)</f>
        <v>0</v>
      </c>
      <c r="O233" t="str">
        <f t="shared" si="19"/>
        <v>Coupe</v>
      </c>
    </row>
    <row r="234" spans="1:15" x14ac:dyDescent="0.25">
      <c r="A234">
        <f>'Ajoneuvorekisteri-Parse Modern '!AO78</f>
        <v>1989661</v>
      </c>
      <c r="B234" t="str">
        <f>'Ajoneuvorekisteri-Parse Modern '!AN78</f>
        <v>SAJAA44P87</v>
      </c>
      <c r="C234" t="str" cm="1">
        <f t="array" ref="C234">_xlfn.LET(_xlpm.v,UPPER(SUBSTITUTE(CLEAN(TRIM(B234)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X150_2007MY_MARKET_A_TRANS_A_BODY_44_EMISSION_P_CHECK_8</v>
      </c>
      <c r="D234" t="str" cm="1">
        <f t="array" ref="D234">_xlfn.LET(_xlpm.vin,SUBSTITUTE(CLEAN(TRIM(B234)),CHAR(160),""),_xlpm.rawDate,LEFT(TRIM(E234)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234">
        <f>'Ajoneuvorekisteri-Parse Modern '!G78</f>
        <v>20080314</v>
      </c>
      <c r="F234" t="str">
        <f>LEFT(Table34[[#This Row],[Käyttöönotto]],4)</f>
        <v>2008</v>
      </c>
      <c r="G234" t="str">
        <f>'Ajoneuvorekisteri-Parse Modern '!AA78</f>
        <v>XK Avoauto (AE) 2ov 4190cm3</v>
      </c>
      <c r="H234" t="str">
        <f>Ajoneuvorekisteri_Parse_Modern_XK_Range_TieliikenneAvoinData_30_06_2026_csv[[#This Row],[tyyppihyvaksyntanro]]</f>
        <v/>
      </c>
      <c r="I234">
        <f>'Ajoneuvorekisteri-Parse Modern '!M78</f>
        <v>1735</v>
      </c>
      <c r="J234">
        <f t="shared" si="15"/>
        <v>1</v>
      </c>
      <c r="K234">
        <f t="shared" si="16"/>
        <v>0</v>
      </c>
      <c r="L234">
        <f t="shared" si="17"/>
        <v>0</v>
      </c>
      <c r="M234">
        <f t="shared" si="18"/>
        <v>1</v>
      </c>
      <c r="N234">
        <f>IF(AND(Table34[[#This Row],[Coupe]]&lt;&gt;1, Table34[[#This Row],[Convertible]]&lt;&gt;1), 1, 0)</f>
        <v>0</v>
      </c>
      <c r="O234" t="str">
        <f t="shared" si="19"/>
        <v>Convertible</v>
      </c>
    </row>
    <row r="235" spans="1:15" x14ac:dyDescent="0.25">
      <c r="A235">
        <f>'Ajoneuvorekisteri-Parse Modern '!AO77</f>
        <v>1988252</v>
      </c>
      <c r="B235" t="str">
        <f>'Ajoneuvorekisteri-Parse Modern '!AN77</f>
        <v>SAJAA44R58</v>
      </c>
      <c r="C235" t="str" cm="1">
        <f t="array" ref="C235">_xlfn.LET(_xlpm.v,UPPER(SUBSTITUTE(CLEAN(TRIM(B235)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X150_2008MY_MARKET_A_TRANS_A_BODY_44_EMISSION_R_CHECK_5</v>
      </c>
      <c r="D235" t="str" cm="1">
        <f t="array" ref="D235">_xlfn.LET(_xlpm.vin,SUBSTITUTE(CLEAN(TRIM(B235)),CHAR(160),""),_xlpm.rawDate,LEFT(TRIM(E235)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E235">
        <f>'Ajoneuvorekisteri-Parse Modern '!G77</f>
        <v>20080320</v>
      </c>
      <c r="F235" t="str">
        <f>LEFT(Table34[[#This Row],[Käyttöönotto]],4)</f>
        <v>2008</v>
      </c>
      <c r="G235" t="str">
        <f>'Ajoneuvorekisteri-Parse Modern '!AA77</f>
        <v>XKR CONVERTIBLE Avoauto (AE) 2ov 4196cm3 A</v>
      </c>
      <c r="H235" t="str">
        <f>Ajoneuvorekisteri_Parse_Modern_XK_Range_TieliikenneAvoinData_30_06_2026_csv[[#This Row],[tyyppihyvaksyntanro]]</f>
        <v>e11*2001/116*0272*03</v>
      </c>
      <c r="I235">
        <f>'Ajoneuvorekisteri-Parse Modern '!M77</f>
        <v>1785</v>
      </c>
      <c r="J235">
        <f t="shared" si="15"/>
        <v>0</v>
      </c>
      <c r="K235">
        <f t="shared" si="16"/>
        <v>1</v>
      </c>
      <c r="L235">
        <f t="shared" si="17"/>
        <v>0</v>
      </c>
      <c r="M235">
        <f t="shared" si="18"/>
        <v>1</v>
      </c>
      <c r="N235">
        <f>IF(AND(Table34[[#This Row],[Coupe]]&lt;&gt;1, Table34[[#This Row],[Convertible]]&lt;&gt;1), 1, 0)</f>
        <v>0</v>
      </c>
      <c r="O235" t="str">
        <f t="shared" si="19"/>
        <v>Convertible</v>
      </c>
    </row>
    <row r="236" spans="1:15" x14ac:dyDescent="0.25">
      <c r="A236">
        <f>'Ajoneuvorekisteri-Parse Modern '!AO236</f>
        <v>4108587</v>
      </c>
      <c r="B236" t="str">
        <f>'Ajoneuvorekisteri-Parse Modern '!AN236</f>
        <v>SAJAC44R28</v>
      </c>
      <c r="C236" t="str" cm="1">
        <f t="array" ref="C236">_xlfn.LET(_xlpm.v,UPPER(SUBSTITUTE(CLEAN(TRIM(B236)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X150_2008MY_MARKET_A_TRANS_C_BODY_44_EMISSION_R_CHECK_2</v>
      </c>
      <c r="D236" t="str" cm="1">
        <f t="array" ref="D236">_xlfn.LET(_xlpm.vin,SUBSTITUTE(CLEAN(TRIM(B236)),CHAR(160),""),_xlpm.rawDate,LEFT(TRIM(E236)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E236">
        <f>'Ajoneuvorekisteri-Parse Modern '!G236</f>
        <v>20080331</v>
      </c>
      <c r="F236" t="str">
        <f>LEFT(Table34[[#This Row],[Käyttöönotto]],4)</f>
        <v>2008</v>
      </c>
      <c r="G236" t="str">
        <f>'Ajoneuvorekisteri-Parse Modern '!AA236</f>
        <v>XKR CONVERTIBLE Avoauto (AE) 2ov 4196cm3 A</v>
      </c>
      <c r="H236" t="str">
        <f>Ajoneuvorekisteri_Parse_Modern_XK_Range_TieliikenneAvoinData_30_06_2026_csv[[#This Row],[tyyppihyvaksyntanro]]</f>
        <v>e11*2001/116*0272*03</v>
      </c>
      <c r="I236">
        <f>'Ajoneuvorekisteri-Parse Modern '!M236</f>
        <v>1785</v>
      </c>
      <c r="J236">
        <f t="shared" si="15"/>
        <v>0</v>
      </c>
      <c r="K236">
        <f t="shared" si="16"/>
        <v>1</v>
      </c>
      <c r="L236">
        <f t="shared" si="17"/>
        <v>0</v>
      </c>
      <c r="M236">
        <f t="shared" si="18"/>
        <v>1</v>
      </c>
      <c r="N236">
        <f>IF(AND(Table34[[#This Row],[Coupe]]&lt;&gt;1, Table34[[#This Row],[Convertible]]&lt;&gt;1), 1, 0)</f>
        <v>0</v>
      </c>
      <c r="O236" t="str">
        <f t="shared" si="19"/>
        <v>Convertible</v>
      </c>
    </row>
    <row r="237" spans="1:15" x14ac:dyDescent="0.25">
      <c r="A237">
        <f>'Ajoneuvorekisteri-Parse Modern '!AO230</f>
        <v>3815961</v>
      </c>
      <c r="B237" t="str">
        <f>'Ajoneuvorekisteri-Parse Modern '!AN230</f>
        <v>SAJWA44C38</v>
      </c>
      <c r="C237" t="str" cm="1">
        <f t="array" ref="C237">_xlfn.LET(_xlpm.v,UPPER(SUBSTITUTE(CLEAN(TRIM(B237)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X150_2008MY_MARKET_W_TRANS_A_BODY_44_EMISSION_C_CHECK_3</v>
      </c>
      <c r="D237" t="str" cm="1">
        <f t="array" ref="D237">_xlfn.LET(_xlpm.vin,SUBSTITUTE(CLEAN(TRIM(B237)),CHAR(160),""),_xlpm.rawDate,LEFT(TRIM(E237)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E237">
        <f>'Ajoneuvorekisteri-Parse Modern '!G230</f>
        <v>20080407</v>
      </c>
      <c r="F237" t="str">
        <f>LEFT(Table34[[#This Row],[Käyttöönotto]],4)</f>
        <v>2008</v>
      </c>
      <c r="G237" t="str">
        <f>'Ajoneuvorekisteri-Parse Modern '!AA230</f>
        <v>XKR  2ov 4196cm3 A</v>
      </c>
      <c r="H237" t="str">
        <f>Ajoneuvorekisteri_Parse_Modern_XK_Range_TieliikenneAvoinData_30_06_2026_csv[[#This Row],[tyyppihyvaksyntanro]]</f>
        <v/>
      </c>
      <c r="I237">
        <f>'Ajoneuvorekisteri-Parse Modern '!M230</f>
        <v>1801</v>
      </c>
      <c r="J237">
        <f t="shared" si="15"/>
        <v>0</v>
      </c>
      <c r="K237">
        <f t="shared" si="16"/>
        <v>1</v>
      </c>
      <c r="L237">
        <f t="shared" si="17"/>
        <v>0</v>
      </c>
      <c r="M237">
        <f t="shared" si="18"/>
        <v>0</v>
      </c>
      <c r="N237">
        <f>IF(AND(Table34[[#This Row],[Coupe]]&lt;&gt;1, Table34[[#This Row],[Convertible]]&lt;&gt;1), 1, 0)</f>
        <v>1</v>
      </c>
      <c r="O237" t="str">
        <f t="shared" si="19"/>
        <v>Unknown</v>
      </c>
    </row>
    <row r="238" spans="1:15" x14ac:dyDescent="0.25">
      <c r="A238">
        <f>'Ajoneuvorekisteri-Parse Modern '!AO195</f>
        <v>3314916</v>
      </c>
      <c r="B238" t="str">
        <f>'Ajoneuvorekisteri-Parse Modern '!AN195</f>
        <v>SAJAA43R18</v>
      </c>
      <c r="C238" t="str" cm="1">
        <f t="array" ref="C238">_xlfn.LET(_xlpm.v,UPPER(SUBSTITUTE(CLEAN(TRIM(B238)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X150_2008MY_MARKET_A_TRANS_A_BODY_43_EMISSION_R_CHECK_1</v>
      </c>
      <c r="D238" t="str" cm="1">
        <f t="array" ref="D238">_xlfn.LET(_xlpm.vin,SUBSTITUTE(CLEAN(TRIM(B238)),CHAR(160),""),_xlpm.rawDate,LEFT(TRIM(E238)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E238">
        <f>'Ajoneuvorekisteri-Parse Modern '!G195</f>
        <v>20080424</v>
      </c>
      <c r="F238" t="str">
        <f>LEFT(Table34[[#This Row],[Käyttöönotto]],4)</f>
        <v>2008</v>
      </c>
      <c r="G238" t="str">
        <f>'Ajoneuvorekisteri-Parse Modern '!AA195</f>
        <v>XKR COUPE Coup� (AD) 2ov 4196cm3 A</v>
      </c>
      <c r="H238" t="str">
        <f>Ajoneuvorekisteri_Parse_Modern_XK_Range_TieliikenneAvoinData_30_06_2026_csv[[#This Row],[tyyppihyvaksyntanro]]</f>
        <v>e11*2001/116*0272*02</v>
      </c>
      <c r="I238">
        <f>'Ajoneuvorekisteri-Parse Modern '!M195</f>
        <v>1770</v>
      </c>
      <c r="J238">
        <f t="shared" si="15"/>
        <v>0</v>
      </c>
      <c r="K238">
        <f t="shared" si="16"/>
        <v>1</v>
      </c>
      <c r="L238">
        <f t="shared" si="17"/>
        <v>1</v>
      </c>
      <c r="M238">
        <f t="shared" si="18"/>
        <v>0</v>
      </c>
      <c r="N238">
        <f>IF(AND(Table34[[#This Row],[Coupe]]&lt;&gt;1, Table34[[#This Row],[Convertible]]&lt;&gt;1), 1, 0)</f>
        <v>0</v>
      </c>
      <c r="O238" t="str">
        <f t="shared" si="19"/>
        <v>Coupe</v>
      </c>
    </row>
    <row r="239" spans="1:15" x14ac:dyDescent="0.25">
      <c r="A239">
        <f>'Ajoneuvorekisteri-Parse Modern '!AO107</f>
        <v>2308012</v>
      </c>
      <c r="B239" t="str">
        <f>'Ajoneuvorekisteri-Parse Modern '!AN107</f>
        <v>SAJAA43R28</v>
      </c>
      <c r="C239" t="str" cm="1">
        <f t="array" ref="C239">_xlfn.LET(_xlpm.v,UPPER(SUBSTITUTE(CLEAN(TRIM(B239)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X150_2008MY_MARKET_A_TRANS_A_BODY_43_EMISSION_R_CHECK_2</v>
      </c>
      <c r="D239" t="str" cm="1">
        <f t="array" ref="D239">_xlfn.LET(_xlpm.vin,SUBSTITUTE(CLEAN(TRIM(B239)),CHAR(160),""),_xlpm.rawDate,LEFT(TRIM(E239)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E239">
        <f>'Ajoneuvorekisteri-Parse Modern '!G107</f>
        <v>20080516</v>
      </c>
      <c r="F239" t="str">
        <f>LEFT(Table34[[#This Row],[Käyttöönotto]],4)</f>
        <v>2008</v>
      </c>
      <c r="G239" t="str">
        <f>'Ajoneuvorekisteri-Parse Modern '!AA107</f>
        <v>XKR COUPE Coup� (AD) 2ov 4196cm3 A</v>
      </c>
      <c r="H239" t="str">
        <f>Ajoneuvorekisteri_Parse_Modern_XK_Range_TieliikenneAvoinData_30_06_2026_csv[[#This Row],[tyyppihyvaksyntanro]]</f>
        <v>e11*2001/116*0272*00</v>
      </c>
      <c r="I239">
        <f>'Ajoneuvorekisteri-Parse Modern '!M107</f>
        <v>1770</v>
      </c>
      <c r="J239">
        <f t="shared" si="15"/>
        <v>0</v>
      </c>
      <c r="K239">
        <f t="shared" si="16"/>
        <v>1</v>
      </c>
      <c r="L239">
        <f t="shared" si="17"/>
        <v>1</v>
      </c>
      <c r="M239">
        <f t="shared" si="18"/>
        <v>0</v>
      </c>
      <c r="N239">
        <f>IF(AND(Table34[[#This Row],[Coupe]]&lt;&gt;1, Table34[[#This Row],[Convertible]]&lt;&gt;1), 1, 0)</f>
        <v>0</v>
      </c>
      <c r="O239" t="str">
        <f t="shared" si="19"/>
        <v>Coupe</v>
      </c>
    </row>
    <row r="240" spans="1:15" x14ac:dyDescent="0.25">
      <c r="A240">
        <f>'Ajoneuvorekisteri-Parse Modern '!AO213</f>
        <v>3555492</v>
      </c>
      <c r="B240" t="str">
        <f>'Ajoneuvorekisteri-Parse Modern '!AN213</f>
        <v>SAJAA43P69</v>
      </c>
      <c r="C240" t="str" cm="1">
        <f t="array" ref="C240">_xlfn.LET(_xlpm.v,UPPER(SUBSTITUTE(CLEAN(TRIM(B240)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X150_2009MY_MARKET_A_TRANS_A_BODY_43_EMISSION_P_CHECK_6</v>
      </c>
      <c r="D240" t="str" cm="1">
        <f t="array" ref="D240">_xlfn.LET(_xlpm.vin,SUBSTITUTE(CLEAN(TRIM(B240)),CHAR(160),""),_xlpm.rawDate,LEFT(TRIM(E240)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B27987–B32752</v>
      </c>
      <c r="E240">
        <f>'Ajoneuvorekisteri-Parse Modern '!G213</f>
        <v>20080924</v>
      </c>
      <c r="F240" t="str">
        <f>LEFT(Table34[[#This Row],[Käyttöönotto]],4)</f>
        <v>2008</v>
      </c>
      <c r="G240" t="str">
        <f>'Ajoneuvorekisteri-Parse Modern '!AA213</f>
        <v>XK COUPE Coup� (AD) 2ov 4196cm3 A</v>
      </c>
      <c r="H240" t="str">
        <f>Ajoneuvorekisteri_Parse_Modern_XK_Range_TieliikenneAvoinData_30_06_2026_csv[[#This Row],[tyyppihyvaksyntanro]]</f>
        <v/>
      </c>
      <c r="I240">
        <f>'Ajoneuvorekisteri-Parse Modern '!M213</f>
        <v>1720</v>
      </c>
      <c r="J240">
        <f t="shared" si="15"/>
        <v>1</v>
      </c>
      <c r="K240">
        <f t="shared" si="16"/>
        <v>0</v>
      </c>
      <c r="L240">
        <f t="shared" si="17"/>
        <v>1</v>
      </c>
      <c r="M240">
        <f t="shared" si="18"/>
        <v>0</v>
      </c>
      <c r="N240">
        <f>IF(AND(Table34[[#This Row],[Coupe]]&lt;&gt;1, Table34[[#This Row],[Convertible]]&lt;&gt;1), 1, 0)</f>
        <v>0</v>
      </c>
      <c r="O240" t="str">
        <f t="shared" si="19"/>
        <v>Coupe</v>
      </c>
    </row>
    <row r="241" spans="1:15" x14ac:dyDescent="0.25">
      <c r="A241">
        <f>'Ajoneuvorekisteri-Parse Modern '!AO214</f>
        <v>3567960</v>
      </c>
      <c r="B241" t="str">
        <f>'Ajoneuvorekisteri-Parse Modern '!AN214</f>
        <v>SAJAA43P78</v>
      </c>
      <c r="C241" t="str" cm="1">
        <f t="array" ref="C241">_xlfn.LET(_xlpm.v,UPPER(SUBSTITUTE(CLEAN(TRIM(B241)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X150_2008MY_MARKET_A_TRANS_A_BODY_43_EMISSION_P_CHECK_7</v>
      </c>
      <c r="D241" t="str" cm="1">
        <f t="array" ref="D241">_xlfn.LET(_xlpm.vin,SUBSTITUTE(CLEAN(TRIM(B241)),CHAR(160),""),_xlpm.rawDate,LEFT(TRIM(E241)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E241">
        <f>'Ajoneuvorekisteri-Parse Modern '!G214</f>
        <v>20080930</v>
      </c>
      <c r="F241" t="str">
        <f>LEFT(Table34[[#This Row],[Käyttöönotto]],4)</f>
        <v>2008</v>
      </c>
      <c r="G241" t="str">
        <f>'Ajoneuvorekisteri-Parse Modern '!AA214</f>
        <v>XK COUPE Coup� (AD) 2ov 4196cm3 A</v>
      </c>
      <c r="H241" t="str">
        <f>Ajoneuvorekisteri_Parse_Modern_XK_Range_TieliikenneAvoinData_30_06_2026_csv[[#This Row],[tyyppihyvaksyntanro]]</f>
        <v>e11*2001/116*0272*02</v>
      </c>
      <c r="I241">
        <f>'Ajoneuvorekisteri-Parse Modern '!M214</f>
        <v>1720</v>
      </c>
      <c r="J241">
        <f t="shared" si="15"/>
        <v>1</v>
      </c>
      <c r="K241">
        <f t="shared" si="16"/>
        <v>0</v>
      </c>
      <c r="L241">
        <f t="shared" si="17"/>
        <v>1</v>
      </c>
      <c r="M241">
        <f t="shared" si="18"/>
        <v>0</v>
      </c>
      <c r="N241">
        <f>IF(AND(Table34[[#This Row],[Coupe]]&lt;&gt;1, Table34[[#This Row],[Convertible]]&lt;&gt;1), 1, 0)</f>
        <v>0</v>
      </c>
      <c r="O241" t="str">
        <f t="shared" si="19"/>
        <v>Coupe</v>
      </c>
    </row>
    <row r="242" spans="1:15" x14ac:dyDescent="0.25">
      <c r="A242">
        <f>'Ajoneuvorekisteri-Parse Modern '!AO163</f>
        <v>2856975</v>
      </c>
      <c r="B242" t="str">
        <f>'Ajoneuvorekisteri-Parse Modern '!AN163</f>
        <v>SAJAA44R87</v>
      </c>
      <c r="C242" t="str" cm="1">
        <f t="array" ref="C242">_xlfn.LET(_xlpm.v,UPPER(SUBSTITUTE(CLEAN(TRIM(B242)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X150_2007MY_MARKET_A_TRANS_A_BODY_44_EMISSION_R_CHECK_8</v>
      </c>
      <c r="D242" t="str" cm="1">
        <f t="array" ref="D242">_xlfn.LET(_xlpm.vin,SUBSTITUTE(CLEAN(TRIM(B242)),CHAR(160),""),_xlpm.rawDate,LEFT(TRIM(E242)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242">
        <f>'Ajoneuvorekisteri-Parse Modern '!G163</f>
        <v>20081016</v>
      </c>
      <c r="F242" t="str">
        <f>LEFT(Table34[[#This Row],[Käyttöönotto]],4)</f>
        <v>2008</v>
      </c>
      <c r="G242" t="str">
        <f>'Ajoneuvorekisteri-Parse Modern '!AA163</f>
        <v>XK Avoauto (AE) 2ov 4190cm3 A</v>
      </c>
      <c r="H242" t="str">
        <f>Ajoneuvorekisteri_Parse_Modern_XK_Range_TieliikenneAvoinData_30_06_2026_csv[[#This Row],[tyyppihyvaksyntanro]]</f>
        <v/>
      </c>
      <c r="I242">
        <f>'Ajoneuvorekisteri-Parse Modern '!M163</f>
        <v>1785</v>
      </c>
      <c r="J242">
        <f t="shared" si="15"/>
        <v>1</v>
      </c>
      <c r="K242">
        <f t="shared" si="16"/>
        <v>0</v>
      </c>
      <c r="L242">
        <f t="shared" si="17"/>
        <v>0</v>
      </c>
      <c r="M242">
        <f t="shared" si="18"/>
        <v>1</v>
      </c>
      <c r="N242">
        <f>IF(AND(Table34[[#This Row],[Coupe]]&lt;&gt;1, Table34[[#This Row],[Convertible]]&lt;&gt;1), 1, 0)</f>
        <v>0</v>
      </c>
      <c r="O242" t="str">
        <f t="shared" si="19"/>
        <v>Convertible</v>
      </c>
    </row>
    <row r="243" spans="1:15" x14ac:dyDescent="0.25">
      <c r="A243">
        <f>'Ajoneuvorekisteri-Parse Modern '!AO237</f>
        <v>4122647</v>
      </c>
      <c r="B243" t="str">
        <f>'Ajoneuvorekisteri-Parse Modern '!AN237</f>
        <v>SAJWA46C39</v>
      </c>
      <c r="C243" t="str" cm="1">
        <f t="array" ref="C243">_xlfn.LET(_xlpm.v,UPPER(SUBSTITUTE(CLEAN(TRIM(B243)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X150_2009MY_MARKET_W_TRANS_A_BODY_46_EMISSION_C_CHECK_3</v>
      </c>
      <c r="D243" t="str" cm="1">
        <f t="array" ref="D243">_xlfn.LET(_xlpm.vin,SUBSTITUTE(CLEAN(TRIM(B243)),CHAR(160),""),_xlpm.rawDate,LEFT(TRIM(E243)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B27987–B32752</v>
      </c>
      <c r="E243">
        <f>'Ajoneuvorekisteri-Parse Modern '!G237</f>
        <v>20090000</v>
      </c>
      <c r="F243" t="str">
        <f>LEFT(Table34[[#This Row],[Käyttöönotto]],4)</f>
        <v>2009</v>
      </c>
      <c r="G243" t="str">
        <f>'Ajoneuvorekisteri-Parse Modern '!AA237</f>
        <v>XKR Avoauto (AE) 2ov 4196cm3 A</v>
      </c>
      <c r="H243" t="str">
        <f>Ajoneuvorekisteri_Parse_Modern_XK_Range_TieliikenneAvoinData_30_06_2026_csv[[#This Row],[tyyppihyvaksyntanro]]</f>
        <v/>
      </c>
      <c r="I243">
        <f>'Ajoneuvorekisteri-Parse Modern '!M237</f>
        <v>1813</v>
      </c>
      <c r="J243">
        <f t="shared" si="15"/>
        <v>0</v>
      </c>
      <c r="K243">
        <f t="shared" si="16"/>
        <v>1</v>
      </c>
      <c r="L243">
        <f t="shared" si="17"/>
        <v>0</v>
      </c>
      <c r="M243">
        <f t="shared" si="18"/>
        <v>1</v>
      </c>
      <c r="N243">
        <f>IF(AND(Table34[[#This Row],[Coupe]]&lt;&gt;1, Table34[[#This Row],[Convertible]]&lt;&gt;1), 1, 0)</f>
        <v>0</v>
      </c>
      <c r="O243" t="str">
        <f t="shared" si="19"/>
        <v>Convertible</v>
      </c>
    </row>
    <row r="244" spans="1:15" x14ac:dyDescent="0.25">
      <c r="A244">
        <f>'Ajoneuvorekisteri-Parse Modern '!AO88</f>
        <v>2143903</v>
      </c>
      <c r="B244" t="str">
        <f>'Ajoneuvorekisteri-Parse Modern '!AN88</f>
        <v>SAJAA44R69</v>
      </c>
      <c r="C244" t="str" cm="1">
        <f t="array" ref="C244">_xlfn.LET(_xlpm.v,UPPER(SUBSTITUTE(CLEAN(TRIM(B244)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X150_2009MY_MARKET_A_TRANS_A_BODY_44_EMISSION_R_CHECK_6</v>
      </c>
      <c r="D244" t="str" cm="1">
        <f t="array" ref="D244">_xlfn.LET(_xlpm.vin,SUBSTITUTE(CLEAN(TRIM(B244)),CHAR(160),""),_xlpm.rawDate,LEFT(TRIM(E244)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B27987–B32752</v>
      </c>
      <c r="E244">
        <f>'Ajoneuvorekisteri-Parse Modern '!G88</f>
        <v>20090312</v>
      </c>
      <c r="F244" t="str">
        <f>LEFT(Table34[[#This Row],[Käyttöönotto]],4)</f>
        <v>2009</v>
      </c>
      <c r="G244" t="str">
        <f>'Ajoneuvorekisteri-Parse Modern '!AA88</f>
        <v>XKR CONVERTIBLE Avoauto (AE) 2ov 4196cm3 A</v>
      </c>
      <c r="H244" t="str">
        <f>Ajoneuvorekisteri_Parse_Modern_XK_Range_TieliikenneAvoinData_30_06_2026_csv[[#This Row],[tyyppihyvaksyntanro]]</f>
        <v>e11*95/54*0061*04</v>
      </c>
      <c r="I244">
        <f>'Ajoneuvorekisteri-Parse Modern '!M88</f>
        <v>1785</v>
      </c>
      <c r="J244">
        <f t="shared" si="15"/>
        <v>0</v>
      </c>
      <c r="K244">
        <f t="shared" si="16"/>
        <v>1</v>
      </c>
      <c r="L244">
        <f t="shared" si="17"/>
        <v>0</v>
      </c>
      <c r="M244">
        <f t="shared" si="18"/>
        <v>1</v>
      </c>
      <c r="N244">
        <f>IF(AND(Table34[[#This Row],[Coupe]]&lt;&gt;1, Table34[[#This Row],[Convertible]]&lt;&gt;1), 1, 0)</f>
        <v>0</v>
      </c>
      <c r="O244" t="str">
        <f t="shared" si="19"/>
        <v>Convertible</v>
      </c>
    </row>
    <row r="245" spans="1:15" x14ac:dyDescent="0.25">
      <c r="A245">
        <f>'Ajoneuvorekisteri-Parse Modern '!AO235</f>
        <v>4093654</v>
      </c>
      <c r="B245" t="str">
        <f>'Ajoneuvorekisteri-Parse Modern '!AN235</f>
        <v>SAJAA43P68</v>
      </c>
      <c r="C245" t="str" cm="1">
        <f t="array" ref="C245">_xlfn.LET(_xlpm.v,UPPER(SUBSTITUTE(CLEAN(TRIM(B245)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X150_2008MY_MARKET_A_TRANS_A_BODY_43_EMISSION_P_CHECK_6</v>
      </c>
      <c r="D245" t="str" cm="1">
        <f t="array" ref="D245">_xlfn.LET(_xlpm.vin,SUBSTITUTE(CLEAN(TRIM(B245)),CHAR(160),""),_xlpm.rawDate,LEFT(TRIM(E245)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E245">
        <f>'Ajoneuvorekisteri-Parse Modern '!G235</f>
        <v>20090409</v>
      </c>
      <c r="F245" t="str">
        <f>LEFT(Table34[[#This Row],[Käyttöönotto]],4)</f>
        <v>2009</v>
      </c>
      <c r="G245" t="str">
        <f>'Ajoneuvorekisteri-Parse Modern '!AA235</f>
        <v>XK COUPE Coup� (AD) 2ov 4196cm3 A</v>
      </c>
      <c r="H245" t="str">
        <f>Ajoneuvorekisteri_Parse_Modern_XK_Range_TieliikenneAvoinData_30_06_2026_csv[[#This Row],[tyyppihyvaksyntanro]]</f>
        <v>e11*95/54*0061*07</v>
      </c>
      <c r="I245">
        <f>'Ajoneuvorekisteri-Parse Modern '!M235</f>
        <v>1720</v>
      </c>
      <c r="J245">
        <f t="shared" si="15"/>
        <v>1</v>
      </c>
      <c r="K245">
        <f t="shared" si="16"/>
        <v>0</v>
      </c>
      <c r="L245">
        <f t="shared" si="17"/>
        <v>1</v>
      </c>
      <c r="M245">
        <f t="shared" si="18"/>
        <v>0</v>
      </c>
      <c r="N245">
        <f>IF(AND(Table34[[#This Row],[Coupe]]&lt;&gt;1, Table34[[#This Row],[Convertible]]&lt;&gt;1), 1, 0)</f>
        <v>0</v>
      </c>
      <c r="O245" t="str">
        <f t="shared" si="19"/>
        <v>Coupe</v>
      </c>
    </row>
    <row r="246" spans="1:15" x14ac:dyDescent="0.25">
      <c r="A246">
        <f>'Ajoneuvorekisteri-Parse Modern '!AO89</f>
        <v>2158085</v>
      </c>
      <c r="B246" t="str">
        <f>'Ajoneuvorekisteri-Parse Modern '!AN89</f>
        <v>SAJAA43RX8</v>
      </c>
      <c r="C246" t="str" cm="1">
        <f t="array" ref="C246">_xlfn.LET(_xlpm.v,UPPER(SUBSTITUTE(CLEAN(TRIM(B246)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X150_2008MY_MARKET_A_TRANS_A_BODY_43_EMISSION_R_CHECK_X</v>
      </c>
      <c r="D246" t="str" cm="1">
        <f t="array" ref="D246">_xlfn.LET(_xlpm.vin,SUBSTITUTE(CLEAN(TRIM(B246)),CHAR(160),""),_xlpm.rawDate,LEFT(TRIM(E246)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E246">
        <f>'Ajoneuvorekisteri-Parse Modern '!G89</f>
        <v>20090423</v>
      </c>
      <c r="F246" t="str">
        <f>LEFT(Table34[[#This Row],[Käyttöönotto]],4)</f>
        <v>2009</v>
      </c>
      <c r="G246" t="str">
        <f>'Ajoneuvorekisteri-Parse Modern '!AA89</f>
        <v>XKR COUPE Coup� (AD) 2ov 4196cm3 A</v>
      </c>
      <c r="H246" t="str">
        <f>Ajoneuvorekisteri_Parse_Modern_XK_Range_TieliikenneAvoinData_30_06_2026_csv[[#This Row],[tyyppihyvaksyntanro]]</f>
        <v/>
      </c>
      <c r="I246">
        <f>'Ajoneuvorekisteri-Parse Modern '!M89</f>
        <v>1770</v>
      </c>
      <c r="J246">
        <f t="shared" si="15"/>
        <v>0</v>
      </c>
      <c r="K246">
        <f t="shared" si="16"/>
        <v>1</v>
      </c>
      <c r="L246">
        <f t="shared" si="17"/>
        <v>1</v>
      </c>
      <c r="M246">
        <f t="shared" si="18"/>
        <v>0</v>
      </c>
      <c r="N246">
        <f>IF(AND(Table34[[#This Row],[Coupe]]&lt;&gt;1, Table34[[#This Row],[Convertible]]&lt;&gt;1), 1, 0)</f>
        <v>0</v>
      </c>
      <c r="O246" t="str">
        <f t="shared" si="19"/>
        <v>Coupe</v>
      </c>
    </row>
    <row r="247" spans="1:15" x14ac:dyDescent="0.25">
      <c r="A247">
        <f>'Ajoneuvorekisteri-Parse Modern '!AO90</f>
        <v>2158087</v>
      </c>
      <c r="B247" t="str">
        <f>'Ajoneuvorekisteri-Parse Modern '!AN90</f>
        <v>SAJAA43R48</v>
      </c>
      <c r="C247" t="str" cm="1">
        <f t="array" ref="C247">_xlfn.LET(_xlpm.v,UPPER(SUBSTITUTE(CLEAN(TRIM(B247)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X150_2008MY_MARKET_A_TRANS_A_BODY_43_EMISSION_R_CHECK_4</v>
      </c>
      <c r="D247" t="str" cm="1">
        <f t="array" ref="D247">_xlfn.LET(_xlpm.vin,SUBSTITUTE(CLEAN(TRIM(B247)),CHAR(160),""),_xlpm.rawDate,LEFT(TRIM(E247)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E247">
        <f>'Ajoneuvorekisteri-Parse Modern '!G90</f>
        <v>20090423</v>
      </c>
      <c r="F247" t="str">
        <f>LEFT(Table34[[#This Row],[Käyttöönotto]],4)</f>
        <v>2009</v>
      </c>
      <c r="G247" t="str">
        <f>'Ajoneuvorekisteri-Parse Modern '!AA90</f>
        <v>XKR COUPE Coup� (AD) 2ov 4196cm3 A</v>
      </c>
      <c r="H247" t="str">
        <f>Ajoneuvorekisteri_Parse_Modern_XK_Range_TieliikenneAvoinData_30_06_2026_csv[[#This Row],[tyyppihyvaksyntanro]]</f>
        <v/>
      </c>
      <c r="I247">
        <f>'Ajoneuvorekisteri-Parse Modern '!M90</f>
        <v>1770</v>
      </c>
      <c r="J247">
        <f t="shared" si="15"/>
        <v>0</v>
      </c>
      <c r="K247">
        <f t="shared" si="16"/>
        <v>1</v>
      </c>
      <c r="L247">
        <f t="shared" si="17"/>
        <v>1</v>
      </c>
      <c r="M247">
        <f t="shared" si="18"/>
        <v>0</v>
      </c>
      <c r="N247">
        <f>IF(AND(Table34[[#This Row],[Coupe]]&lt;&gt;1, Table34[[#This Row],[Convertible]]&lt;&gt;1), 1, 0)</f>
        <v>0</v>
      </c>
      <c r="O247" t="str">
        <f t="shared" si="19"/>
        <v>Coupe</v>
      </c>
    </row>
    <row r="248" spans="1:15" x14ac:dyDescent="0.25">
      <c r="A248">
        <f>'Ajoneuvorekisteri-Parse Modern '!AO91</f>
        <v>2158088</v>
      </c>
      <c r="B248" t="str">
        <f>'Ajoneuvorekisteri-Parse Modern '!AN91</f>
        <v>SAJAA43PX7</v>
      </c>
      <c r="C248" t="str" cm="1">
        <f t="array" ref="C248">_xlfn.LET(_xlpm.v,UPPER(SUBSTITUTE(CLEAN(TRIM(B248)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X150_2007MY_MARKET_A_TRANS_A_BODY_43_EMISSION_P_CHECK_X</v>
      </c>
      <c r="D248" t="str" cm="1">
        <f t="array" ref="D248">_xlfn.LET(_xlpm.vin,SUBSTITUTE(CLEAN(TRIM(B248)),CHAR(160),""),_xlpm.rawDate,LEFT(TRIM(E248)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E248">
        <f>'Ajoneuvorekisteri-Parse Modern '!G91</f>
        <v>20090423</v>
      </c>
      <c r="F248" t="str">
        <f>LEFT(Table34[[#This Row],[Käyttöönotto]],4)</f>
        <v>2009</v>
      </c>
      <c r="G248" t="str">
        <f>'Ajoneuvorekisteri-Parse Modern '!AA91</f>
        <v>XK Coup� (AD) 4190cm3</v>
      </c>
      <c r="H248" t="str">
        <f>Ajoneuvorekisteri_Parse_Modern_XK_Range_TieliikenneAvoinData_30_06_2026_csv[[#This Row],[tyyppihyvaksyntanro]]</f>
        <v>e11*95/54*0061*04</v>
      </c>
      <c r="I248">
        <f>'Ajoneuvorekisteri-Parse Modern '!M91</f>
        <v>1720</v>
      </c>
      <c r="J248">
        <f t="shared" si="15"/>
        <v>1</v>
      </c>
      <c r="K248">
        <f t="shared" si="16"/>
        <v>0</v>
      </c>
      <c r="L248">
        <f t="shared" si="17"/>
        <v>1</v>
      </c>
      <c r="M248">
        <f t="shared" si="18"/>
        <v>0</v>
      </c>
      <c r="N248">
        <f>IF(AND(Table34[[#This Row],[Coupe]]&lt;&gt;1, Table34[[#This Row],[Convertible]]&lt;&gt;1), 1, 0)</f>
        <v>0</v>
      </c>
      <c r="O248" t="str">
        <f t="shared" si="19"/>
        <v>Coupe</v>
      </c>
    </row>
    <row r="249" spans="1:15" x14ac:dyDescent="0.25">
      <c r="A249">
        <f>'Ajoneuvorekisteri-Parse Modern '!AO243</f>
        <v>4244187</v>
      </c>
      <c r="B249" t="str">
        <f>'Ajoneuvorekisteri-Parse Modern '!AN243</f>
        <v>SAJWA4EB0A</v>
      </c>
      <c r="C249" t="str" cm="1">
        <f t="array" ref="C249">_xlfn.LET(_xlpm.v,UPPER(SUBSTITUTE(CLEAN(TRIM(B249)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X150_2010MY_MARKET_W_TRANS_A_BODY_4E_EMISSION_B_CHECK_0</v>
      </c>
      <c r="D249" t="str" cm="1">
        <f t="array" ref="D249">_xlfn.LET(_xlpm.vin,SUBSTITUTE(CLEAN(TRIM(B249)),CHAR(160),""),_xlpm.rawDate,LEFT(TRIM(E249)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B32753–B38853</v>
      </c>
      <c r="E249">
        <f>'Ajoneuvorekisteri-Parse Modern '!G243</f>
        <v>20100101</v>
      </c>
      <c r="F249" t="str">
        <f>LEFT(Table34[[#This Row],[Käyttöönotto]],4)</f>
        <v>2010</v>
      </c>
      <c r="G249" t="str">
        <f>'Ajoneuvorekisteri-Parse Modern '!AA243</f>
        <v>XK Avoauto (AE) 2ov A</v>
      </c>
      <c r="H249" t="str">
        <f>Ajoneuvorekisteri_Parse_Modern_XK_Range_TieliikenneAvoinData_30_06_2026_csv[[#This Row],[tyyppihyvaksyntanro]]</f>
        <v>e11*2001/116*0272*00</v>
      </c>
      <c r="I249">
        <f>'Ajoneuvorekisteri-Parse Modern '!M243</f>
        <v>1734</v>
      </c>
      <c r="J249">
        <f t="shared" si="15"/>
        <v>1</v>
      </c>
      <c r="K249">
        <f t="shared" si="16"/>
        <v>0</v>
      </c>
      <c r="L249">
        <f t="shared" si="17"/>
        <v>0</v>
      </c>
      <c r="M249">
        <f t="shared" si="18"/>
        <v>1</v>
      </c>
      <c r="N249">
        <f>IF(AND(Table34[[#This Row],[Coupe]]&lt;&gt;1, Table34[[#This Row],[Convertible]]&lt;&gt;1), 1, 0)</f>
        <v>0</v>
      </c>
      <c r="O249" t="str">
        <f t="shared" si="19"/>
        <v>Convertible</v>
      </c>
    </row>
    <row r="250" spans="1:15" x14ac:dyDescent="0.25">
      <c r="A250">
        <f>'Ajoneuvorekisteri-Parse Modern '!AO110</f>
        <v>2327372</v>
      </c>
      <c r="B250" t="str">
        <f>'Ajoneuvorekisteri-Parse Modern '!AN110</f>
        <v>SAJAA44P5B</v>
      </c>
      <c r="C250" t="str" cm="1">
        <f t="array" ref="C250">_xlfn.LET(_xlpm.v,UPPER(SUBSTITUTE(CLEAN(TRIM(B250)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X150_2011MY_MARKET_A_TRANS_A_BODY_44_EMISSION_P_CHECK_5</v>
      </c>
      <c r="D250" t="str" cm="1">
        <f t="array" ref="D250">_xlfn.LET(_xlpm.vin,SUBSTITUTE(CLEAN(TRIM(B250)),CHAR(160),""),_xlpm.rawDate,LEFT(TRIM(E250)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B38854–B44939</v>
      </c>
      <c r="E250">
        <f>'Ajoneuvorekisteri-Parse Modern '!G110</f>
        <v>20100624</v>
      </c>
      <c r="F250" t="str">
        <f>LEFT(Table34[[#This Row],[Käyttöönotto]],4)</f>
        <v>2010</v>
      </c>
      <c r="G250" t="str">
        <f>'Ajoneuvorekisteri-Parse Modern '!AA110</f>
        <v>XK CONVERTIBLE Avoauto (AE) 2ov 5000cm3 A</v>
      </c>
      <c r="H250" t="str">
        <f>Ajoneuvorekisteri_Parse_Modern_XK_Range_TieliikenneAvoinData_30_06_2026_csv[[#This Row],[tyyppihyvaksyntanro]]</f>
        <v>e11*95/54*0062*05</v>
      </c>
      <c r="I250">
        <f>'Ajoneuvorekisteri-Parse Modern '!M110</f>
        <v>1734</v>
      </c>
      <c r="J250">
        <f t="shared" si="15"/>
        <v>1</v>
      </c>
      <c r="K250">
        <f t="shared" si="16"/>
        <v>0</v>
      </c>
      <c r="L250">
        <f t="shared" si="17"/>
        <v>0</v>
      </c>
      <c r="M250">
        <f t="shared" si="18"/>
        <v>1</v>
      </c>
      <c r="N250">
        <f>IF(AND(Table34[[#This Row],[Coupe]]&lt;&gt;1, Table34[[#This Row],[Convertible]]&lt;&gt;1), 1, 0)</f>
        <v>0</v>
      </c>
      <c r="O250" t="str">
        <f t="shared" si="19"/>
        <v>Convertible</v>
      </c>
    </row>
    <row r="251" spans="1:15" x14ac:dyDescent="0.25">
      <c r="A251">
        <f>'Ajoneuvorekisteri-Parse Modern '!AO197</f>
        <v>3353579</v>
      </c>
      <c r="B251" t="str">
        <f>'Ajoneuvorekisteri-Parse Modern '!AN197</f>
        <v>SAJAA45R5B</v>
      </c>
      <c r="C251" t="str" cm="1">
        <f t="array" ref="C251">_xlfn.LET(_xlpm.v,UPPER(SUBSTITUTE(CLEAN(TRIM(B251)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X150_2011MY_MARKET_A_TRANS_A_BODY_45_EMISSION_R_CHECK_5</v>
      </c>
      <c r="D251" t="str" cm="1">
        <f t="array" ref="D251">_xlfn.LET(_xlpm.vin,SUBSTITUTE(CLEAN(TRIM(B251)),CHAR(160),""),_xlpm.rawDate,LEFT(TRIM(E251)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B38854–B44939</v>
      </c>
      <c r="E251">
        <f>'Ajoneuvorekisteri-Parse Modern '!G197</f>
        <v>20100915</v>
      </c>
      <c r="F251" t="str">
        <f>LEFT(Table34[[#This Row],[Käyttöönotto]],4)</f>
        <v>2010</v>
      </c>
      <c r="G251" t="str">
        <f>'Ajoneuvorekisteri-Parse Modern '!AA197</f>
        <v>XKR COUPE Coup� (AD) 2ov 5000cm3 A</v>
      </c>
      <c r="H251" t="str">
        <f>Ajoneuvorekisteri_Parse_Modern_XK_Range_TieliikenneAvoinData_30_06_2026_csv[[#This Row],[tyyppihyvaksyntanro]]</f>
        <v/>
      </c>
      <c r="I251">
        <f>'Ajoneuvorekisteri-Parse Modern '!M197</f>
        <v>1824</v>
      </c>
      <c r="J251">
        <f t="shared" si="15"/>
        <v>0</v>
      </c>
      <c r="K251">
        <f t="shared" si="16"/>
        <v>1</v>
      </c>
      <c r="L251">
        <f t="shared" si="17"/>
        <v>1</v>
      </c>
      <c r="M251">
        <f t="shared" si="18"/>
        <v>0</v>
      </c>
      <c r="N251">
        <f>IF(AND(Table34[[#This Row],[Coupe]]&lt;&gt;1, Table34[[#This Row],[Convertible]]&lt;&gt;1), 1, 0)</f>
        <v>0</v>
      </c>
      <c r="O251" t="str">
        <f t="shared" si="19"/>
        <v>Coupe</v>
      </c>
    </row>
    <row r="252" spans="1:15" x14ac:dyDescent="0.25">
      <c r="A252">
        <f>'Ajoneuvorekisteri-Parse Modern '!AO252</f>
        <v>4787436</v>
      </c>
      <c r="B252" t="str">
        <f>'Ajoneuvorekisteri-Parse Modern '!AN252</f>
        <v>SAJWA4GB5B</v>
      </c>
      <c r="C252" t="str" cm="1">
        <f t="array" ref="C252">_xlfn.LET(_xlpm.v,UPPER(SUBSTITUTE(CLEAN(TRIM(B252)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X150_2011MY_MARKET_W_TRANS_A_BODY_4G_EMISSION_B_CHECK_5</v>
      </c>
      <c r="D252" t="str" cm="1">
        <f t="array" ref="D252">_xlfn.LET(_xlpm.vin,SUBSTITUTE(CLEAN(TRIM(B252)),CHAR(160),""),_xlpm.rawDate,LEFT(TRIM(E252)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B38854–B44939</v>
      </c>
      <c r="E252">
        <f>'Ajoneuvorekisteri-Parse Modern '!G252</f>
        <v>20110000</v>
      </c>
      <c r="F252" t="str">
        <f>LEFT(Table34[[#This Row],[Käyttöönotto]],4)</f>
        <v>2011</v>
      </c>
      <c r="G252" t="str">
        <f>'Ajoneuvorekisteri-Parse Modern '!AA252</f>
        <v>XK Avoauto (AE) 2ov 5000cm3 A</v>
      </c>
      <c r="H252" t="str">
        <f>Ajoneuvorekisteri_Parse_Modern_XK_Range_TieliikenneAvoinData_30_06_2026_csv[[#This Row],[tyyppihyvaksyntanro]]</f>
        <v/>
      </c>
      <c r="I252">
        <f>'Ajoneuvorekisteri-Parse Modern '!M252</f>
        <v>1865</v>
      </c>
      <c r="J252">
        <f t="shared" si="15"/>
        <v>1</v>
      </c>
      <c r="K252">
        <f t="shared" si="16"/>
        <v>0</v>
      </c>
      <c r="L252">
        <f t="shared" si="17"/>
        <v>0</v>
      </c>
      <c r="M252">
        <f t="shared" si="18"/>
        <v>1</v>
      </c>
      <c r="N252">
        <f>IF(AND(Table34[[#This Row],[Coupe]]&lt;&gt;1, Table34[[#This Row],[Convertible]]&lt;&gt;1), 1, 0)</f>
        <v>0</v>
      </c>
      <c r="O252" t="str">
        <f t="shared" si="19"/>
        <v>Convertible</v>
      </c>
    </row>
    <row r="253" spans="1:15" x14ac:dyDescent="0.25">
      <c r="A253">
        <f>'Ajoneuvorekisteri-Parse Modern '!AO168</f>
        <v>2898030</v>
      </c>
      <c r="B253" t="str">
        <f>'Ajoneuvorekisteri-Parse Modern '!AN168</f>
        <v>SAJAA44R9B</v>
      </c>
      <c r="C253" t="str" cm="1">
        <f t="array" ref="C253">_xlfn.LET(_xlpm.v,UPPER(SUBSTITUTE(CLEAN(TRIM(B253)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X150_2011MY_MARKET_A_TRANS_A_BODY_44_EMISSION_R_CHECK_9</v>
      </c>
      <c r="D253" t="str" cm="1">
        <f t="array" ref="D253">_xlfn.LET(_xlpm.vin,SUBSTITUTE(CLEAN(TRIM(B253)),CHAR(160),""),_xlpm.rawDate,LEFT(TRIM(E253)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B38854–B44939</v>
      </c>
      <c r="E253">
        <f>'Ajoneuvorekisteri-Parse Modern '!G168</f>
        <v>20110104</v>
      </c>
      <c r="F253" t="str">
        <f>LEFT(Table34[[#This Row],[Käyttöönotto]],4)</f>
        <v>2011</v>
      </c>
      <c r="G253" t="str">
        <f>'Ajoneuvorekisteri-Parse Modern '!AA168</f>
        <v>XKR CONVERTIBLE Avoauto (AE) 2ov 5000cm3 A</v>
      </c>
      <c r="H253" t="str">
        <f>Ajoneuvorekisteri_Parse_Modern_XK_Range_TieliikenneAvoinData_30_06_2026_csv[[#This Row],[tyyppihyvaksyntanro]]</f>
        <v/>
      </c>
      <c r="I253">
        <f>'Ajoneuvorekisteri-Parse Modern '!M168</f>
        <v>1839</v>
      </c>
      <c r="J253">
        <f t="shared" si="15"/>
        <v>0</v>
      </c>
      <c r="K253">
        <f t="shared" si="16"/>
        <v>1</v>
      </c>
      <c r="L253">
        <f t="shared" si="17"/>
        <v>0</v>
      </c>
      <c r="M253">
        <f t="shared" si="18"/>
        <v>1</v>
      </c>
      <c r="N253">
        <f>IF(AND(Table34[[#This Row],[Coupe]]&lt;&gt;1, Table34[[#This Row],[Convertible]]&lt;&gt;1), 1, 0)</f>
        <v>0</v>
      </c>
      <c r="O253" t="str">
        <f t="shared" si="19"/>
        <v>Convertible</v>
      </c>
    </row>
    <row r="254" spans="1:15" x14ac:dyDescent="0.25">
      <c r="A254">
        <f>'Ajoneuvorekisteri-Parse Modern '!AO141</f>
        <v>2651562</v>
      </c>
      <c r="B254" t="str">
        <f>'Ajoneuvorekisteri-Parse Modern '!AN141</f>
        <v>SAJAA45R8B</v>
      </c>
      <c r="C254" t="str" cm="1">
        <f t="array" ref="C254">_xlfn.LET(_xlpm.v,UPPER(SUBSTITUTE(CLEAN(TRIM(B254)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X150_2011MY_MARKET_A_TRANS_A_BODY_45_EMISSION_R_CHECK_8</v>
      </c>
      <c r="D254" t="str" cm="1">
        <f t="array" ref="D254">_xlfn.LET(_xlpm.vin,SUBSTITUTE(CLEAN(TRIM(B254)),CHAR(160),""),_xlpm.rawDate,LEFT(TRIM(E254)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B38854–B44939</v>
      </c>
      <c r="E254">
        <f>'Ajoneuvorekisteri-Parse Modern '!G141</f>
        <v>20120301</v>
      </c>
      <c r="F254" t="str">
        <f>LEFT(Table34[[#This Row],[Käyttöönotto]],4)</f>
        <v>2012</v>
      </c>
      <c r="G254" t="str">
        <f>'Ajoneuvorekisteri-Parse Modern '!AA141</f>
        <v>XKR COUPE Coup� (AD) 2ov 5000cm3 A</v>
      </c>
      <c r="H254" t="str">
        <f>Ajoneuvorekisteri_Parse_Modern_XK_Range_TieliikenneAvoinData_30_06_2026_csv[[#This Row],[tyyppihyvaksyntanro]]</f>
        <v/>
      </c>
      <c r="I254">
        <f>'Ajoneuvorekisteri-Parse Modern '!M141</f>
        <v>1824</v>
      </c>
      <c r="J254">
        <f t="shared" si="15"/>
        <v>0</v>
      </c>
      <c r="K254">
        <f t="shared" si="16"/>
        <v>1</v>
      </c>
      <c r="L254">
        <f t="shared" si="17"/>
        <v>1</v>
      </c>
      <c r="M254">
        <f t="shared" si="18"/>
        <v>0</v>
      </c>
      <c r="N254">
        <f>IF(AND(Table34[[#This Row],[Coupe]]&lt;&gt;1, Table34[[#This Row],[Convertible]]&lt;&gt;1), 1, 0)</f>
        <v>0</v>
      </c>
      <c r="O254" t="str">
        <f t="shared" si="19"/>
        <v>Coupe</v>
      </c>
    </row>
    <row r="255" spans="1:15" x14ac:dyDescent="0.25">
      <c r="A255">
        <f>'Ajoneuvorekisteri-Parse Modern '!AO247</f>
        <v>4435768</v>
      </c>
      <c r="B255" t="str">
        <f>'Ajoneuvorekisteri-Parse Modern '!AN247</f>
        <v>SAJWA4GB5D</v>
      </c>
      <c r="C255" t="str" cm="1">
        <f t="array" ref="C255">_xlfn.LET(_xlpm.v,UPPER(SUBSTITUTE(CLEAN(TRIM(B255)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X150_2013MY_MARKET_W_TRANS_A_BODY_4G_EMISSION_B_CHECK_5</v>
      </c>
      <c r="D255" t="str" cm="1">
        <f t="array" ref="D255">_xlfn.LET(_xlpm.vin,SUBSTITUTE(CLEAN(TRIM(B255)),CHAR(160),""),_xlpm.rawDate,LEFT(TRIM(E255)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B48620–B54164</v>
      </c>
      <c r="E255">
        <f>'Ajoneuvorekisteri-Parse Modern '!G247</f>
        <v>20121122</v>
      </c>
      <c r="F255" t="str">
        <f>LEFT(Table34[[#This Row],[Käyttöönotto]],4)</f>
        <v>2012</v>
      </c>
      <c r="G255" t="str">
        <f>'Ajoneuvorekisteri-Parse Modern '!AA247</f>
        <v>XK Avoauto (AE) 2ov 5000cm3 A</v>
      </c>
      <c r="H255" t="str">
        <f>Ajoneuvorekisteri_Parse_Modern_XK_Range_TieliikenneAvoinData_30_06_2026_csv[[#This Row],[tyyppihyvaksyntanro]]</f>
        <v>e11*2001/116*0272*00</v>
      </c>
      <c r="I255">
        <f>'Ajoneuvorekisteri-Parse Modern '!M247</f>
        <v>1802</v>
      </c>
      <c r="J255">
        <f t="shared" si="15"/>
        <v>1</v>
      </c>
      <c r="K255">
        <f t="shared" si="16"/>
        <v>0</v>
      </c>
      <c r="L255">
        <f t="shared" si="17"/>
        <v>0</v>
      </c>
      <c r="M255">
        <f t="shared" si="18"/>
        <v>1</v>
      </c>
      <c r="N255">
        <f>IF(AND(Table34[[#This Row],[Coupe]]&lt;&gt;1, Table34[[#This Row],[Convertible]]&lt;&gt;1), 1, 0)</f>
        <v>0</v>
      </c>
      <c r="O255" t="str">
        <f t="shared" si="19"/>
        <v>Convertible</v>
      </c>
    </row>
    <row r="256" spans="1:15" x14ac:dyDescent="0.25">
      <c r="A256">
        <f>'Ajoneuvorekisteri-Parse Modern '!AO234</f>
        <v>4078799</v>
      </c>
      <c r="B256" t="str">
        <f>'Ajoneuvorekisteri-Parse Modern '!AN234</f>
        <v>SAJWA4FC5E</v>
      </c>
      <c r="C256" t="str" cm="1">
        <f t="array" ref="C256">_xlfn.LET(_xlpm.v,UPPER(SUBSTITUTE(CLEAN(TRIM(B256)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X150_2014MY_MARKET_W_TRANS_A_BODY_4F_EMISSION_C_CHECK_5</v>
      </c>
      <c r="D256" t="str" cm="1">
        <f t="array" ref="D256">_xlfn.LET(_xlpm.vin,SUBSTITUTE(CLEAN(TRIM(B256)),CHAR(160),""),_xlpm.rawDate,LEFT(TRIM(E256)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B54165–B56794</v>
      </c>
      <c r="E256">
        <f>'Ajoneuvorekisteri-Parse Modern '!G234</f>
        <v>20131212</v>
      </c>
      <c r="F256" t="str">
        <f>LEFT(Table34[[#This Row],[Käyttöönotto]],4)</f>
        <v>2013</v>
      </c>
      <c r="G256" t="str">
        <f>'Ajoneuvorekisteri-Parse Modern '!AA234</f>
        <v>XKR Coup� (AD) 2ov 5000cm3 A</v>
      </c>
      <c r="H256" t="str">
        <f>Ajoneuvorekisteri_Parse_Modern_XK_Range_TieliikenneAvoinData_30_06_2026_csv[[#This Row],[tyyppihyvaksyntanro]]</f>
        <v/>
      </c>
      <c r="I256">
        <f>'Ajoneuvorekisteri-Parse Modern '!M234</f>
        <v>1845</v>
      </c>
      <c r="J256">
        <f t="shared" si="15"/>
        <v>0</v>
      </c>
      <c r="K256">
        <f t="shared" si="16"/>
        <v>1</v>
      </c>
      <c r="L256">
        <f t="shared" si="17"/>
        <v>1</v>
      </c>
      <c r="M256">
        <f t="shared" si="18"/>
        <v>0</v>
      </c>
      <c r="N256">
        <f>IF(AND(Table34[[#This Row],[Coupe]]&lt;&gt;1, Table34[[#This Row],[Convertible]]&lt;&gt;1), 1, 0)</f>
        <v>0</v>
      </c>
      <c r="O256" t="str">
        <f t="shared" si="19"/>
        <v>Coupe</v>
      </c>
    </row>
    <row r="257" spans="1:15" x14ac:dyDescent="0.25">
      <c r="A257">
        <f>'Ajoneuvorekisteri-Parse Modern '!AO182</f>
        <v>3169850</v>
      </c>
      <c r="B257" t="str">
        <f>'Ajoneuvorekisteri-Parse Modern '!AN182</f>
        <v>SAJAA44P5E</v>
      </c>
      <c r="C257" t="str" cm="1">
        <f t="array" ref="C257">_xlfn.LET(_xlpm.v,UPPER(SUBSTITUTE(CLEAN(TRIM(B257)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X150_2014MY_MARKET_A_TRANS_A_BODY_44_EMISSION_P_CHECK_5</v>
      </c>
      <c r="D257" t="str" cm="1">
        <f t="array" ref="D257">_xlfn.LET(_xlpm.vin,SUBSTITUTE(CLEAN(TRIM(B257)),CHAR(160),""),_xlpm.rawDate,LEFT(TRIM(E257)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B54165–B56794</v>
      </c>
      <c r="E257">
        <f>'Ajoneuvorekisteri-Parse Modern '!G182</f>
        <v>20140320</v>
      </c>
      <c r="F257" t="str">
        <f>LEFT(Table34[[#This Row],[Käyttöönotto]],4)</f>
        <v>2014</v>
      </c>
      <c r="G257" t="str">
        <f>'Ajoneuvorekisteri-Parse Modern '!AA182</f>
        <v>XK 5.0 V8  CABRIOLET Avoauto (AE) 2ov 5000cm3 A</v>
      </c>
      <c r="H257" t="str">
        <f>Ajoneuvorekisteri_Parse_Modern_XK_Range_TieliikenneAvoinData_30_06_2026_csv[[#This Row],[tyyppihyvaksyntanro]]</f>
        <v>e11*2001/116*0272*01</v>
      </c>
      <c r="I257">
        <f>'Ajoneuvorekisteri-Parse Modern '!M182</f>
        <v>1734</v>
      </c>
      <c r="J257">
        <f t="shared" si="15"/>
        <v>1</v>
      </c>
      <c r="K257">
        <f t="shared" si="16"/>
        <v>0</v>
      </c>
      <c r="L257">
        <f t="shared" si="17"/>
        <v>0</v>
      </c>
      <c r="M257">
        <f t="shared" si="18"/>
        <v>1</v>
      </c>
      <c r="N257">
        <f>IF(AND(Table34[[#This Row],[Coupe]]&lt;&gt;1, Table34[[#This Row],[Convertible]]&lt;&gt;1), 1, 0)</f>
        <v>0</v>
      </c>
      <c r="O257" t="str">
        <f t="shared" si="19"/>
        <v>Convertible</v>
      </c>
    </row>
    <row r="264" spans="1:15" x14ac:dyDescent="0.25">
      <c r="J264" t="str">
        <f t="shared" ref="J264:J286" si="20">IF(OR(
    ISNUMBER(SEARCH("COUPE", E264)),
    ISNUMBER(SEARCH("COUPÉ", E264)),
    ISNUMBER(SEARCH("COUP�", E264))
), 1, "")</f>
        <v/>
      </c>
      <c r="K264" t="str">
        <f t="shared" ref="K264:K286" si="21">IF(OR(
    ISNUMBER(SEARCH("CONVERTIBLE",E264)),
    ISNUMBER(SEARCH("AVOAUTO",E264)),
    ISNUMBER(SEARCH("AVO",E264)),
    ISNUMBER(SEARCH("CABRIO",E264))
),1,"")</f>
        <v/>
      </c>
    </row>
    <row r="265" spans="1:15" x14ac:dyDescent="0.25">
      <c r="J265" t="str">
        <f t="shared" si="20"/>
        <v/>
      </c>
      <c r="K265" t="str">
        <f t="shared" si="21"/>
        <v/>
      </c>
    </row>
    <row r="266" spans="1:15" x14ac:dyDescent="0.25">
      <c r="J266" t="str">
        <f t="shared" si="20"/>
        <v/>
      </c>
      <c r="K266" t="str">
        <f t="shared" si="21"/>
        <v/>
      </c>
    </row>
    <row r="267" spans="1:15" x14ac:dyDescent="0.25">
      <c r="J267" t="str">
        <f t="shared" si="20"/>
        <v/>
      </c>
      <c r="K267" t="str">
        <f t="shared" si="21"/>
        <v/>
      </c>
    </row>
    <row r="268" spans="1:15" x14ac:dyDescent="0.25">
      <c r="J268" t="str">
        <f t="shared" si="20"/>
        <v/>
      </c>
      <c r="K268" t="str">
        <f t="shared" si="21"/>
        <v/>
      </c>
    </row>
    <row r="269" spans="1:15" x14ac:dyDescent="0.25">
      <c r="J269" t="str">
        <f t="shared" si="20"/>
        <v/>
      </c>
      <c r="K269" t="str">
        <f t="shared" si="21"/>
        <v/>
      </c>
    </row>
    <row r="270" spans="1:15" x14ac:dyDescent="0.25">
      <c r="J270" t="str">
        <f t="shared" si="20"/>
        <v/>
      </c>
      <c r="K270" t="str">
        <f t="shared" si="21"/>
        <v/>
      </c>
    </row>
    <row r="271" spans="1:15" x14ac:dyDescent="0.25">
      <c r="J271" t="str">
        <f t="shared" si="20"/>
        <v/>
      </c>
      <c r="K271" t="str">
        <f t="shared" si="21"/>
        <v/>
      </c>
    </row>
    <row r="272" spans="1:15" x14ac:dyDescent="0.25">
      <c r="J272" t="str">
        <f t="shared" si="20"/>
        <v/>
      </c>
      <c r="K272" t="str">
        <f t="shared" si="21"/>
        <v/>
      </c>
    </row>
    <row r="273" spans="10:11" x14ac:dyDescent="0.25">
      <c r="J273" t="str">
        <f t="shared" si="20"/>
        <v/>
      </c>
      <c r="K273" t="str">
        <f t="shared" si="21"/>
        <v/>
      </c>
    </row>
    <row r="274" spans="10:11" x14ac:dyDescent="0.25">
      <c r="J274" t="str">
        <f t="shared" si="20"/>
        <v/>
      </c>
      <c r="K274" t="str">
        <f t="shared" si="21"/>
        <v/>
      </c>
    </row>
    <row r="275" spans="10:11" x14ac:dyDescent="0.25">
      <c r="J275" t="str">
        <f t="shared" si="20"/>
        <v/>
      </c>
      <c r="K275" t="str">
        <f t="shared" si="21"/>
        <v/>
      </c>
    </row>
    <row r="276" spans="10:11" x14ac:dyDescent="0.25">
      <c r="J276" t="str">
        <f t="shared" si="20"/>
        <v/>
      </c>
      <c r="K276" t="str">
        <f t="shared" si="21"/>
        <v/>
      </c>
    </row>
    <row r="277" spans="10:11" x14ac:dyDescent="0.25">
      <c r="J277" t="str">
        <f t="shared" si="20"/>
        <v/>
      </c>
      <c r="K277" t="str">
        <f t="shared" si="21"/>
        <v/>
      </c>
    </row>
    <row r="278" spans="10:11" x14ac:dyDescent="0.25">
      <c r="J278" t="str">
        <f t="shared" si="20"/>
        <v/>
      </c>
      <c r="K278" t="str">
        <f t="shared" si="21"/>
        <v/>
      </c>
    </row>
    <row r="279" spans="10:11" x14ac:dyDescent="0.25">
      <c r="J279" t="str">
        <f t="shared" si="20"/>
        <v/>
      </c>
      <c r="K279" t="str">
        <f t="shared" si="21"/>
        <v/>
      </c>
    </row>
    <row r="280" spans="10:11" x14ac:dyDescent="0.25">
      <c r="J280" t="str">
        <f t="shared" si="20"/>
        <v/>
      </c>
      <c r="K280" t="str">
        <f t="shared" si="21"/>
        <v/>
      </c>
    </row>
    <row r="281" spans="10:11" x14ac:dyDescent="0.25">
      <c r="J281" t="str">
        <f t="shared" si="20"/>
        <v/>
      </c>
      <c r="K281" t="str">
        <f t="shared" si="21"/>
        <v/>
      </c>
    </row>
    <row r="282" spans="10:11" x14ac:dyDescent="0.25">
      <c r="J282" t="str">
        <f t="shared" si="20"/>
        <v/>
      </c>
      <c r="K282" t="str">
        <f t="shared" si="21"/>
        <v/>
      </c>
    </row>
    <row r="283" spans="10:11" x14ac:dyDescent="0.25">
      <c r="J283" t="str">
        <f t="shared" si="20"/>
        <v/>
      </c>
      <c r="K283" t="str">
        <f t="shared" si="21"/>
        <v/>
      </c>
    </row>
    <row r="284" spans="10:11" x14ac:dyDescent="0.25">
      <c r="J284" t="str">
        <f t="shared" si="20"/>
        <v/>
      </c>
      <c r="K284" t="str">
        <f t="shared" si="21"/>
        <v/>
      </c>
    </row>
    <row r="285" spans="10:11" x14ac:dyDescent="0.25">
      <c r="J285" t="str">
        <f t="shared" si="20"/>
        <v/>
      </c>
      <c r="K285" t="str">
        <f t="shared" si="21"/>
        <v/>
      </c>
    </row>
    <row r="286" spans="10:11" x14ac:dyDescent="0.25">
      <c r="J286" t="str">
        <f t="shared" si="20"/>
        <v/>
      </c>
      <c r="K286" t="str">
        <f t="shared" si="21"/>
        <v/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F1AF1-6CA0-4C44-9BCB-52D49F213C91}">
  <dimension ref="C6:W20"/>
  <sheetViews>
    <sheetView workbookViewId="0">
      <selection activeCell="C5" sqref="C5"/>
    </sheetView>
  </sheetViews>
  <sheetFormatPr defaultRowHeight="15" x14ac:dyDescent="0.25"/>
  <cols>
    <col min="1" max="1" width="13.42578125" bestFit="1" customWidth="1"/>
    <col min="2" max="2" width="12.85546875" bestFit="1" customWidth="1"/>
    <col min="3" max="3" width="19.140625" bestFit="1" customWidth="1"/>
    <col min="4" max="4" width="5.140625" customWidth="1"/>
    <col min="5" max="22" width="5" bestFit="1" customWidth="1"/>
    <col min="23" max="23" width="11.28515625" bestFit="1" customWidth="1"/>
    <col min="24" max="39" width="5" bestFit="1" customWidth="1"/>
    <col min="40" max="40" width="11.85546875" bestFit="1" customWidth="1"/>
    <col min="41" max="41" width="11.140625" bestFit="1" customWidth="1"/>
    <col min="42" max="45" width="5" bestFit="1" customWidth="1"/>
    <col min="46" max="46" width="14.28515625" bestFit="1" customWidth="1"/>
    <col min="47" max="47" width="11.28515625" bestFit="1" customWidth="1"/>
  </cols>
  <sheetData>
    <row r="6" spans="3:23" x14ac:dyDescent="0.25">
      <c r="D6" s="3" t="s">
        <v>463</v>
      </c>
    </row>
    <row r="7" spans="3:23" x14ac:dyDescent="0.25">
      <c r="C7" s="3" t="s">
        <v>461</v>
      </c>
      <c r="D7" t="s">
        <v>489</v>
      </c>
      <c r="E7" t="s">
        <v>470</v>
      </c>
      <c r="F7" t="s">
        <v>476</v>
      </c>
      <c r="G7" t="s">
        <v>478</v>
      </c>
      <c r="H7" t="s">
        <v>490</v>
      </c>
      <c r="I7" t="s">
        <v>479</v>
      </c>
      <c r="J7" t="s">
        <v>480</v>
      </c>
      <c r="K7" t="s">
        <v>471</v>
      </c>
      <c r="L7" t="s">
        <v>474</v>
      </c>
      <c r="M7" t="s">
        <v>466</v>
      </c>
      <c r="N7" t="s">
        <v>473</v>
      </c>
      <c r="O7" t="s">
        <v>467</v>
      </c>
      <c r="P7" t="s">
        <v>464</v>
      </c>
      <c r="Q7" t="s">
        <v>477</v>
      </c>
      <c r="R7" t="s">
        <v>475</v>
      </c>
      <c r="S7" t="s">
        <v>469</v>
      </c>
      <c r="T7" t="s">
        <v>465</v>
      </c>
      <c r="U7" t="s">
        <v>468</v>
      </c>
      <c r="V7" t="s">
        <v>472</v>
      </c>
      <c r="W7" t="s">
        <v>462</v>
      </c>
    </row>
    <row r="8" spans="3:23" x14ac:dyDescent="0.25">
      <c r="C8" s="4" t="s">
        <v>485</v>
      </c>
    </row>
    <row r="9" spans="3:23" x14ac:dyDescent="0.25">
      <c r="C9" s="5" t="s">
        <v>496</v>
      </c>
      <c r="D9">
        <v>0</v>
      </c>
      <c r="E9">
        <v>0</v>
      </c>
      <c r="F9">
        <v>2</v>
      </c>
      <c r="G9">
        <v>4</v>
      </c>
      <c r="H9">
        <v>4</v>
      </c>
      <c r="I9">
        <v>4</v>
      </c>
      <c r="J9">
        <v>4</v>
      </c>
      <c r="K9">
        <v>0</v>
      </c>
      <c r="L9">
        <v>1</v>
      </c>
      <c r="M9">
        <v>1</v>
      </c>
      <c r="N9">
        <v>0</v>
      </c>
      <c r="O9">
        <v>3</v>
      </c>
      <c r="P9">
        <v>2</v>
      </c>
      <c r="Q9">
        <v>2</v>
      </c>
      <c r="R9">
        <v>0</v>
      </c>
      <c r="S9">
        <v>1</v>
      </c>
      <c r="T9">
        <v>0</v>
      </c>
      <c r="V9">
        <v>0</v>
      </c>
      <c r="W9">
        <v>28</v>
      </c>
    </row>
    <row r="10" spans="3:23" x14ac:dyDescent="0.25">
      <c r="C10" s="5" t="s">
        <v>493</v>
      </c>
      <c r="D10">
        <v>1</v>
      </c>
      <c r="E10">
        <v>18</v>
      </c>
      <c r="F10">
        <v>18</v>
      </c>
      <c r="G10">
        <v>13</v>
      </c>
      <c r="H10">
        <v>3</v>
      </c>
      <c r="I10">
        <v>4</v>
      </c>
      <c r="J10">
        <v>4</v>
      </c>
      <c r="K10">
        <v>7</v>
      </c>
      <c r="L10">
        <v>5</v>
      </c>
      <c r="M10">
        <v>1</v>
      </c>
      <c r="N10">
        <v>11</v>
      </c>
      <c r="O10">
        <v>7</v>
      </c>
      <c r="P10">
        <v>3</v>
      </c>
      <c r="Q10">
        <v>0</v>
      </c>
      <c r="R10">
        <v>2</v>
      </c>
      <c r="S10">
        <v>1</v>
      </c>
      <c r="T10">
        <v>1</v>
      </c>
      <c r="V10">
        <v>1</v>
      </c>
      <c r="W10">
        <v>100</v>
      </c>
    </row>
    <row r="11" spans="3:23" x14ac:dyDescent="0.25">
      <c r="C11" s="4" t="s">
        <v>484</v>
      </c>
    </row>
    <row r="12" spans="3:23" x14ac:dyDescent="0.25">
      <c r="C12" s="5" t="s">
        <v>496</v>
      </c>
      <c r="D12">
        <v>0</v>
      </c>
      <c r="E12">
        <v>0</v>
      </c>
      <c r="F12">
        <v>5</v>
      </c>
      <c r="G12">
        <v>9</v>
      </c>
      <c r="H12">
        <v>7</v>
      </c>
      <c r="I12">
        <v>1</v>
      </c>
      <c r="J12">
        <v>1</v>
      </c>
      <c r="K12">
        <v>0</v>
      </c>
      <c r="L12">
        <v>1</v>
      </c>
      <c r="M12">
        <v>2</v>
      </c>
      <c r="N12">
        <v>2</v>
      </c>
      <c r="O12">
        <v>8</v>
      </c>
      <c r="P12">
        <v>3</v>
      </c>
      <c r="Q12">
        <v>2</v>
      </c>
      <c r="R12">
        <v>1</v>
      </c>
      <c r="T12">
        <v>1</v>
      </c>
      <c r="U12">
        <v>1</v>
      </c>
      <c r="W12">
        <v>44</v>
      </c>
    </row>
    <row r="13" spans="3:23" x14ac:dyDescent="0.25">
      <c r="C13" s="5" t="s">
        <v>493</v>
      </c>
      <c r="D13">
        <v>2</v>
      </c>
      <c r="E13">
        <v>16</v>
      </c>
      <c r="F13">
        <v>11</v>
      </c>
      <c r="G13">
        <v>10</v>
      </c>
      <c r="H13">
        <v>5</v>
      </c>
      <c r="I13">
        <v>2</v>
      </c>
      <c r="J13">
        <v>1</v>
      </c>
      <c r="K13">
        <v>2</v>
      </c>
      <c r="L13">
        <v>0</v>
      </c>
      <c r="M13">
        <v>3</v>
      </c>
      <c r="N13">
        <v>13</v>
      </c>
      <c r="O13">
        <v>8</v>
      </c>
      <c r="P13">
        <v>4</v>
      </c>
      <c r="Q13">
        <v>2</v>
      </c>
      <c r="R13">
        <v>0</v>
      </c>
      <c r="T13">
        <v>0</v>
      </c>
      <c r="U13">
        <v>0</v>
      </c>
      <c r="W13">
        <v>79</v>
      </c>
    </row>
    <row r="14" spans="3:23" x14ac:dyDescent="0.25">
      <c r="C14" s="4" t="s">
        <v>487</v>
      </c>
    </row>
    <row r="15" spans="3:23" x14ac:dyDescent="0.25">
      <c r="C15" s="5" t="s">
        <v>496</v>
      </c>
      <c r="E15">
        <v>0</v>
      </c>
      <c r="G15">
        <v>0</v>
      </c>
      <c r="K15">
        <v>1</v>
      </c>
      <c r="O15">
        <v>1</v>
      </c>
      <c r="P15">
        <v>1</v>
      </c>
      <c r="W15">
        <v>3</v>
      </c>
    </row>
    <row r="16" spans="3:23" x14ac:dyDescent="0.25">
      <c r="C16" s="5" t="s">
        <v>493</v>
      </c>
      <c r="E16">
        <v>1</v>
      </c>
      <c r="G16">
        <v>1</v>
      </c>
      <c r="K16">
        <v>0</v>
      </c>
      <c r="O16">
        <v>0</v>
      </c>
      <c r="P16">
        <v>0</v>
      </c>
      <c r="W16">
        <v>2</v>
      </c>
    </row>
    <row r="17" spans="3:23" x14ac:dyDescent="0.25">
      <c r="C17" s="4" t="s">
        <v>495</v>
      </c>
      <c r="D17">
        <v>0</v>
      </c>
      <c r="E17">
        <v>0</v>
      </c>
      <c r="F17">
        <v>7</v>
      </c>
      <c r="G17">
        <v>13</v>
      </c>
      <c r="H17">
        <v>11</v>
      </c>
      <c r="I17">
        <v>5</v>
      </c>
      <c r="J17">
        <v>5</v>
      </c>
      <c r="K17">
        <v>1</v>
      </c>
      <c r="L17">
        <v>2</v>
      </c>
      <c r="M17">
        <v>3</v>
      </c>
      <c r="N17">
        <v>2</v>
      </c>
      <c r="O17">
        <v>12</v>
      </c>
      <c r="P17">
        <v>6</v>
      </c>
      <c r="Q17">
        <v>4</v>
      </c>
      <c r="R17">
        <v>1</v>
      </c>
      <c r="S17">
        <v>1</v>
      </c>
      <c r="T17">
        <v>1</v>
      </c>
      <c r="U17">
        <v>1</v>
      </c>
      <c r="V17">
        <v>0</v>
      </c>
      <c r="W17">
        <v>75</v>
      </c>
    </row>
    <row r="18" spans="3:23" x14ac:dyDescent="0.25">
      <c r="C18" s="4" t="s">
        <v>494</v>
      </c>
      <c r="D18">
        <v>3</v>
      </c>
      <c r="E18">
        <v>35</v>
      </c>
      <c r="F18">
        <v>29</v>
      </c>
      <c r="G18">
        <v>24</v>
      </c>
      <c r="H18">
        <v>8</v>
      </c>
      <c r="I18">
        <v>6</v>
      </c>
      <c r="J18">
        <v>5</v>
      </c>
      <c r="K18">
        <v>9</v>
      </c>
      <c r="L18">
        <v>5</v>
      </c>
      <c r="M18">
        <v>4</v>
      </c>
      <c r="N18">
        <v>24</v>
      </c>
      <c r="O18">
        <v>15</v>
      </c>
      <c r="P18">
        <v>7</v>
      </c>
      <c r="Q18">
        <v>2</v>
      </c>
      <c r="R18">
        <v>2</v>
      </c>
      <c r="S18">
        <v>1</v>
      </c>
      <c r="T18">
        <v>1</v>
      </c>
      <c r="U18">
        <v>0</v>
      </c>
      <c r="V18">
        <v>1</v>
      </c>
      <c r="W18">
        <v>181</v>
      </c>
    </row>
    <row r="20" spans="3:23" x14ac:dyDescent="0.25">
      <c r="V20" t="s">
        <v>497</v>
      </c>
      <c r="W20">
        <f>SUM(W17:W18)</f>
        <v>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77B9-5A5B-4BB9-9837-A3679FCF54A3}">
  <dimension ref="A1:R286"/>
  <sheetViews>
    <sheetView workbookViewId="0">
      <selection activeCell="F252" sqref="F252"/>
    </sheetView>
  </sheetViews>
  <sheetFormatPr defaultRowHeight="15" x14ac:dyDescent="0.25"/>
  <cols>
    <col min="1" max="2" width="12.42578125" bestFit="1" customWidth="1"/>
    <col min="3" max="3" width="26.7109375" customWidth="1"/>
    <col min="4" max="4" width="19.28515625" customWidth="1"/>
    <col min="5" max="5" width="14.28515625" bestFit="1" customWidth="1"/>
    <col min="6" max="6" width="61.85546875" bestFit="1" customWidth="1"/>
    <col min="7" max="7" width="15" customWidth="1"/>
    <col min="8" max="9" width="10.85546875" bestFit="1" customWidth="1"/>
    <col min="10" max="10" width="22.140625" bestFit="1" customWidth="1"/>
    <col min="11" max="12" width="13.140625" customWidth="1"/>
    <col min="13" max="13" width="9.28515625" bestFit="1" customWidth="1"/>
    <col min="14" max="14" width="14" bestFit="1" customWidth="1"/>
    <col min="15" max="15" width="14" customWidth="1"/>
    <col min="17" max="17" width="12" bestFit="1" customWidth="1"/>
    <col min="20" max="20" width="11.28515625" customWidth="1"/>
    <col min="21" max="21" width="14.28515625" customWidth="1"/>
    <col min="22" max="22" width="15.42578125" customWidth="1"/>
    <col min="24" max="24" width="13" customWidth="1"/>
  </cols>
  <sheetData>
    <row r="1" spans="1:18" x14ac:dyDescent="0.25">
      <c r="A1" s="2" t="s">
        <v>40</v>
      </c>
      <c r="B1" t="s">
        <v>482</v>
      </c>
      <c r="C1" t="s">
        <v>498</v>
      </c>
      <c r="D1" t="s">
        <v>500</v>
      </c>
      <c r="E1" t="s">
        <v>501</v>
      </c>
      <c r="F1" t="s">
        <v>502</v>
      </c>
      <c r="G1" t="s">
        <v>499</v>
      </c>
      <c r="H1" t="s">
        <v>481</v>
      </c>
      <c r="I1" t="s">
        <v>488</v>
      </c>
      <c r="J1" t="s">
        <v>483</v>
      </c>
      <c r="K1" t="s">
        <v>31</v>
      </c>
      <c r="L1" t="s">
        <v>486</v>
      </c>
      <c r="M1" t="s">
        <v>491</v>
      </c>
      <c r="N1" t="s">
        <v>165</v>
      </c>
      <c r="O1" t="s">
        <v>484</v>
      </c>
      <c r="P1" t="s">
        <v>485</v>
      </c>
      <c r="Q1" t="s">
        <v>487</v>
      </c>
      <c r="R1" t="s">
        <v>492</v>
      </c>
    </row>
    <row r="2" spans="1:18" x14ac:dyDescent="0.25">
      <c r="A2">
        <f>'Ajoneuvorekisteri-Parse Modern '!AO33</f>
        <v>1035687</v>
      </c>
      <c r="B2" t="str">
        <f>'Ajoneuvorekisteri-Parse Modern '!AN33</f>
        <v>SAJJGAED4A</v>
      </c>
      <c r="C2" t="str">
        <f t="shared" ref="C2:C65" si="0">_xlfn.LET(_xlpm.v,SUBSTITUTE(CLEAN(TRIM(B2)),CHAR(160),""),IF(AND(LEN(_xlpm.v)=10,LEFT(_xlpm.v,5)="SAJJG",OR(MID(_xlpm.v,7,1)="E",MID(_xlpm.v,7,1)="F"),OR(MID(_xlpm.v,8,1)="D",MID(_xlpm.v,8,1)="F"),OR(MID(_xlpm.v,9,1)="3",MID(_xlpm.v,9,1)="4"),MID(_xlpm.v,10,1)="A"),"X100_EARLY_NORMAL_AR (JDHT)",IF(AND(LEN(_xlpm.v)=10,LEFT(_xlpm.v,5)="SAJJG",MID(_xlpm.v,6,1)="A",OR(MID(_xlpm.v,7,1)="E",MID(_xlpm.v,7,1)="F"),MID(_xlpm.v,8,1)="D",OR(MID(_xlpm.v,9,1)="3",MID(_xlpm.v,9,1)="4"),OR(MID(_xlpm.v,10,1)="V",MID(_xlpm.v,10,1)="W",MID(_xlpm.v,10,1)="X")),"X100_NORMAL (JDHT)",IF(AND(LEN(_xlpm.v)=10,LEFT(_xlpm.v,5)="SAJJG",OR(MID(_xlpm.v,6,1)="A",MID(_xlpm.v,6,1)="K",MID(_xlpm.v,6,1)="N",MID(_xlpm.v,6,1)="X"),OR(MID(_xlpm.v,7,1)="E",MID(_xlpm.v,7,1)="F"),OR(MID(_xlpm.v,8,1)="D",MID(_xlpm.v,8,1)="F"),OR(MID(_xlpm.v,9,1)="3",MID(_xlpm.v,9,1)="4"),OR(MID(_xlpm.v,10,1)="V",MID(_xlpm.v,10,1)="W",MID(_xlpm.v,10,1)="X")),"X100_JLM20300",IF(AND(LEN(_xlpm.v)=10,LEFT(_xlpm.v,5)="SAJJG",OR(MID(_xlpm.v,6,1)="N",MID(_xlpm.v,6,1)="S",MID(_xlpm.v,6,1)="X"),OR(MID(_xlpm.v,7,1)="E",MID(_xlpm.v,7,1)="F"),OR(MID(_xlpm.v,8,1)="D",MID(_xlpm.v,8,1)="F"),OR(MID(_xlpm.v,9,1)="3",MID(_xlpm.v,9,1)="4"),OR(MID(_xlpm.v,10,1)="V",MID(_xlpm.v,10,1)="W",MID(_xlpm.v,10,1)="X")),"X100_JLM20301",IF(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(JLM20301_unique)","UNKNOWN: ["&amp;IF(LEN(_xlpm.v)&lt;&gt;10,"length="&amp;LEN(_xlpm.v),"")&amp;IF(AND(LEN(_xlpm.v)=10,LEFT(_xlpm.v,5)&lt;&gt;"SAJJG",LEFT(_xlpm.v,5)&lt;&gt;"SAJGX"),"prefix="&amp;LEFT(_xlpm.v,5),"")&amp;IF(AND(LEN(_xlpm.v)=10,LEFT(_xlpm.v,5)="SAJJG",NOT(OR(MID(_xlpm.v,7,1)="E",MID(_xlpm.v,7,1)="F"))),"7="&amp;MID(_xlpm.v,7,1),"")&amp;IF(AND(LEN(_xlpm.v)=10,LEFT(_xlpm.v,5)="SAJJG",NOT(OR(MID(_xlpm.v,8,1)="D",MID(_xlpm.v,8,1)="F"))),"8="&amp;MID(_xlpm.v,8,1),"")&amp;IF(AND(LEN(_xlpm.v)=10,LEFT(_xlpm.v,5)="SAJJG",NOT(OR(MID(_xlpm.v,9,1)="3",MID(_xlpm.v,9,1)="4"))),"9="&amp;MID(_xlpm.v,9,1),"")&amp;IF(AND(LEN(_xlpm.v)=10,LEFT(_xlpm.v,5)="SAJJG",NOT(OR(MID(_xlpm.v,10,1)="A",MID(_xlpm.v,10,1)="V",MID(_xlpm.v,10,1)="W",MID(_xlpm.v,10,1)="X"))),"10="&amp;MID(_xlpm.v,10,1),"")&amp;IF(AND(LEN(_xlpm.v)=10,LEFT(_xlpm.v,5)="SAJGX",NOT(OR(MID(_xlpm.v,6,1)="2",MID(_xlpm.v,6,1)="5"))),"6="&amp;MID(_xlpm.v,6,1),"")&amp;IF(AND(LEN(_xlpm.v)=10,LEFT(_xlpm.v,5)="SAJGX",NOT(OR(MID(_xlpm.v,7,1)="1",MID(_xlpm.v,7,1)="2",MID(_xlpm.v,7,1)="7"))),"7="&amp;MID(_xlpm.v,7,1),"")&amp;IF(AND(LEN(_xlpm.v)=10,LEFT(_xlpm.v,5)="SAJGX",OR(MID(_xlpm.v,7,1)="1",MID(_xlpm.v,7,1)="2",MID(_xlpm.v,7,1)="7"),MID(_xlpm.v,8,1)&lt;&gt;"4"),"8="&amp;MID(_xlpm.v,8,1),"")&amp;"]"))))))</f>
        <v>X100_EARLY_NORMAL_AR (JDHT)</v>
      </c>
      <c r="D2" t="str">
        <f t="shared" ref="D2:D65" si="1">_xlfn.LET(_xlpm.vinx,SUBSTITUTE(CLEAN(TRIM(B2)),CHAR(160),""),_xlpm.mkt,MID(_xlpm.vinx,4,1),_xlpm.trans,MID(_xlpm.vinx,5,1),_xlpm.body,MID(_xlpm.vinx,6,2),_xlpm.emis,MID(_xlpm.vinx,8,1),_xlpm.my,MID(_xlpm.vinx,10,1),IF(LEN(_xlpm.vinx)&lt;&gt;10,"UNKNOWN: [length="&amp;LEN(_xlpm.vinx)&amp;"]",IF(LEFT(_xlpm.vinx,3)&lt;&gt;"SAJ","UNKNOWN: [prefix="&amp;LEFT(_xlpm.vinx,3)&amp;"]",IF(NOT(ISNUMBER(FIND(_xlpm.mkt,"BFGXPRTYDEJW"))),"UNKNOWN: [4="&amp;_xlpm.mkt&amp;"]",IF(NOT(OR(_xlpm.trans="A",_xlpm.trans="B")),"UNKNOWN: [5="&amp;_xlpm.trans&amp;"]",IF(NOT(OR(_xlpm.body="41",_xlpm.body="42")),"UNKNOWN: [6-7="&amp;_xlpm.body&amp;"]",IF(OR(CODE(_xlpm.emis)&lt;65,CODE(_xlpm.emis)&gt;88),"UNKNOWN: [8="&amp;_xlpm.emis&amp;"]",IF(NOT(OR(_xlpm.my="X",_xlpm.my="Y",_xlpm.my="1",_xlpm.my="2",_xlpm.my="3",_xlpm.my="4",_xlpm.my="5",_xlpm.my="6",_xlpm.my="7",_xlpm.my="8",_xlpm.my="9")),"UNKNOWN: [10="&amp;_xlpm.my&amp;"]","XK8-XKR_"&amp;IF(_xlpm.body="41","COUPE","CONVERTIBLE")&amp;"_"&amp;IF(ISNUMBER(FIND(_xlpm.mkt,"DEJW")),"USA",IF(ISNUMBER(FIND(_xlpm.mkt,"BFGX")),"CANADA","MEXICO"))&amp;"_"&amp;IF(_xlpm.trans="A","AUTO_LHD","MANUAL_LHD")&amp;"_EMISSION_"&amp;_xlpm.emis&amp;"_"&amp;IF(_xlpm.my="X","1999",IF(_xlpm.my="Y","2000","20"&amp;_xlpm.my))&amp;"MY"))))))))</f>
        <v>UNKNOWN: [5=G]</v>
      </c>
      <c r="E2" t="str">
        <f t="shared" ref="E2:E65" si="2">_xlfn.LET(_xlpm.vin,UPPER(SUBSTITUTE(CLEAN(TRIM(B2)),CHAR(160),"")),_xlpm.mkt,MID(_xlpm.vin,4,1),_xlpm.trn,MID(_xlpm.vin,5,1),_xlpm.body,MID(_xlpm.vin,6,2),_xlpm.ems,MID(_xlpm.vin,8,1),_xlpm.myc,MID(_xlpm.vin,10,1),IF(AND(LEN(_xlpm.vin)=10,LEFT(_xlpm.vin,3)="SAJ",OR(_xlpm.mkt="A",_xlpm.mkt="B",_xlpm.mkt="D",_xlpm.mkt="E",_xlpm.mkt="F",_xlpm.mkt="J",_xlpm.mkt="K",_xlpm.mkt="P",_xlpm.mkt="R",_xlpm.mkt="W",_xlpm.mkt="X",_xlpm.mkt="Y"),OR(_xlpm.trn="A",_xlpm.trn="C"),OR(_xlpm.body="43",_xlpm.body="4D",_xlpm.body="44",_xlpm.body="4E",_xlpm.body="45",_xlpm.body="4F",_xlpm.body="46",_xlpm.body="4G",_xlpm.body="47"),OR(_xlpm.ems="A",_xlpm.ems="B",_xlpm.ems="C",_xlpm.ems="D",_xlpm.ems="E",_xlpm.ems="F",_xlpm.ems="G",_xlpm.ems="K",_xlpm.ems="N",_xlpm.ems="P",_xlpm.ems="R",_xlpm.ems="S",_xlpm.ems="T",_xlpm.ems="U",_xlpm.ems="V",_xlpm.ems="W",_xlpm.ems="X",_xlpm.ems="Y",_xlpm.ems="1",_xlpm.ems="2",_xlpm.ems="3",_xlpm.ems="4"),OR(_xlpm.myc="7",_xlpm.myc="8",_xlpm.myc="9",_xlpm.myc="A",_xlpm.myc="B",_xlpm.myc="C",_xlpm.myc="D",_xlpm.myc="E")),"X150_"&amp;IF(_xlpm.myc="7","2007MY",IF(_xlpm.myc="8","2008MY",IF(_xlpm.myc="9","2009MY",IF(_xlpm.myc="A","2010MY",IF(_xlpm.myc="B","2011MY",IF(_xlpm.myc="C","2012MY",IF(_xlpm.myc="D","2013MY",IF(_xlpm.myc="E","2014MY","UNKNOWN")))))))),"UNKNOWN"))</f>
        <v>UNKNOWN</v>
      </c>
      <c r="F2" t="str" cm="1">
        <f t="array" ref="F2">_xlfn.LET(_xlpm.v,UPPER(SUBSTITUTE(CLEAN(TRIM(B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2" t="str" cm="1">
        <f t="array" ref="G2">_xlfn.LET(_xlpm.vin,SUBSTITUTE(CLEAN(TRIM(B2)),CHAR(160),""),_xlpm.rawDate,LEFT(TRIM(H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001246–008106</v>
      </c>
      <c r="H2">
        <f>'Ajoneuvorekisteri-Parse Modern '!G33</f>
        <v>19961018</v>
      </c>
      <c r="I2" t="str">
        <f>LEFT(Table3[[#This Row],[Käyttöönotto]],4)</f>
        <v>1996</v>
      </c>
      <c r="J2" t="str">
        <f>'Ajoneuvorekisteri-Parse Modern '!AA33</f>
        <v>COUPE XK8 4.0-AUTOMATIC-JGED/259</v>
      </c>
      <c r="K2" t="str">
        <f>Ajoneuvorekisteri_Parse_Modern_XK_Range_TieliikenneAvoinData_30_06_2026_csv[[#This Row],[tyyppihyvaksyntanro]]</f>
        <v>e11*95/54*0061*00</v>
      </c>
      <c r="L2">
        <f>'Ajoneuvorekisteri-Parse Modern '!M33</f>
        <v>1720</v>
      </c>
      <c r="M2">
        <f t="shared" ref="M2:M65" si="3">IF(AND(
    OR(
        ISNUMBER(SEARCH("XK ", J2)),
        ISNUMBER(SEARCH("XK8", J2))
    ),
    I2 &gt; 2005
), 1, 0)</f>
        <v>1</v>
      </c>
      <c r="N2">
        <f t="shared" ref="N2:N65" si="4">IF(OR(
    ISNUMBER(SEARCH("XKR", J2)),
), 1, 0)</f>
        <v>0</v>
      </c>
      <c r="O2">
        <f t="shared" ref="O2:O65" si="5">IF(OR(
    ISNUMBER(SEARCH("COUPE", J2)),
    ISNUMBER(SEARCH("COUPÉ", J2)),
    ISNUMBER(SEARCH("COUP�", J2))
), 1, 0)</f>
        <v>1</v>
      </c>
      <c r="P2">
        <f t="shared" ref="P2:P65" si="6">IF(OR(
    ISNUMBER(SEARCH("CONVERTIBLE",J2)),
    ISNUMBER(SEARCH("AVOAUTO",J2)),
    ISNUMBER(SEARCH("AVO",J2)),
    ISNUMBER(SEARCH("CABRIO",J2))
),1,0)</f>
        <v>0</v>
      </c>
      <c r="Q2">
        <f>IF(AND(Table3[[#This Row],[Coupe]]&lt;&gt;1, Table3[[#This Row],[Convertible]]&lt;&gt;1), 1, 0)</f>
        <v>0</v>
      </c>
      <c r="R2" t="str">
        <f t="shared" ref="R2:R65" si="7">IF(O2=1, "Coupe", IF(P2=1, "Convertible", "Unknown"))</f>
        <v>Coupe</v>
      </c>
    </row>
    <row r="3" spans="1:18" x14ac:dyDescent="0.25">
      <c r="A3">
        <f>'Ajoneuvorekisteri-Parse Modern '!AO149</f>
        <v>2695845</v>
      </c>
      <c r="B3" t="str">
        <f>'Ajoneuvorekisteri-Parse Modern '!AN149</f>
        <v>SAJGX2740V</v>
      </c>
      <c r="C3" t="str">
        <f t="shared" si="0"/>
        <v>X100_AMERICAS_UNIQUE (JLM20301_unique)</v>
      </c>
      <c r="D3" t="str">
        <f t="shared" si="1"/>
        <v>UNKNOWN: [5=X]</v>
      </c>
      <c r="E3" t="str">
        <f t="shared" si="2"/>
        <v>UNKNOWN</v>
      </c>
      <c r="F3" t="str" cm="1">
        <f t="array" ref="F3">_xlfn.LET(_xlpm.v,UPPER(SUBSTITUTE(CLEAN(TRIM(B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G3" t="str" cm="1">
        <f t="array" ref="G3">_xlfn.LET(_xlpm.vin,SUBSTITUTE(CLEAN(TRIM(B3)),CHAR(160),""),_xlpm.rawDate,LEFT(TRIM(H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001246–008106</v>
      </c>
      <c r="H3">
        <f>'Ajoneuvorekisteri-Parse Modern '!G149</f>
        <v>19961113</v>
      </c>
      <c r="I3" t="str">
        <f>LEFT(Table3[[#This Row],[Käyttöönotto]],4)</f>
        <v>1996</v>
      </c>
      <c r="J3" t="str">
        <f>'Ajoneuvorekisteri-Parse Modern '!AA149</f>
        <v>XK8 Avoauto (AE) 2ov 3990cm3 A</v>
      </c>
      <c r="K3" t="str">
        <f>Ajoneuvorekisteri_Parse_Modern_XK_Range_TieliikenneAvoinData_30_06_2026_csv[[#This Row],[tyyppihyvaksyntanro]]</f>
        <v>e11*2001/116*0272*01</v>
      </c>
      <c r="L3">
        <f>'Ajoneuvorekisteri-Parse Modern '!M149</f>
        <v>1720</v>
      </c>
      <c r="M3">
        <f t="shared" si="3"/>
        <v>1</v>
      </c>
      <c r="N3">
        <f t="shared" si="4"/>
        <v>0</v>
      </c>
      <c r="O3">
        <f t="shared" si="5"/>
        <v>0</v>
      </c>
      <c r="P3">
        <f t="shared" si="6"/>
        <v>1</v>
      </c>
      <c r="Q3">
        <f>IF(AND(Table3[[#This Row],[Coupe]]&lt;&gt;1, Table3[[#This Row],[Convertible]]&lt;&gt;1), 1, 0)</f>
        <v>0</v>
      </c>
      <c r="R3" t="str">
        <f t="shared" si="7"/>
        <v>Convertible</v>
      </c>
    </row>
    <row r="4" spans="1:18" x14ac:dyDescent="0.25">
      <c r="A4">
        <f>'Ajoneuvorekisteri-Parse Modern '!AO87</f>
        <v>2098581</v>
      </c>
      <c r="B4" t="str">
        <f>'Ajoneuvorekisteri-Parse Modern '!AN87</f>
        <v>SAJJGAED4A</v>
      </c>
      <c r="C4" t="str">
        <f t="shared" si="0"/>
        <v>X100_EARLY_NORMAL_AR (JDHT)</v>
      </c>
      <c r="D4" t="str">
        <f t="shared" si="1"/>
        <v>UNKNOWN: [5=G]</v>
      </c>
      <c r="E4" t="str">
        <f t="shared" si="2"/>
        <v>UNKNOWN</v>
      </c>
      <c r="F4" t="str" cm="1">
        <f t="array" ref="F4">_xlfn.LET(_xlpm.v,UPPER(SUBSTITUTE(CLEAN(TRIM(B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4" t="str" cm="1">
        <f t="array" ref="G4">_xlfn.LET(_xlpm.vin,SUBSTITUTE(CLEAN(TRIM(B4)),CHAR(160),""),_xlpm.rawDate,LEFT(TRIM(H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001246–008106</v>
      </c>
      <c r="H4">
        <f>'Ajoneuvorekisteri-Parse Modern '!G87</f>
        <v>19961219</v>
      </c>
      <c r="I4" t="str">
        <f>LEFT(Table3[[#This Row],[Käyttöönotto]],4)</f>
        <v>1996</v>
      </c>
      <c r="J4" t="str">
        <f>'Ajoneuvorekisteri-Parse Modern '!AA87</f>
        <v>XK Coup� (AD) 2ov 3990cm3 A</v>
      </c>
      <c r="K4" t="str">
        <f>Ajoneuvorekisteri_Parse_Modern_XK_Range_TieliikenneAvoinData_30_06_2026_csv[[#This Row],[tyyppihyvaksyntanro]]</f>
        <v/>
      </c>
      <c r="L4">
        <f>'Ajoneuvorekisteri-Parse Modern '!M87</f>
        <v>1720</v>
      </c>
      <c r="M4">
        <f t="shared" si="3"/>
        <v>1</v>
      </c>
      <c r="N4">
        <f t="shared" si="4"/>
        <v>0</v>
      </c>
      <c r="O4">
        <f t="shared" si="5"/>
        <v>1</v>
      </c>
      <c r="P4">
        <f t="shared" si="6"/>
        <v>0</v>
      </c>
      <c r="Q4">
        <f>IF(AND(Table3[[#This Row],[Coupe]]&lt;&gt;1, Table3[[#This Row],[Convertible]]&lt;&gt;1), 1, 0)</f>
        <v>0</v>
      </c>
      <c r="R4" t="str">
        <f t="shared" si="7"/>
        <v>Coupe</v>
      </c>
    </row>
    <row r="5" spans="1:18" x14ac:dyDescent="0.25">
      <c r="A5">
        <f>'Ajoneuvorekisteri-Parse Modern '!AO11</f>
        <v>301741</v>
      </c>
      <c r="B5" t="str">
        <f>'Ajoneuvorekisteri-Parse Modern '!AN11</f>
        <v>SAJJGXFD4V</v>
      </c>
      <c r="C5" t="str">
        <f t="shared" si="0"/>
        <v>X100_JLM20300</v>
      </c>
      <c r="D5" t="str">
        <f t="shared" si="1"/>
        <v>UNKNOWN: [5=G]</v>
      </c>
      <c r="E5" t="str">
        <f t="shared" si="2"/>
        <v>UNKNOWN</v>
      </c>
      <c r="F5" t="str" cm="1">
        <f t="array" ref="F5">_xlfn.LET(_xlpm.v,UPPER(SUBSTITUTE(CLEAN(TRIM(B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X100_JLM20300</v>
      </c>
      <c r="G5" t="str" cm="1">
        <f t="array" ref="G5">_xlfn.LET(_xlpm.vin,SUBSTITUTE(CLEAN(TRIM(B5)),CHAR(160),""),_xlpm.rawDate,LEFT(TRIM(H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018108–023017</v>
      </c>
      <c r="H5">
        <f>'Ajoneuvorekisteri-Parse Modern '!G11</f>
        <v>19970000</v>
      </c>
      <c r="I5" t="str">
        <f>LEFT(Table3[[#This Row],[Käyttöönotto]],4)</f>
        <v>1997</v>
      </c>
      <c r="J5" t="str">
        <f>'Ajoneuvorekisteri-Parse Modern '!AA11</f>
        <v>2D CONVERTIBLE XK8 4.0-AUTOMATIC-JGFD/259</v>
      </c>
      <c r="K5" t="str">
        <f>Ajoneuvorekisteri_Parse_Modern_XK_Range_TieliikenneAvoinData_30_06_2026_csv[[#This Row],[tyyppihyvaksyntanro]]</f>
        <v>e11*95/54*0062*03</v>
      </c>
      <c r="L5">
        <f>'Ajoneuvorekisteri-Parse Modern '!M11</f>
        <v>1850</v>
      </c>
      <c r="M5">
        <f t="shared" si="3"/>
        <v>1</v>
      </c>
      <c r="N5">
        <f t="shared" si="4"/>
        <v>0</v>
      </c>
      <c r="O5">
        <f t="shared" si="5"/>
        <v>0</v>
      </c>
      <c r="P5">
        <f t="shared" si="6"/>
        <v>1</v>
      </c>
      <c r="Q5">
        <f>IF(AND(Table3[[#This Row],[Coupe]]&lt;&gt;1, Table3[[#This Row],[Convertible]]&lt;&gt;1), 1, 0)</f>
        <v>0</v>
      </c>
      <c r="R5" t="str">
        <f t="shared" si="7"/>
        <v>Convertible</v>
      </c>
    </row>
    <row r="6" spans="1:18" x14ac:dyDescent="0.25">
      <c r="A6">
        <f>'Ajoneuvorekisteri-Parse Modern '!AO22</f>
        <v>755631</v>
      </c>
      <c r="B6" t="str">
        <f>'Ajoneuvorekisteri-Parse Modern '!AN22</f>
        <v>SAJJGFXD4V</v>
      </c>
      <c r="C6" t="str">
        <f t="shared" si="0"/>
        <v>UNKNOWN: [7=X]</v>
      </c>
      <c r="D6" t="str">
        <f t="shared" si="1"/>
        <v>UNKNOWN: [5=G]</v>
      </c>
      <c r="E6" t="str">
        <f t="shared" si="2"/>
        <v>UNKNOWN</v>
      </c>
      <c r="F6" t="str" cm="1">
        <f t="array" ref="F6">_xlfn.LET(_xlpm.v,UPPER(SUBSTITUTE(CLEAN(TRIM(B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[7=X]</v>
      </c>
      <c r="G6" t="str" cm="1">
        <f t="array" ref="G6">_xlfn.LET(_xlpm.vin,SUBSTITUTE(CLEAN(TRIM(B6)),CHAR(160),""),_xlpm.rawDate,LEFT(TRIM(H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018108–023017</v>
      </c>
      <c r="H6">
        <f>'Ajoneuvorekisteri-Parse Modern '!G22</f>
        <v>19970000</v>
      </c>
      <c r="I6" t="str">
        <f>LEFT(Table3[[#This Row],[Käyttöönotto]],4)</f>
        <v>1997</v>
      </c>
      <c r="J6" t="str">
        <f>'Ajoneuvorekisteri-Parse Modern '!AA22</f>
        <v>2D CONVERTIBLE XK8 4.0-AUTOMATIC-JGFX/259</v>
      </c>
      <c r="K6" t="str">
        <f>Ajoneuvorekisteri_Parse_Modern_XK_Range_TieliikenneAvoinData_30_06_2026_csv[[#This Row],[tyyppihyvaksyntanro]]</f>
        <v>e11*95/54*0062*06</v>
      </c>
      <c r="L6">
        <f>'Ajoneuvorekisteri-Parse Modern '!M22</f>
        <v>1810</v>
      </c>
      <c r="M6">
        <f t="shared" si="3"/>
        <v>1</v>
      </c>
      <c r="N6">
        <f t="shared" si="4"/>
        <v>0</v>
      </c>
      <c r="O6">
        <f t="shared" si="5"/>
        <v>0</v>
      </c>
      <c r="P6">
        <f t="shared" si="6"/>
        <v>1</v>
      </c>
      <c r="Q6">
        <f>IF(AND(Table3[[#This Row],[Coupe]]&lt;&gt;1, Table3[[#This Row],[Convertible]]&lt;&gt;1), 1, 0)</f>
        <v>0</v>
      </c>
      <c r="R6" t="str">
        <f t="shared" si="7"/>
        <v>Convertible</v>
      </c>
    </row>
    <row r="7" spans="1:18" x14ac:dyDescent="0.25">
      <c r="A7">
        <f>'Ajoneuvorekisteri-Parse Modern '!AO73</f>
        <v>1946841</v>
      </c>
      <c r="B7" t="str">
        <f>'Ajoneuvorekisteri-Parse Modern '!AN73</f>
        <v>SAJGX2740V</v>
      </c>
      <c r="C7" t="str">
        <f t="shared" si="0"/>
        <v>X100_AMERICAS_UNIQUE (JLM20301_unique)</v>
      </c>
      <c r="D7" t="str">
        <f t="shared" si="1"/>
        <v>UNKNOWN: [5=X]</v>
      </c>
      <c r="E7" t="str">
        <f t="shared" si="2"/>
        <v>UNKNOWN</v>
      </c>
      <c r="F7" t="str" cm="1">
        <f t="array" ref="F7">_xlfn.LET(_xlpm.v,UPPER(SUBSTITUTE(CLEAN(TRIM(B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G7" t="str" cm="1">
        <f t="array" ref="G7">_xlfn.LET(_xlpm.vin,SUBSTITUTE(CLEAN(TRIM(B7)),CHAR(160),""),_xlpm.rawDate,LEFT(TRIM(H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018108–023017</v>
      </c>
      <c r="H7">
        <f>'Ajoneuvorekisteri-Parse Modern '!G73</f>
        <v>19970000</v>
      </c>
      <c r="I7" t="str">
        <f>LEFT(Table3[[#This Row],[Käyttöönotto]],4)</f>
        <v>1997</v>
      </c>
      <c r="J7" t="str">
        <f>'Ajoneuvorekisteri-Parse Modern '!AA73</f>
        <v>2D CONVERTIBLE XK8 4.0-AUTOMATIC-JGFD/259 Avoauto (AE) 2ov 3990cm3 A</v>
      </c>
      <c r="K7" t="str">
        <f>Ajoneuvorekisteri_Parse_Modern_XK_Range_TieliikenneAvoinData_30_06_2026_csv[[#This Row],[tyyppihyvaksyntanro]]</f>
        <v/>
      </c>
      <c r="L7">
        <f>'Ajoneuvorekisteri-Parse Modern '!M73</f>
        <v>1720</v>
      </c>
      <c r="M7">
        <f t="shared" si="3"/>
        <v>1</v>
      </c>
      <c r="N7">
        <f t="shared" si="4"/>
        <v>0</v>
      </c>
      <c r="O7">
        <f t="shared" si="5"/>
        <v>0</v>
      </c>
      <c r="P7">
        <f t="shared" si="6"/>
        <v>1</v>
      </c>
      <c r="Q7">
        <f>IF(AND(Table3[[#This Row],[Coupe]]&lt;&gt;1, Table3[[#This Row],[Convertible]]&lt;&gt;1), 1, 0)</f>
        <v>0</v>
      </c>
      <c r="R7" t="str">
        <f t="shared" si="7"/>
        <v>Convertible</v>
      </c>
    </row>
    <row r="8" spans="1:18" x14ac:dyDescent="0.25">
      <c r="A8">
        <f>'Ajoneuvorekisteri-Parse Modern '!AO84</f>
        <v>2069881</v>
      </c>
      <c r="B8" t="str">
        <f>'Ajoneuvorekisteri-Parse Modern '!AN84</f>
        <v>SAJJGXFD4V</v>
      </c>
      <c r="C8" t="str">
        <f t="shared" si="0"/>
        <v>X100_JLM20300</v>
      </c>
      <c r="D8" t="str">
        <f t="shared" si="1"/>
        <v>UNKNOWN: [5=G]</v>
      </c>
      <c r="E8" t="str">
        <f t="shared" si="2"/>
        <v>UNKNOWN</v>
      </c>
      <c r="F8" t="str" cm="1">
        <f t="array" ref="F8">_xlfn.LET(_xlpm.v,UPPER(SUBSTITUTE(CLEAN(TRIM(B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X100_JLM20300</v>
      </c>
      <c r="G8" t="str" cm="1">
        <f t="array" ref="G8">_xlfn.LET(_xlpm.vin,SUBSTITUTE(CLEAN(TRIM(B8)),CHAR(160),""),_xlpm.rawDate,LEFT(TRIM(H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018108–023017</v>
      </c>
      <c r="H8">
        <f>'Ajoneuvorekisteri-Parse Modern '!G84</f>
        <v>19970000</v>
      </c>
      <c r="I8" t="str">
        <f>LEFT(Table3[[#This Row],[Käyttöönotto]],4)</f>
        <v>1997</v>
      </c>
      <c r="J8" t="str">
        <f>'Ajoneuvorekisteri-Parse Modern '!AA84</f>
        <v>XK8 Avoauto (AE) 2ov 3990cm3 A</v>
      </c>
      <c r="K8" t="str">
        <f>Ajoneuvorekisteri_Parse_Modern_XK_Range_TieliikenneAvoinData_30_06_2026_csv[[#This Row],[tyyppihyvaksyntanro]]</f>
        <v>e11*95/54*0061*04</v>
      </c>
      <c r="L8">
        <f>'Ajoneuvorekisteri-Parse Modern '!M84</f>
        <v>1825</v>
      </c>
      <c r="M8">
        <f t="shared" si="3"/>
        <v>1</v>
      </c>
      <c r="N8">
        <f t="shared" si="4"/>
        <v>0</v>
      </c>
      <c r="O8">
        <f t="shared" si="5"/>
        <v>0</v>
      </c>
      <c r="P8">
        <f t="shared" si="6"/>
        <v>1</v>
      </c>
      <c r="Q8">
        <f>IF(AND(Table3[[#This Row],[Coupe]]&lt;&gt;1, Table3[[#This Row],[Convertible]]&lt;&gt;1), 1, 0)</f>
        <v>0</v>
      </c>
      <c r="R8" t="str">
        <f t="shared" si="7"/>
        <v>Convertible</v>
      </c>
    </row>
    <row r="9" spans="1:18" x14ac:dyDescent="0.25">
      <c r="A9">
        <f>'Ajoneuvorekisteri-Parse Modern '!AO95</f>
        <v>2191738</v>
      </c>
      <c r="B9" t="str">
        <f>'Ajoneuvorekisteri-Parse Modern '!AN95</f>
        <v>SAJGX2747V</v>
      </c>
      <c r="C9" t="str">
        <f t="shared" si="0"/>
        <v>X100_AMERICAS_UNIQUE (JLM20301_unique)</v>
      </c>
      <c r="D9" t="str">
        <f t="shared" si="1"/>
        <v>UNKNOWN: [5=X]</v>
      </c>
      <c r="E9" t="str">
        <f t="shared" si="2"/>
        <v>UNKNOWN</v>
      </c>
      <c r="F9" t="str" cm="1">
        <f t="array" ref="F9">_xlfn.LET(_xlpm.v,UPPER(SUBSTITUTE(CLEAN(TRIM(B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G9" t="str" cm="1">
        <f t="array" ref="G9">_xlfn.LET(_xlpm.vin,SUBSTITUTE(CLEAN(TRIM(B9)),CHAR(160),""),_xlpm.rawDate,LEFT(TRIM(H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018108–023017</v>
      </c>
      <c r="H9">
        <f>'Ajoneuvorekisteri-Parse Modern '!G95</f>
        <v>19970000</v>
      </c>
      <c r="I9" t="str">
        <f>LEFT(Table3[[#This Row],[Käyttöönotto]],4)</f>
        <v>1997</v>
      </c>
      <c r="J9" t="str">
        <f>'Ajoneuvorekisteri-Parse Modern '!AA95</f>
        <v>XK8  2ov 3990cm3 A</v>
      </c>
      <c r="K9" t="str">
        <f>Ajoneuvorekisteri_Parse_Modern_XK_Range_TieliikenneAvoinData_30_06_2026_csv[[#This Row],[tyyppihyvaksyntanro]]</f>
        <v>e11*95/54*0061*03</v>
      </c>
      <c r="L9">
        <f>'Ajoneuvorekisteri-Parse Modern '!M95</f>
        <v>1778</v>
      </c>
      <c r="M9">
        <f t="shared" si="3"/>
        <v>1</v>
      </c>
      <c r="N9">
        <f t="shared" si="4"/>
        <v>0</v>
      </c>
      <c r="O9">
        <f t="shared" si="5"/>
        <v>0</v>
      </c>
      <c r="P9">
        <f t="shared" si="6"/>
        <v>0</v>
      </c>
      <c r="Q9">
        <f>IF(AND(Table3[[#This Row],[Coupe]]&lt;&gt;1, Table3[[#This Row],[Convertible]]&lt;&gt;1), 1, 0)</f>
        <v>1</v>
      </c>
      <c r="R9" t="str">
        <f t="shared" si="7"/>
        <v>Unknown</v>
      </c>
    </row>
    <row r="10" spans="1:18" x14ac:dyDescent="0.25">
      <c r="A10">
        <f>'Ajoneuvorekisteri-Parse Modern '!AO165</f>
        <v>2874333</v>
      </c>
      <c r="B10" t="str">
        <f>'Ajoneuvorekisteri-Parse Modern '!AN165</f>
        <v>SAJGX5747V</v>
      </c>
      <c r="C10" t="str">
        <f t="shared" si="0"/>
        <v>X100_AMERICAS_UNIQUE (JLM20301_unique)</v>
      </c>
      <c r="D10" t="str">
        <f t="shared" si="1"/>
        <v>UNKNOWN: [5=X]</v>
      </c>
      <c r="E10" t="str">
        <f t="shared" si="2"/>
        <v>UNKNOWN</v>
      </c>
      <c r="F10" t="str" cm="1">
        <f t="array" ref="F10">_xlfn.LET(_xlpm.v,UPPER(SUBSTITUTE(CLEAN(TRIM(B10)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G10" t="str" cm="1">
        <f t="array" ref="G10">_xlfn.LET(_xlpm.vin,SUBSTITUTE(CLEAN(TRIM(B10)),CHAR(160),""),_xlpm.rawDate,LEFT(TRIM(H10)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018108–023017</v>
      </c>
      <c r="H10">
        <f>'Ajoneuvorekisteri-Parse Modern '!G165</f>
        <v>19970000</v>
      </c>
      <c r="I10" t="str">
        <f>LEFT(Table3[[#This Row],[Käyttöönotto]],4)</f>
        <v>1997</v>
      </c>
      <c r="J10" t="str">
        <f>'Ajoneuvorekisteri-Parse Modern '!AA165</f>
        <v>XK8 Coup� (AD) 2ov 3996cm3 A</v>
      </c>
      <c r="K10" t="str">
        <f>Ajoneuvorekisteri_Parse_Modern_XK_Range_TieliikenneAvoinData_30_06_2026_csv[[#This Row],[tyyppihyvaksyntanro]]</f>
        <v>e11*95/54*0061*00</v>
      </c>
      <c r="L10">
        <f>'Ajoneuvorekisteri-Parse Modern '!M165</f>
        <v>1680</v>
      </c>
      <c r="M10">
        <f t="shared" si="3"/>
        <v>1</v>
      </c>
      <c r="N10">
        <f t="shared" si="4"/>
        <v>0</v>
      </c>
      <c r="O10">
        <f t="shared" si="5"/>
        <v>1</v>
      </c>
      <c r="P10">
        <f t="shared" si="6"/>
        <v>0</v>
      </c>
      <c r="Q10">
        <f>IF(AND(Table3[[#This Row],[Coupe]]&lt;&gt;1, Table3[[#This Row],[Convertible]]&lt;&gt;1), 1, 0)</f>
        <v>0</v>
      </c>
      <c r="R10" t="str">
        <f t="shared" si="7"/>
        <v>Coupe</v>
      </c>
    </row>
    <row r="11" spans="1:18" x14ac:dyDescent="0.25">
      <c r="A11">
        <f>'Ajoneuvorekisteri-Parse Modern '!AO200</f>
        <v>3359561</v>
      </c>
      <c r="B11" t="str">
        <f>'Ajoneuvorekisteri-Parse Modern '!AN200</f>
        <v>SAJGX2748V</v>
      </c>
      <c r="C11" t="str">
        <f t="shared" si="0"/>
        <v>X100_AMERICAS_UNIQUE (JLM20301_unique)</v>
      </c>
      <c r="D11" t="str">
        <f t="shared" si="1"/>
        <v>UNKNOWN: [5=X]</v>
      </c>
      <c r="E11" t="str">
        <f t="shared" si="2"/>
        <v>UNKNOWN</v>
      </c>
      <c r="F11" t="str" cm="1">
        <f t="array" ref="F11">_xlfn.LET(_xlpm.v,UPPER(SUBSTITUTE(CLEAN(TRIM(B11)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G11" t="str" cm="1">
        <f t="array" ref="G11">_xlfn.LET(_xlpm.vin,SUBSTITUTE(CLEAN(TRIM(B11)),CHAR(160),""),_xlpm.rawDate,LEFT(TRIM(H11)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018108–023017</v>
      </c>
      <c r="H11">
        <f>'Ajoneuvorekisteri-Parse Modern '!G200</f>
        <v>19970000</v>
      </c>
      <c r="I11" t="str">
        <f>LEFT(Table3[[#This Row],[Käyttöönotto]],4)</f>
        <v>1997</v>
      </c>
      <c r="J11" t="str">
        <f>'Ajoneuvorekisteri-Parse Modern '!AA200</f>
        <v>XK8 Avoauto (AE) 2ov A</v>
      </c>
      <c r="K11" t="str">
        <f>Ajoneuvorekisteri_Parse_Modern_XK_Range_TieliikenneAvoinData_30_06_2026_csv[[#This Row],[tyyppihyvaksyntanro]]</f>
        <v/>
      </c>
      <c r="L11">
        <f>'Ajoneuvorekisteri-Parse Modern '!M200</f>
        <v>1715</v>
      </c>
      <c r="M11">
        <f t="shared" si="3"/>
        <v>1</v>
      </c>
      <c r="N11">
        <f t="shared" si="4"/>
        <v>0</v>
      </c>
      <c r="O11">
        <f t="shared" si="5"/>
        <v>0</v>
      </c>
      <c r="P11">
        <f t="shared" si="6"/>
        <v>1</v>
      </c>
      <c r="Q11">
        <f>IF(AND(Table3[[#This Row],[Coupe]]&lt;&gt;1, Table3[[#This Row],[Convertible]]&lt;&gt;1), 1, 0)</f>
        <v>0</v>
      </c>
      <c r="R11" t="str">
        <f t="shared" si="7"/>
        <v>Convertible</v>
      </c>
    </row>
    <row r="12" spans="1:18" x14ac:dyDescent="0.25">
      <c r="A12">
        <f>'Ajoneuvorekisteri-Parse Modern '!AO223</f>
        <v>3727926</v>
      </c>
      <c r="B12" t="str">
        <f>'Ajoneuvorekisteri-Parse Modern '!AN223</f>
        <v>SAJJGNED4V</v>
      </c>
      <c r="C12" t="str">
        <f t="shared" si="0"/>
        <v>X100_JLM20300</v>
      </c>
      <c r="D12" t="str">
        <f t="shared" si="1"/>
        <v>UNKNOWN: [5=G]</v>
      </c>
      <c r="E12" t="str">
        <f t="shared" si="2"/>
        <v>UNKNOWN</v>
      </c>
      <c r="F12" t="str" cm="1">
        <f t="array" ref="F12">_xlfn.LET(_xlpm.v,UPPER(SUBSTITUTE(CLEAN(TRIM(B12)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X100_JLM20300</v>
      </c>
      <c r="G12" t="str" cm="1">
        <f t="array" ref="G12">_xlfn.LET(_xlpm.vin,SUBSTITUTE(CLEAN(TRIM(B12)),CHAR(160),""),_xlpm.rawDate,LEFT(TRIM(H12)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018108–023017</v>
      </c>
      <c r="H12">
        <f>'Ajoneuvorekisteri-Parse Modern '!G223</f>
        <v>19970000</v>
      </c>
      <c r="I12" t="str">
        <f>LEFT(Table3[[#This Row],[Käyttöönotto]],4)</f>
        <v>1997</v>
      </c>
      <c r="J12" t="str">
        <f>'Ajoneuvorekisteri-Parse Modern '!AA223</f>
        <v>XK8 Coup� (AD) 2ov 3990cm3 A</v>
      </c>
      <c r="K12" t="str">
        <f>Ajoneuvorekisteri_Parse_Modern_XK_Range_TieliikenneAvoinData_30_06_2026_csv[[#This Row],[tyyppihyvaksyntanro]]</f>
        <v>e11*95/54*0062*00</v>
      </c>
      <c r="L12">
        <f>'Ajoneuvorekisteri-Parse Modern '!M223</f>
        <v>1735</v>
      </c>
      <c r="M12">
        <f t="shared" si="3"/>
        <v>1</v>
      </c>
      <c r="N12">
        <f t="shared" si="4"/>
        <v>0</v>
      </c>
      <c r="O12">
        <f t="shared" si="5"/>
        <v>1</v>
      </c>
      <c r="P12">
        <f t="shared" si="6"/>
        <v>0</v>
      </c>
      <c r="Q12">
        <f>IF(AND(Table3[[#This Row],[Coupe]]&lt;&gt;1, Table3[[#This Row],[Convertible]]&lt;&gt;1), 1, 0)</f>
        <v>0</v>
      </c>
      <c r="R12" t="str">
        <f t="shared" si="7"/>
        <v>Coupe</v>
      </c>
    </row>
    <row r="13" spans="1:18" x14ac:dyDescent="0.25">
      <c r="A13">
        <f>'Ajoneuvorekisteri-Parse Modern '!AO240</f>
        <v>4172689</v>
      </c>
      <c r="B13" t="str">
        <f>'Ajoneuvorekisteri-Parse Modern '!AN240</f>
        <v>SAJGX2749V</v>
      </c>
      <c r="C13" t="str">
        <f t="shared" si="0"/>
        <v>X100_AMERICAS_UNIQUE (JLM20301_unique)</v>
      </c>
      <c r="D13" t="str">
        <f t="shared" si="1"/>
        <v>UNKNOWN: [5=X]</v>
      </c>
      <c r="E13" t="str">
        <f t="shared" si="2"/>
        <v>UNKNOWN</v>
      </c>
      <c r="F13" t="str" cm="1">
        <f t="array" ref="F13">_xlfn.LET(_xlpm.v,UPPER(SUBSTITUTE(CLEAN(TRIM(B13)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G13" t="str" cm="1">
        <f t="array" ref="G13">_xlfn.LET(_xlpm.vin,SUBSTITUTE(CLEAN(TRIM(B13)),CHAR(160),""),_xlpm.rawDate,LEFT(TRIM(H13)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018108–023017</v>
      </c>
      <c r="H13">
        <f>'Ajoneuvorekisteri-Parse Modern '!G240</f>
        <v>19970000</v>
      </c>
      <c r="I13" t="str">
        <f>LEFT(Table3[[#This Row],[Käyttöönotto]],4)</f>
        <v>1997</v>
      </c>
      <c r="J13" t="str">
        <f>'Ajoneuvorekisteri-Parse Modern '!AA240</f>
        <v>XK Avoauto (AE) 2ov 3996cm3 A</v>
      </c>
      <c r="K13" t="str">
        <f>Ajoneuvorekisteri_Parse_Modern_XK_Range_TieliikenneAvoinData_30_06_2026_csv[[#This Row],[tyyppihyvaksyntanro]]</f>
        <v>e11*95/54*0061*05</v>
      </c>
      <c r="L13">
        <f>'Ajoneuvorekisteri-Parse Modern '!M240</f>
        <v>1720</v>
      </c>
      <c r="M13">
        <f t="shared" si="3"/>
        <v>1</v>
      </c>
      <c r="N13">
        <f t="shared" si="4"/>
        <v>0</v>
      </c>
      <c r="O13">
        <f t="shared" si="5"/>
        <v>0</v>
      </c>
      <c r="P13">
        <f t="shared" si="6"/>
        <v>1</v>
      </c>
      <c r="Q13">
        <f>IF(AND(Table3[[#This Row],[Coupe]]&lt;&gt;1, Table3[[#This Row],[Convertible]]&lt;&gt;1), 1, 0)</f>
        <v>0</v>
      </c>
      <c r="R13" t="str">
        <f t="shared" si="7"/>
        <v>Convertible</v>
      </c>
    </row>
    <row r="14" spans="1:18" x14ac:dyDescent="0.25">
      <c r="A14">
        <f>'Ajoneuvorekisteri-Parse Modern '!AO117</f>
        <v>2402120</v>
      </c>
      <c r="B14" t="str">
        <f>'Ajoneuvorekisteri-Parse Modern '!AN117</f>
        <v>SAJGX2746V</v>
      </c>
      <c r="C14" t="str">
        <f t="shared" si="0"/>
        <v>X100_AMERICAS_UNIQUE (JLM20301_unique)</v>
      </c>
      <c r="D14" t="str">
        <f t="shared" si="1"/>
        <v>UNKNOWN: [5=X]</v>
      </c>
      <c r="E14" t="str">
        <f t="shared" si="2"/>
        <v>UNKNOWN</v>
      </c>
      <c r="F14" t="str" cm="1">
        <f t="array" ref="F14">_xlfn.LET(_xlpm.v,UPPER(SUBSTITUTE(CLEAN(TRIM(B14)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G14" t="str" cm="1">
        <f t="array" ref="G14">_xlfn.LET(_xlpm.vin,SUBSTITUTE(CLEAN(TRIM(B14)),CHAR(160),""),_xlpm.rawDate,LEFT(TRIM(H14)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H14">
        <f>'Ajoneuvorekisteri-Parse Modern '!G117</f>
        <v>19970101</v>
      </c>
      <c r="I14" t="str">
        <f>LEFT(Table3[[#This Row],[Käyttöönotto]],4)</f>
        <v>1997</v>
      </c>
      <c r="J14" t="str">
        <f>'Ajoneuvorekisteri-Parse Modern '!AA117</f>
        <v>2D CONVERTIBLE XK8 4.0-AUTOMATIC-JGX2/259</v>
      </c>
      <c r="K14" t="str">
        <f>Ajoneuvorekisteri_Parse_Modern_XK_Range_TieliikenneAvoinData_30_06_2026_csv[[#This Row],[tyyppihyvaksyntanro]]</f>
        <v>e11*95/54*0062*04</v>
      </c>
      <c r="L14">
        <f>'Ajoneuvorekisteri-Parse Modern '!M117</f>
        <v>1760</v>
      </c>
      <c r="M14">
        <f t="shared" si="3"/>
        <v>1</v>
      </c>
      <c r="N14">
        <f t="shared" si="4"/>
        <v>0</v>
      </c>
      <c r="O14">
        <f t="shared" si="5"/>
        <v>0</v>
      </c>
      <c r="P14">
        <f t="shared" si="6"/>
        <v>1</v>
      </c>
      <c r="Q14">
        <f>IF(AND(Table3[[#This Row],[Coupe]]&lt;&gt;1, Table3[[#This Row],[Convertible]]&lt;&gt;1), 1, 0)</f>
        <v>0</v>
      </c>
      <c r="R14" t="str">
        <f t="shared" si="7"/>
        <v>Convertible</v>
      </c>
    </row>
    <row r="15" spans="1:18" x14ac:dyDescent="0.25">
      <c r="A15">
        <f>'Ajoneuvorekisteri-Parse Modern '!AO148</f>
        <v>2691340</v>
      </c>
      <c r="B15" t="str">
        <f>'Ajoneuvorekisteri-Parse Modern '!AN148</f>
        <v>SAJGX2746V</v>
      </c>
      <c r="C15" t="str">
        <f t="shared" si="0"/>
        <v>X100_AMERICAS_UNIQUE (JLM20301_unique)</v>
      </c>
      <c r="D15" t="str">
        <f t="shared" si="1"/>
        <v>UNKNOWN: [5=X]</v>
      </c>
      <c r="E15" t="str">
        <f t="shared" si="2"/>
        <v>UNKNOWN</v>
      </c>
      <c r="F15" t="str" cm="1">
        <f t="array" ref="F15">_xlfn.LET(_xlpm.v,UPPER(SUBSTITUTE(CLEAN(TRIM(B15)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G15" t="str" cm="1">
        <f t="array" ref="G15">_xlfn.LET(_xlpm.vin,SUBSTITUTE(CLEAN(TRIM(B15)),CHAR(160),""),_xlpm.rawDate,LEFT(TRIM(H15)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H15">
        <f>'Ajoneuvorekisteri-Parse Modern '!G148</f>
        <v>19970101</v>
      </c>
      <c r="I15" t="str">
        <f>LEFT(Table3[[#This Row],[Käyttöönotto]],4)</f>
        <v>1997</v>
      </c>
      <c r="J15" t="str">
        <f>'Ajoneuvorekisteri-Parse Modern '!AA148</f>
        <v>XK8 Avoauto (AE) 2ov 3994cm3 A</v>
      </c>
      <c r="K15" t="str">
        <f>Ajoneuvorekisteri_Parse_Modern_XK_Range_TieliikenneAvoinData_30_06_2026_csv[[#This Row],[tyyppihyvaksyntanro]]</f>
        <v>e11*95/54*0061*03</v>
      </c>
      <c r="L15">
        <f>'Ajoneuvorekisteri-Parse Modern '!M148</f>
        <v>1760</v>
      </c>
      <c r="M15">
        <f t="shared" si="3"/>
        <v>1</v>
      </c>
      <c r="N15">
        <f t="shared" si="4"/>
        <v>0</v>
      </c>
      <c r="O15">
        <f t="shared" si="5"/>
        <v>0</v>
      </c>
      <c r="P15">
        <f t="shared" si="6"/>
        <v>1</v>
      </c>
      <c r="Q15">
        <f>IF(AND(Table3[[#This Row],[Coupe]]&lt;&gt;1, Table3[[#This Row],[Convertible]]&lt;&gt;1), 1, 0)</f>
        <v>0</v>
      </c>
      <c r="R15" t="str">
        <f t="shared" si="7"/>
        <v>Convertible</v>
      </c>
    </row>
    <row r="16" spans="1:18" x14ac:dyDescent="0.25">
      <c r="A16">
        <f>'Ajoneuvorekisteri-Parse Modern '!AO154</f>
        <v>2716513</v>
      </c>
      <c r="B16" t="str">
        <f>'Ajoneuvorekisteri-Parse Modern '!AN154</f>
        <v>SAJGX2241W</v>
      </c>
      <c r="C16" t="str">
        <f t="shared" si="0"/>
        <v>X100_AMERICAS_UNIQUE (JLM20301_unique)</v>
      </c>
      <c r="D16" t="str">
        <f t="shared" si="1"/>
        <v>UNKNOWN: [5=X]</v>
      </c>
      <c r="E16" t="str">
        <f t="shared" si="2"/>
        <v>UNKNOWN</v>
      </c>
      <c r="F16" t="str" cm="1">
        <f t="array" ref="F16">_xlfn.LET(_xlpm.v,UPPER(SUBSTITUTE(CLEAN(TRIM(B16)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G16" t="str" cm="1">
        <f t="array" ref="G16">_xlfn.LET(_xlpm.vin,SUBSTITUTE(CLEAN(TRIM(B16)),CHAR(160),""),_xlpm.rawDate,LEFT(TRIM(H16)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H16">
        <f>'Ajoneuvorekisteri-Parse Modern '!G154</f>
        <v>19970101</v>
      </c>
      <c r="I16" t="str">
        <f>LEFT(Table3[[#This Row],[Käyttöönotto]],4)</f>
        <v>1997</v>
      </c>
      <c r="J16" t="str">
        <f>'Ajoneuvorekisteri-Parse Modern '!AA154</f>
        <v>XK8 Convertible Avoauto (AE) 2ov 3996cm3 A</v>
      </c>
      <c r="K16" t="str">
        <f>Ajoneuvorekisteri_Parse_Modern_XK_Range_TieliikenneAvoinData_30_06_2026_csv[[#This Row],[tyyppihyvaksyntanro]]</f>
        <v>e11*95/54*0061*08</v>
      </c>
      <c r="L16">
        <f>'Ajoneuvorekisteri-Parse Modern '!M154</f>
        <v>1780</v>
      </c>
      <c r="M16">
        <f t="shared" si="3"/>
        <v>1</v>
      </c>
      <c r="N16">
        <f t="shared" si="4"/>
        <v>0</v>
      </c>
      <c r="O16">
        <f t="shared" si="5"/>
        <v>0</v>
      </c>
      <c r="P16">
        <f t="shared" si="6"/>
        <v>1</v>
      </c>
      <c r="Q16">
        <f>IF(AND(Table3[[#This Row],[Coupe]]&lt;&gt;1, Table3[[#This Row],[Convertible]]&lt;&gt;1), 1, 0)</f>
        <v>0</v>
      </c>
      <c r="R16" t="str">
        <f t="shared" si="7"/>
        <v>Convertible</v>
      </c>
    </row>
    <row r="17" spans="1:18" x14ac:dyDescent="0.25">
      <c r="A17">
        <f>'Ajoneuvorekisteri-Parse Modern '!AO169</f>
        <v>2914546</v>
      </c>
      <c r="B17" t="str">
        <f>'Ajoneuvorekisteri-Parse Modern '!AN169</f>
        <v>SAJJGAED4A</v>
      </c>
      <c r="C17" t="str">
        <f t="shared" si="0"/>
        <v>X100_EARLY_NORMAL_AR (JDHT)</v>
      </c>
      <c r="D17" t="str">
        <f t="shared" si="1"/>
        <v>UNKNOWN: [5=G]</v>
      </c>
      <c r="E17" t="str">
        <f t="shared" si="2"/>
        <v>UNKNOWN</v>
      </c>
      <c r="F17" t="str" cm="1">
        <f t="array" ref="F17">_xlfn.LET(_xlpm.v,UPPER(SUBSTITUTE(CLEAN(TRIM(B17)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17" t="str" cm="1">
        <f t="array" ref="G17">_xlfn.LET(_xlpm.vin,SUBSTITUTE(CLEAN(TRIM(B17)),CHAR(160),""),_xlpm.rawDate,LEFT(TRIM(H17)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H17">
        <f>'Ajoneuvorekisteri-Parse Modern '!G169</f>
        <v>19970204</v>
      </c>
      <c r="I17" t="str">
        <f>LEFT(Table3[[#This Row],[Käyttöönotto]],4)</f>
        <v>1997</v>
      </c>
      <c r="J17" t="str">
        <f>'Ajoneuvorekisteri-Parse Modern '!AA169</f>
        <v>XK8 Coup� (AD) 2ov 3996cm3 A</v>
      </c>
      <c r="K17" t="str">
        <f>Ajoneuvorekisteri_Parse_Modern_XK_Range_TieliikenneAvoinData_30_06_2026_csv[[#This Row],[tyyppihyvaksyntanro]]</f>
        <v>e11*2001/116*0272*00</v>
      </c>
      <c r="L17">
        <f>'Ajoneuvorekisteri-Parse Modern '!M169</f>
        <v>1720</v>
      </c>
      <c r="M17">
        <f t="shared" si="3"/>
        <v>1</v>
      </c>
      <c r="N17">
        <f t="shared" si="4"/>
        <v>0</v>
      </c>
      <c r="O17">
        <f t="shared" si="5"/>
        <v>1</v>
      </c>
      <c r="P17">
        <f t="shared" si="6"/>
        <v>0</v>
      </c>
      <c r="Q17">
        <f>IF(AND(Table3[[#This Row],[Coupe]]&lt;&gt;1, Table3[[#This Row],[Convertible]]&lt;&gt;1), 1, 0)</f>
        <v>0</v>
      </c>
      <c r="R17" t="str">
        <f t="shared" si="7"/>
        <v>Coupe</v>
      </c>
    </row>
    <row r="18" spans="1:18" x14ac:dyDescent="0.25">
      <c r="A18">
        <f>'Ajoneuvorekisteri-Parse Modern '!AO21</f>
        <v>709363</v>
      </c>
      <c r="B18" t="str">
        <f>'Ajoneuvorekisteri-Parse Modern '!AN21</f>
        <v>SAJJGAED4A</v>
      </c>
      <c r="C18" t="str">
        <f t="shared" si="0"/>
        <v>X100_EARLY_NORMAL_AR (JDHT)</v>
      </c>
      <c r="D18" t="str">
        <f t="shared" si="1"/>
        <v>UNKNOWN: [5=G]</v>
      </c>
      <c r="E18" t="str">
        <f t="shared" si="2"/>
        <v>UNKNOWN</v>
      </c>
      <c r="F18" t="str" cm="1">
        <f t="array" ref="F18">_xlfn.LET(_xlpm.v,UPPER(SUBSTITUTE(CLEAN(TRIM(B18)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18" t="str" cm="1">
        <f t="array" ref="G18">_xlfn.LET(_xlpm.vin,SUBSTITUTE(CLEAN(TRIM(B18)),CHAR(160),""),_xlpm.rawDate,LEFT(TRIM(H18)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H18">
        <f>'Ajoneuvorekisteri-Parse Modern '!G21</f>
        <v>19970207</v>
      </c>
      <c r="I18" t="str">
        <f>LEFT(Table3[[#This Row],[Käyttöönotto]],4)</f>
        <v>1997</v>
      </c>
      <c r="J18" t="str">
        <f>'Ajoneuvorekisteri-Parse Modern '!AA21</f>
        <v>COUPE XK8 4.0-AUTOMATIC-JGED/259</v>
      </c>
      <c r="K18" t="str">
        <f>Ajoneuvorekisteri_Parse_Modern_XK_Range_TieliikenneAvoinData_30_06_2026_csv[[#This Row],[tyyppihyvaksyntanro]]</f>
        <v>e11*2001/116*0272*00</v>
      </c>
      <c r="L18">
        <f>'Ajoneuvorekisteri-Parse Modern '!M21</f>
        <v>1720</v>
      </c>
      <c r="M18">
        <f t="shared" si="3"/>
        <v>1</v>
      </c>
      <c r="N18">
        <f t="shared" si="4"/>
        <v>0</v>
      </c>
      <c r="O18">
        <f t="shared" si="5"/>
        <v>1</v>
      </c>
      <c r="P18">
        <f t="shared" si="6"/>
        <v>0</v>
      </c>
      <c r="Q18">
        <f>IF(AND(Table3[[#This Row],[Coupe]]&lt;&gt;1, Table3[[#This Row],[Convertible]]&lt;&gt;1), 1, 0)</f>
        <v>0</v>
      </c>
      <c r="R18" t="str">
        <f t="shared" si="7"/>
        <v>Coupe</v>
      </c>
    </row>
    <row r="19" spans="1:18" x14ac:dyDescent="0.25">
      <c r="A19">
        <f>'Ajoneuvorekisteri-Parse Modern '!AO61</f>
        <v>1663898</v>
      </c>
      <c r="B19" t="str">
        <f>'Ajoneuvorekisteri-Parse Modern '!AN61</f>
        <v>SAJJGAFD4A</v>
      </c>
      <c r="C19" t="str">
        <f t="shared" si="0"/>
        <v>X100_EARLY_NORMAL_AR (JDHT)</v>
      </c>
      <c r="D19" t="str">
        <f t="shared" si="1"/>
        <v>UNKNOWN: [5=G]</v>
      </c>
      <c r="E19" t="str">
        <f t="shared" si="2"/>
        <v>UNKNOWN</v>
      </c>
      <c r="F19" t="str" cm="1">
        <f t="array" ref="F19">_xlfn.LET(_xlpm.v,UPPER(SUBSTITUTE(CLEAN(TRIM(B19)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19" t="str" cm="1">
        <f t="array" ref="G19">_xlfn.LET(_xlpm.vin,SUBSTITUTE(CLEAN(TRIM(B19)),CHAR(160),""),_xlpm.rawDate,LEFT(TRIM(H19)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H19">
        <f>'Ajoneuvorekisteri-Parse Modern '!G61</f>
        <v>19970326</v>
      </c>
      <c r="I19" t="str">
        <f>LEFT(Table3[[#This Row],[Käyttöönotto]],4)</f>
        <v>1997</v>
      </c>
      <c r="J19" t="str">
        <f>'Ajoneuvorekisteri-Parse Modern '!AA61</f>
        <v>2D CONVERTIBLE XK8 4.0-AUTOMATIC-JGAF/259</v>
      </c>
      <c r="K19" t="str">
        <f>Ajoneuvorekisteri_Parse_Modern_XK_Range_TieliikenneAvoinData_30_06_2026_csv[[#This Row],[tyyppihyvaksyntanro]]</f>
        <v>e11*95/54*0061*00</v>
      </c>
      <c r="L19">
        <f>'Ajoneuvorekisteri-Parse Modern '!M61</f>
        <v>1720</v>
      </c>
      <c r="M19">
        <f t="shared" si="3"/>
        <v>1</v>
      </c>
      <c r="N19">
        <f t="shared" si="4"/>
        <v>0</v>
      </c>
      <c r="O19">
        <f t="shared" si="5"/>
        <v>0</v>
      </c>
      <c r="P19">
        <f t="shared" si="6"/>
        <v>1</v>
      </c>
      <c r="Q19">
        <f>IF(AND(Table3[[#This Row],[Coupe]]&lt;&gt;1, Table3[[#This Row],[Convertible]]&lt;&gt;1), 1, 0)</f>
        <v>0</v>
      </c>
      <c r="R19" t="str">
        <f t="shared" si="7"/>
        <v>Convertible</v>
      </c>
    </row>
    <row r="20" spans="1:18" x14ac:dyDescent="0.25">
      <c r="A20">
        <f>'Ajoneuvorekisteri-Parse Modern '!AO136</f>
        <v>2568375</v>
      </c>
      <c r="B20" t="str">
        <f>'Ajoneuvorekisteri-Parse Modern '!AN136</f>
        <v>SAJGX2742V</v>
      </c>
      <c r="C20" t="str">
        <f t="shared" si="0"/>
        <v>X100_AMERICAS_UNIQUE (JLM20301_unique)</v>
      </c>
      <c r="D20" t="str">
        <f t="shared" si="1"/>
        <v>UNKNOWN: [5=X]</v>
      </c>
      <c r="E20" t="str">
        <f t="shared" si="2"/>
        <v>UNKNOWN</v>
      </c>
      <c r="F20" t="str" cm="1">
        <f t="array" ref="F20">_xlfn.LET(_xlpm.v,UPPER(SUBSTITUTE(CLEAN(TRIM(B20)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G20" t="str" cm="1">
        <f t="array" ref="G20">_xlfn.LET(_xlpm.vin,SUBSTITUTE(CLEAN(TRIM(B20)),CHAR(160),""),_xlpm.rawDate,LEFT(TRIM(H20)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H20">
        <f>'Ajoneuvorekisteri-Parse Modern '!G136</f>
        <v>19970402</v>
      </c>
      <c r="I20" t="str">
        <f>LEFT(Table3[[#This Row],[Käyttöönotto]],4)</f>
        <v>1997</v>
      </c>
      <c r="J20" t="str">
        <f>'Ajoneuvorekisteri-Parse Modern '!AA136</f>
        <v>XK8 Avoauto (AE) 2ov 3990cm3 A</v>
      </c>
      <c r="K20" t="str">
        <f>Ajoneuvorekisteri_Parse_Modern_XK_Range_TieliikenneAvoinData_30_06_2026_csv[[#This Row],[tyyppihyvaksyntanro]]</f>
        <v>e11*95/54*0061*00</v>
      </c>
      <c r="L20">
        <f>'Ajoneuvorekisteri-Parse Modern '!M136</f>
        <v>1720</v>
      </c>
      <c r="M20">
        <f t="shared" si="3"/>
        <v>1</v>
      </c>
      <c r="N20">
        <f t="shared" si="4"/>
        <v>0</v>
      </c>
      <c r="O20">
        <f t="shared" si="5"/>
        <v>0</v>
      </c>
      <c r="P20">
        <f t="shared" si="6"/>
        <v>1</v>
      </c>
      <c r="Q20">
        <f>IF(AND(Table3[[#This Row],[Coupe]]&lt;&gt;1, Table3[[#This Row],[Convertible]]&lt;&gt;1), 1, 0)</f>
        <v>0</v>
      </c>
      <c r="R20" t="str">
        <f t="shared" si="7"/>
        <v>Convertible</v>
      </c>
    </row>
    <row r="21" spans="1:18" x14ac:dyDescent="0.25">
      <c r="A21">
        <f>'Ajoneuvorekisteri-Parse Modern '!AO2</f>
        <v>18635</v>
      </c>
      <c r="B21" t="str">
        <f>'Ajoneuvorekisteri-Parse Modern '!AN2</f>
        <v>SAJJGAED4A</v>
      </c>
      <c r="C21" t="str">
        <f t="shared" si="0"/>
        <v>X100_EARLY_NORMAL_AR (JDHT)</v>
      </c>
      <c r="D21" t="str">
        <f t="shared" si="1"/>
        <v>UNKNOWN: [5=G]</v>
      </c>
      <c r="E21" t="str">
        <f t="shared" si="2"/>
        <v>UNKNOWN</v>
      </c>
      <c r="F21" t="str" cm="1">
        <f t="array" ref="F21">_xlfn.LET(_xlpm.v,UPPER(SUBSTITUTE(CLEAN(TRIM(B21)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21" t="str" cm="1">
        <f t="array" ref="G21">_xlfn.LET(_xlpm.vin,SUBSTITUTE(CLEAN(TRIM(B21)),CHAR(160),""),_xlpm.rawDate,LEFT(TRIM(H21)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H21">
        <f>'Ajoneuvorekisteri-Parse Modern '!G2</f>
        <v>19970404</v>
      </c>
      <c r="I21" t="str">
        <f>LEFT(Table3[[#This Row],[Käyttöönotto]],4)</f>
        <v>1997</v>
      </c>
      <c r="J21" t="str">
        <f>'Ajoneuvorekisteri-Parse Modern '!AA2</f>
        <v>COUPE XK8 4.0-AUTOMATIC-JGED/259</v>
      </c>
      <c r="K21" t="str">
        <f>Ajoneuvorekisteri_Parse_Modern_XK_Range_TieliikenneAvoinData_30_06_2026_csv[[#This Row],[tyyppihyvaksyntanro]]</f>
        <v/>
      </c>
      <c r="L21">
        <f>'Ajoneuvorekisteri-Parse Modern '!M2</f>
        <v>1720</v>
      </c>
      <c r="M21">
        <f t="shared" si="3"/>
        <v>1</v>
      </c>
      <c r="N21">
        <f t="shared" si="4"/>
        <v>0</v>
      </c>
      <c r="O21">
        <f t="shared" si="5"/>
        <v>1</v>
      </c>
      <c r="P21">
        <f t="shared" si="6"/>
        <v>0</v>
      </c>
      <c r="Q21">
        <f>IF(AND(Table3[[#This Row],[Coupe]]&lt;&gt;1, Table3[[#This Row],[Convertible]]&lt;&gt;1), 1, 0)</f>
        <v>0</v>
      </c>
      <c r="R21" t="str">
        <f t="shared" si="7"/>
        <v>Coupe</v>
      </c>
    </row>
    <row r="22" spans="1:18" x14ac:dyDescent="0.25">
      <c r="A22">
        <f>'Ajoneuvorekisteri-Parse Modern '!AO80</f>
        <v>2059466</v>
      </c>
      <c r="B22" t="str">
        <f>'Ajoneuvorekisteri-Parse Modern '!AN80</f>
        <v>SAJGX2740V</v>
      </c>
      <c r="C22" t="str">
        <f t="shared" si="0"/>
        <v>X100_AMERICAS_UNIQUE (JLM20301_unique)</v>
      </c>
      <c r="D22" t="str">
        <f t="shared" si="1"/>
        <v>UNKNOWN: [5=X]</v>
      </c>
      <c r="E22" t="str">
        <f t="shared" si="2"/>
        <v>UNKNOWN</v>
      </c>
      <c r="F22" t="str" cm="1">
        <f t="array" ref="F22">_xlfn.LET(_xlpm.v,UPPER(SUBSTITUTE(CLEAN(TRIM(B22)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G22" t="str" cm="1">
        <f t="array" ref="G22">_xlfn.LET(_xlpm.vin,SUBSTITUTE(CLEAN(TRIM(B22)),CHAR(160),""),_xlpm.rawDate,LEFT(TRIM(H22)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H22">
        <f>'Ajoneuvorekisteri-Parse Modern '!G80</f>
        <v>19970415</v>
      </c>
      <c r="I22" t="str">
        <f>LEFT(Table3[[#This Row],[Käyttöönotto]],4)</f>
        <v>1997</v>
      </c>
      <c r="J22" t="str">
        <f>'Ajoneuvorekisteri-Parse Modern '!AA80</f>
        <v>XK 8 Avoauto (AE) 2ov 3990cm3</v>
      </c>
      <c r="K22" t="str">
        <f>Ajoneuvorekisteri_Parse_Modern_XK_Range_TieliikenneAvoinData_30_06_2026_csv[[#This Row],[tyyppihyvaksyntanro]]</f>
        <v/>
      </c>
      <c r="L22">
        <f>'Ajoneuvorekisteri-Parse Modern '!M80</f>
        <v>1810</v>
      </c>
      <c r="M22">
        <f t="shared" si="3"/>
        <v>1</v>
      </c>
      <c r="N22">
        <f t="shared" si="4"/>
        <v>0</v>
      </c>
      <c r="O22">
        <f t="shared" si="5"/>
        <v>0</v>
      </c>
      <c r="P22">
        <f t="shared" si="6"/>
        <v>1</v>
      </c>
      <c r="Q22">
        <f>IF(AND(Table3[[#This Row],[Coupe]]&lt;&gt;1, Table3[[#This Row],[Convertible]]&lt;&gt;1), 1, 0)</f>
        <v>0</v>
      </c>
      <c r="R22" t="str">
        <f t="shared" si="7"/>
        <v>Convertible</v>
      </c>
    </row>
    <row r="23" spans="1:18" x14ac:dyDescent="0.25">
      <c r="A23">
        <f>'Ajoneuvorekisteri-Parse Modern '!AO19</f>
        <v>627492</v>
      </c>
      <c r="B23" t="str">
        <f>'Ajoneuvorekisteri-Parse Modern '!AN19</f>
        <v>SAJJGAED4A</v>
      </c>
      <c r="C23" t="str">
        <f t="shared" si="0"/>
        <v>X100_EARLY_NORMAL_AR (JDHT)</v>
      </c>
      <c r="D23" t="str">
        <f t="shared" si="1"/>
        <v>UNKNOWN: [5=G]</v>
      </c>
      <c r="E23" t="str">
        <f t="shared" si="2"/>
        <v>UNKNOWN</v>
      </c>
      <c r="F23" t="str" cm="1">
        <f t="array" ref="F23">_xlfn.LET(_xlpm.v,UPPER(SUBSTITUTE(CLEAN(TRIM(B23)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23" t="str" cm="1">
        <f t="array" ref="G23">_xlfn.LET(_xlpm.vin,SUBSTITUTE(CLEAN(TRIM(B23)),CHAR(160),""),_xlpm.rawDate,LEFT(TRIM(H23)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H23">
        <f>'Ajoneuvorekisteri-Parse Modern '!G19</f>
        <v>19970516</v>
      </c>
      <c r="I23" t="str">
        <f>LEFT(Table3[[#This Row],[Käyttöönotto]],4)</f>
        <v>1997</v>
      </c>
      <c r="J23" t="str">
        <f>'Ajoneuvorekisteri-Parse Modern '!AA19</f>
        <v>COUPE XK8 4.0-AUTOMATIC-JGED/259</v>
      </c>
      <c r="K23" t="str">
        <f>Ajoneuvorekisteri_Parse_Modern_XK_Range_TieliikenneAvoinData_30_06_2026_csv[[#This Row],[tyyppihyvaksyntanro]]</f>
        <v>e11*95/54*0061*01</v>
      </c>
      <c r="L23">
        <f>'Ajoneuvorekisteri-Parse Modern '!M19</f>
        <v>1720</v>
      </c>
      <c r="M23">
        <f t="shared" si="3"/>
        <v>1</v>
      </c>
      <c r="N23">
        <f t="shared" si="4"/>
        <v>0</v>
      </c>
      <c r="O23">
        <f t="shared" si="5"/>
        <v>1</v>
      </c>
      <c r="P23">
        <f t="shared" si="6"/>
        <v>0</v>
      </c>
      <c r="Q23">
        <f>IF(AND(Table3[[#This Row],[Coupe]]&lt;&gt;1, Table3[[#This Row],[Convertible]]&lt;&gt;1), 1, 0)</f>
        <v>0</v>
      </c>
      <c r="R23" t="str">
        <f t="shared" si="7"/>
        <v>Coupe</v>
      </c>
    </row>
    <row r="24" spans="1:18" x14ac:dyDescent="0.25">
      <c r="A24">
        <f>'Ajoneuvorekisteri-Parse Modern '!AO83</f>
        <v>2064701</v>
      </c>
      <c r="B24" t="str">
        <f>'Ajoneuvorekisteri-Parse Modern '!AN83</f>
        <v>SAJJGAED4A</v>
      </c>
      <c r="C24" t="str">
        <f t="shared" si="0"/>
        <v>X100_EARLY_NORMAL_AR (JDHT)</v>
      </c>
      <c r="D24" t="str">
        <f t="shared" si="1"/>
        <v>UNKNOWN: [5=G]</v>
      </c>
      <c r="E24" t="str">
        <f t="shared" si="2"/>
        <v>UNKNOWN</v>
      </c>
      <c r="F24" t="str" cm="1">
        <f t="array" ref="F24">_xlfn.LET(_xlpm.v,UPPER(SUBSTITUTE(CLEAN(TRIM(B24)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24" t="str" cm="1">
        <f t="array" ref="G24">_xlfn.LET(_xlpm.vin,SUBSTITUTE(CLEAN(TRIM(B24)),CHAR(160),""),_xlpm.rawDate,LEFT(TRIM(H24)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H24">
        <f>'Ajoneuvorekisteri-Parse Modern '!G83</f>
        <v>19970527</v>
      </c>
      <c r="I24" t="str">
        <f>LEFT(Table3[[#This Row],[Käyttöönotto]],4)</f>
        <v>1997</v>
      </c>
      <c r="J24" t="str">
        <f>'Ajoneuvorekisteri-Parse Modern '!AA83</f>
        <v>XK Coup� (AD) 2ov 3996cm3 A</v>
      </c>
      <c r="K24" t="str">
        <f>Ajoneuvorekisteri_Parse_Modern_XK_Range_TieliikenneAvoinData_30_06_2026_csv[[#This Row],[tyyppihyvaksyntanro]]</f>
        <v>e11*95/54*0061*02</v>
      </c>
      <c r="L24">
        <f>'Ajoneuvorekisteri-Parse Modern '!M83</f>
        <v>1720</v>
      </c>
      <c r="M24">
        <f t="shared" si="3"/>
        <v>1</v>
      </c>
      <c r="N24">
        <f t="shared" si="4"/>
        <v>0</v>
      </c>
      <c r="O24">
        <f t="shared" si="5"/>
        <v>1</v>
      </c>
      <c r="P24">
        <f t="shared" si="6"/>
        <v>0</v>
      </c>
      <c r="Q24">
        <f>IF(AND(Table3[[#This Row],[Coupe]]&lt;&gt;1, Table3[[#This Row],[Convertible]]&lt;&gt;1), 1, 0)</f>
        <v>0</v>
      </c>
      <c r="R24" t="str">
        <f t="shared" si="7"/>
        <v>Coupe</v>
      </c>
    </row>
    <row r="25" spans="1:18" x14ac:dyDescent="0.25">
      <c r="A25">
        <f>'Ajoneuvorekisteri-Parse Modern '!AO226</f>
        <v>3777734</v>
      </c>
      <c r="B25" t="str">
        <f>'Ajoneuvorekisteri-Parse Modern '!AN226</f>
        <v>SAJJGAED4A</v>
      </c>
      <c r="C25" t="str">
        <f t="shared" si="0"/>
        <v>X100_EARLY_NORMAL_AR (JDHT)</v>
      </c>
      <c r="D25" t="str">
        <f t="shared" si="1"/>
        <v>UNKNOWN: [5=G]</v>
      </c>
      <c r="E25" t="str">
        <f t="shared" si="2"/>
        <v>UNKNOWN</v>
      </c>
      <c r="F25" t="str" cm="1">
        <f t="array" ref="F25">_xlfn.LET(_xlpm.v,UPPER(SUBSTITUTE(CLEAN(TRIM(B25)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25" t="str" cm="1">
        <f t="array" ref="G25">_xlfn.LET(_xlpm.vin,SUBSTITUTE(CLEAN(TRIM(B25)),CHAR(160),""),_xlpm.rawDate,LEFT(TRIM(H25)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H25">
        <f>'Ajoneuvorekisteri-Parse Modern '!G226</f>
        <v>19970602</v>
      </c>
      <c r="I25" t="str">
        <f>LEFT(Table3[[#This Row],[Käyttöönotto]],4)</f>
        <v>1997</v>
      </c>
      <c r="J25" t="str">
        <f>'Ajoneuvorekisteri-Parse Modern '!AA226</f>
        <v>XK8 COUPE Coup� (AD) 2ov 3990cm3</v>
      </c>
      <c r="K25" t="str">
        <f>Ajoneuvorekisteri_Parse_Modern_XK_Range_TieliikenneAvoinData_30_06_2026_csv[[#This Row],[tyyppihyvaksyntanro]]</f>
        <v>e11*2001/116*0272*00</v>
      </c>
      <c r="L25">
        <f>'Ajoneuvorekisteri-Parse Modern '!M226</f>
        <v>1690</v>
      </c>
      <c r="M25">
        <f t="shared" si="3"/>
        <v>1</v>
      </c>
      <c r="N25">
        <f t="shared" si="4"/>
        <v>0</v>
      </c>
      <c r="O25">
        <f t="shared" si="5"/>
        <v>1</v>
      </c>
      <c r="P25">
        <f t="shared" si="6"/>
        <v>0</v>
      </c>
      <c r="Q25">
        <f>IF(AND(Table3[[#This Row],[Coupe]]&lt;&gt;1, Table3[[#This Row],[Convertible]]&lt;&gt;1), 1, 0)</f>
        <v>0</v>
      </c>
      <c r="R25" t="str">
        <f t="shared" si="7"/>
        <v>Coupe</v>
      </c>
    </row>
    <row r="26" spans="1:18" x14ac:dyDescent="0.25">
      <c r="A26">
        <f>'Ajoneuvorekisteri-Parse Modern '!AO27</f>
        <v>928493</v>
      </c>
      <c r="B26" t="str">
        <f>'Ajoneuvorekisteri-Parse Modern '!AN27</f>
        <v>SAJJGAED4A</v>
      </c>
      <c r="C26" t="str">
        <f t="shared" si="0"/>
        <v>X100_EARLY_NORMAL_AR (JDHT)</v>
      </c>
      <c r="D26" t="str">
        <f t="shared" si="1"/>
        <v>UNKNOWN: [5=G]</v>
      </c>
      <c r="E26" t="str">
        <f t="shared" si="2"/>
        <v>UNKNOWN</v>
      </c>
      <c r="F26" t="str" cm="1">
        <f t="array" ref="F26">_xlfn.LET(_xlpm.v,UPPER(SUBSTITUTE(CLEAN(TRIM(B26)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26" t="str" cm="1">
        <f t="array" ref="G26">_xlfn.LET(_xlpm.vin,SUBSTITUTE(CLEAN(TRIM(B26)),CHAR(160),""),_xlpm.rawDate,LEFT(TRIM(H26)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H26">
        <f>'Ajoneuvorekisteri-Parse Modern '!G27</f>
        <v>19970605</v>
      </c>
      <c r="I26" t="str">
        <f>LEFT(Table3[[#This Row],[Käyttöönotto]],4)</f>
        <v>1997</v>
      </c>
      <c r="J26" t="str">
        <f>'Ajoneuvorekisteri-Parse Modern '!AA27</f>
        <v>COUPE XK8 4.0-AUTOMATIC-JGED/259</v>
      </c>
      <c r="K26" t="str">
        <f>Ajoneuvorekisteri_Parse_Modern_XK_Range_TieliikenneAvoinData_30_06_2026_csv[[#This Row],[tyyppihyvaksyntanro]]</f>
        <v>e11*95/54*0061*03</v>
      </c>
      <c r="L26">
        <f>'Ajoneuvorekisteri-Parse Modern '!M27</f>
        <v>1720</v>
      </c>
      <c r="M26">
        <f t="shared" si="3"/>
        <v>1</v>
      </c>
      <c r="N26">
        <f t="shared" si="4"/>
        <v>0</v>
      </c>
      <c r="O26">
        <f t="shared" si="5"/>
        <v>1</v>
      </c>
      <c r="P26">
        <f t="shared" si="6"/>
        <v>0</v>
      </c>
      <c r="Q26">
        <f>IF(AND(Table3[[#This Row],[Coupe]]&lt;&gt;1, Table3[[#This Row],[Convertible]]&lt;&gt;1), 1, 0)</f>
        <v>0</v>
      </c>
      <c r="R26" t="str">
        <f t="shared" si="7"/>
        <v>Coupe</v>
      </c>
    </row>
    <row r="27" spans="1:18" x14ac:dyDescent="0.25">
      <c r="A27">
        <f>'Ajoneuvorekisteri-Parse Modern '!AO20</f>
        <v>689949</v>
      </c>
      <c r="B27" t="str">
        <f>'Ajoneuvorekisteri-Parse Modern '!AN20</f>
        <v>SAJJGAED4A</v>
      </c>
      <c r="C27" t="str">
        <f t="shared" si="0"/>
        <v>X100_EARLY_NORMAL_AR (JDHT)</v>
      </c>
      <c r="D27" t="str">
        <f t="shared" si="1"/>
        <v>UNKNOWN: [5=G]</v>
      </c>
      <c r="E27" t="str">
        <f t="shared" si="2"/>
        <v>UNKNOWN</v>
      </c>
      <c r="F27" t="str" cm="1">
        <f t="array" ref="F27">_xlfn.LET(_xlpm.v,UPPER(SUBSTITUTE(CLEAN(TRIM(B27)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27" t="str" cm="1">
        <f t="array" ref="G27">_xlfn.LET(_xlpm.vin,SUBSTITUTE(CLEAN(TRIM(B27)),CHAR(160),""),_xlpm.rawDate,LEFT(TRIM(H27)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H27">
        <f>'Ajoneuvorekisteri-Parse Modern '!G20</f>
        <v>19970609</v>
      </c>
      <c r="I27" t="str">
        <f>LEFT(Table3[[#This Row],[Käyttöönotto]],4)</f>
        <v>1997</v>
      </c>
      <c r="J27" t="str">
        <f>'Ajoneuvorekisteri-Parse Modern '!AA20</f>
        <v>COUPE XK8 4.0-AUTOMATIC-JGED/259</v>
      </c>
      <c r="K27" t="str">
        <f>Ajoneuvorekisteri_Parse_Modern_XK_Range_TieliikenneAvoinData_30_06_2026_csv[[#This Row],[tyyppihyvaksyntanro]]</f>
        <v>e11*95/54*0061*00</v>
      </c>
      <c r="L27">
        <f>'Ajoneuvorekisteri-Parse Modern '!M20</f>
        <v>1720</v>
      </c>
      <c r="M27">
        <f t="shared" si="3"/>
        <v>1</v>
      </c>
      <c r="N27">
        <f t="shared" si="4"/>
        <v>0</v>
      </c>
      <c r="O27">
        <f t="shared" si="5"/>
        <v>1</v>
      </c>
      <c r="P27">
        <f t="shared" si="6"/>
        <v>0</v>
      </c>
      <c r="Q27">
        <f>IF(AND(Table3[[#This Row],[Coupe]]&lt;&gt;1, Table3[[#This Row],[Convertible]]&lt;&gt;1), 1, 0)</f>
        <v>0</v>
      </c>
      <c r="R27" t="str">
        <f t="shared" si="7"/>
        <v>Coupe</v>
      </c>
    </row>
    <row r="28" spans="1:18" x14ac:dyDescent="0.25">
      <c r="A28">
        <f>'Ajoneuvorekisteri-Parse Modern '!AO174</f>
        <v>3022323</v>
      </c>
      <c r="B28" t="str">
        <f>'Ajoneuvorekisteri-Parse Modern '!AN174</f>
        <v>SAJJGAED4A</v>
      </c>
      <c r="C28" t="str">
        <f t="shared" si="0"/>
        <v>X100_EARLY_NORMAL_AR (JDHT)</v>
      </c>
      <c r="D28" t="str">
        <f t="shared" si="1"/>
        <v>UNKNOWN: [5=G]</v>
      </c>
      <c r="E28" t="str">
        <f t="shared" si="2"/>
        <v>UNKNOWN</v>
      </c>
      <c r="F28" t="str" cm="1">
        <f t="array" ref="F28">_xlfn.LET(_xlpm.v,UPPER(SUBSTITUTE(CLEAN(TRIM(B28)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28" t="str" cm="1">
        <f t="array" ref="G28">_xlfn.LET(_xlpm.vin,SUBSTITUTE(CLEAN(TRIM(B28)),CHAR(160),""),_xlpm.rawDate,LEFT(TRIM(H28)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H28">
        <f>'Ajoneuvorekisteri-Parse Modern '!G174</f>
        <v>19970616</v>
      </c>
      <c r="I28" t="str">
        <f>LEFT(Table3[[#This Row],[Käyttöönotto]],4)</f>
        <v>1997</v>
      </c>
      <c r="J28" t="str">
        <f>'Ajoneuvorekisteri-Parse Modern '!AA174</f>
        <v>XK Coup� (AD) 2ov 3990cm3</v>
      </c>
      <c r="K28" t="str">
        <f>Ajoneuvorekisteri_Parse_Modern_XK_Range_TieliikenneAvoinData_30_06_2026_csv[[#This Row],[tyyppihyvaksyntanro]]</f>
        <v>e11*95/54*0062*03</v>
      </c>
      <c r="L28">
        <f>'Ajoneuvorekisteri-Parse Modern '!M174</f>
        <v>1720</v>
      </c>
      <c r="M28">
        <f t="shared" si="3"/>
        <v>1</v>
      </c>
      <c r="N28">
        <f t="shared" si="4"/>
        <v>0</v>
      </c>
      <c r="O28">
        <f t="shared" si="5"/>
        <v>1</v>
      </c>
      <c r="P28">
        <f t="shared" si="6"/>
        <v>0</v>
      </c>
      <c r="Q28">
        <f>IF(AND(Table3[[#This Row],[Coupe]]&lt;&gt;1, Table3[[#This Row],[Convertible]]&lt;&gt;1), 1, 0)</f>
        <v>0</v>
      </c>
      <c r="R28" t="str">
        <f t="shared" si="7"/>
        <v>Coupe</v>
      </c>
    </row>
    <row r="29" spans="1:18" x14ac:dyDescent="0.25">
      <c r="A29">
        <f>'Ajoneuvorekisteri-Parse Modern '!AO46</f>
        <v>1306812</v>
      </c>
      <c r="B29" t="str">
        <f>'Ajoneuvorekisteri-Parse Modern '!AN46</f>
        <v>SAJJGAED4A</v>
      </c>
      <c r="C29" t="str">
        <f t="shared" si="0"/>
        <v>X100_EARLY_NORMAL_AR (JDHT)</v>
      </c>
      <c r="D29" t="str">
        <f t="shared" si="1"/>
        <v>UNKNOWN: [5=G]</v>
      </c>
      <c r="E29" t="str">
        <f t="shared" si="2"/>
        <v>UNKNOWN</v>
      </c>
      <c r="F29" t="str" cm="1">
        <f t="array" ref="F29">_xlfn.LET(_xlpm.v,UPPER(SUBSTITUTE(CLEAN(TRIM(B29)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29" t="str" cm="1">
        <f t="array" ref="G29">_xlfn.LET(_xlpm.vin,SUBSTITUTE(CLEAN(TRIM(B29)),CHAR(160),""),_xlpm.rawDate,LEFT(TRIM(H29)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H29">
        <f>'Ajoneuvorekisteri-Parse Modern '!G46</f>
        <v>19970617</v>
      </c>
      <c r="I29" t="str">
        <f>LEFT(Table3[[#This Row],[Käyttöönotto]],4)</f>
        <v>1997</v>
      </c>
      <c r="J29" t="str">
        <f>'Ajoneuvorekisteri-Parse Modern '!AA46</f>
        <v>COUPE XK8 4.0-AUTOMATIC-JGAE/259</v>
      </c>
      <c r="K29" t="str">
        <f>Ajoneuvorekisteri_Parse_Modern_XK_Range_TieliikenneAvoinData_30_06_2026_csv[[#This Row],[tyyppihyvaksyntanro]]</f>
        <v>e11*2001/116*0272*00</v>
      </c>
      <c r="L29">
        <f>'Ajoneuvorekisteri-Parse Modern '!M46</f>
        <v>1690</v>
      </c>
      <c r="M29">
        <f t="shared" si="3"/>
        <v>1</v>
      </c>
      <c r="N29">
        <f t="shared" si="4"/>
        <v>0</v>
      </c>
      <c r="O29">
        <f t="shared" si="5"/>
        <v>1</v>
      </c>
      <c r="P29">
        <f t="shared" si="6"/>
        <v>0</v>
      </c>
      <c r="Q29">
        <f>IF(AND(Table3[[#This Row],[Coupe]]&lt;&gt;1, Table3[[#This Row],[Convertible]]&lt;&gt;1), 1, 0)</f>
        <v>0</v>
      </c>
      <c r="R29" t="str">
        <f t="shared" si="7"/>
        <v>Coupe</v>
      </c>
    </row>
    <row r="30" spans="1:18" x14ac:dyDescent="0.25">
      <c r="A30">
        <f>'Ajoneuvorekisteri-Parse Modern '!AO30</f>
        <v>968661</v>
      </c>
      <c r="B30" t="str">
        <f>'Ajoneuvorekisteri-Parse Modern '!AN30</f>
        <v>SAJJGXFD4V</v>
      </c>
      <c r="C30" t="str">
        <f t="shared" si="0"/>
        <v>X100_JLM20300</v>
      </c>
      <c r="D30" t="str">
        <f t="shared" si="1"/>
        <v>UNKNOWN: [5=G]</v>
      </c>
      <c r="E30" t="str">
        <f t="shared" si="2"/>
        <v>UNKNOWN</v>
      </c>
      <c r="F30" t="str" cm="1">
        <f t="array" ref="F30">_xlfn.LET(_xlpm.v,UPPER(SUBSTITUTE(CLEAN(TRIM(B30)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X100_JLM20300</v>
      </c>
      <c r="G30" t="str" cm="1">
        <f t="array" ref="G30">_xlfn.LET(_xlpm.vin,SUBSTITUTE(CLEAN(TRIM(B30)),CHAR(160),""),_xlpm.rawDate,LEFT(TRIM(H30)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H30">
        <f>'Ajoneuvorekisteri-Parse Modern '!G30</f>
        <v>19970625</v>
      </c>
      <c r="I30" t="str">
        <f>LEFT(Table3[[#This Row],[Käyttöönotto]],4)</f>
        <v>1997</v>
      </c>
      <c r="J30" t="str">
        <f>'Ajoneuvorekisteri-Parse Modern '!AA30</f>
        <v>2D CONVERTIBLE XK8 4.0-AUTOMATIC-JGFD/259</v>
      </c>
      <c r="K30" t="str">
        <f>Ajoneuvorekisteri_Parse_Modern_XK_Range_TieliikenneAvoinData_30_06_2026_csv[[#This Row],[tyyppihyvaksyntanro]]</f>
        <v>e11*95/54*0062*00</v>
      </c>
      <c r="L30">
        <f>'Ajoneuvorekisteri-Parse Modern '!M30</f>
        <v>1720</v>
      </c>
      <c r="M30">
        <f t="shared" si="3"/>
        <v>1</v>
      </c>
      <c r="N30">
        <f t="shared" si="4"/>
        <v>0</v>
      </c>
      <c r="O30">
        <f t="shared" si="5"/>
        <v>0</v>
      </c>
      <c r="P30">
        <f t="shared" si="6"/>
        <v>1</v>
      </c>
      <c r="Q30">
        <f>IF(AND(Table3[[#This Row],[Coupe]]&lt;&gt;1, Table3[[#This Row],[Convertible]]&lt;&gt;1), 1, 0)</f>
        <v>0</v>
      </c>
      <c r="R30" t="str">
        <f t="shared" si="7"/>
        <v>Convertible</v>
      </c>
    </row>
    <row r="31" spans="1:18" x14ac:dyDescent="0.25">
      <c r="A31">
        <f>'Ajoneuvorekisteri-Parse Modern '!AO51</f>
        <v>1385247</v>
      </c>
      <c r="B31" t="str">
        <f>'Ajoneuvorekisteri-Parse Modern '!AN51</f>
        <v>SAJJGAED4A</v>
      </c>
      <c r="C31" t="str">
        <f t="shared" si="0"/>
        <v>X100_EARLY_NORMAL_AR (JDHT)</v>
      </c>
      <c r="D31" t="str">
        <f t="shared" si="1"/>
        <v>UNKNOWN: [5=G]</v>
      </c>
      <c r="E31" t="str">
        <f t="shared" si="2"/>
        <v>UNKNOWN</v>
      </c>
      <c r="F31" t="str" cm="1">
        <f t="array" ref="F31">_xlfn.LET(_xlpm.v,UPPER(SUBSTITUTE(CLEAN(TRIM(B31)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31" t="str" cm="1">
        <f t="array" ref="G31">_xlfn.LET(_xlpm.vin,SUBSTITUTE(CLEAN(TRIM(B31)),CHAR(160),""),_xlpm.rawDate,LEFT(TRIM(H31)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H31">
        <f>'Ajoneuvorekisteri-Parse Modern '!G51</f>
        <v>19970626</v>
      </c>
      <c r="I31" t="str">
        <f>LEFT(Table3[[#This Row],[Käyttöönotto]],4)</f>
        <v>1997</v>
      </c>
      <c r="J31" t="str">
        <f>'Ajoneuvorekisteri-Parse Modern '!AA51</f>
        <v>COUPE XK8 4.0-AUTOMATIC-JGED/259</v>
      </c>
      <c r="K31" t="str">
        <f>Ajoneuvorekisteri_Parse_Modern_XK_Range_TieliikenneAvoinData_30_06_2026_csv[[#This Row],[tyyppihyvaksyntanro]]</f>
        <v>e11*95/54*0062*03</v>
      </c>
      <c r="L31">
        <f>'Ajoneuvorekisteri-Parse Modern '!M51</f>
        <v>1720</v>
      </c>
      <c r="M31">
        <f t="shared" si="3"/>
        <v>1</v>
      </c>
      <c r="N31">
        <f t="shared" si="4"/>
        <v>0</v>
      </c>
      <c r="O31">
        <f t="shared" si="5"/>
        <v>1</v>
      </c>
      <c r="P31">
        <f t="shared" si="6"/>
        <v>0</v>
      </c>
      <c r="Q31">
        <f>IF(AND(Table3[[#This Row],[Coupe]]&lt;&gt;1, Table3[[#This Row],[Convertible]]&lt;&gt;1), 1, 0)</f>
        <v>0</v>
      </c>
      <c r="R31" t="str">
        <f t="shared" si="7"/>
        <v>Coupe</v>
      </c>
    </row>
    <row r="32" spans="1:18" x14ac:dyDescent="0.25">
      <c r="A32">
        <f>'Ajoneuvorekisteri-Parse Modern '!AO12</f>
        <v>337904</v>
      </c>
      <c r="B32" t="str">
        <f>'Ajoneuvorekisteri-Parse Modern '!AN12</f>
        <v>SAJJGAFD4A</v>
      </c>
      <c r="C32" t="str">
        <f t="shared" si="0"/>
        <v>X100_EARLY_NORMAL_AR (JDHT)</v>
      </c>
      <c r="D32" t="str">
        <f t="shared" si="1"/>
        <v>UNKNOWN: [5=G]</v>
      </c>
      <c r="E32" t="str">
        <f t="shared" si="2"/>
        <v>UNKNOWN</v>
      </c>
      <c r="F32" t="str" cm="1">
        <f t="array" ref="F32">_xlfn.LET(_xlpm.v,UPPER(SUBSTITUTE(CLEAN(TRIM(B32)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32" t="str" cm="1">
        <f t="array" ref="G32">_xlfn.LET(_xlpm.vin,SUBSTITUTE(CLEAN(TRIM(B32)),CHAR(160),""),_xlpm.rawDate,LEFT(TRIM(H32)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H32">
        <f>'Ajoneuvorekisteri-Parse Modern '!G12</f>
        <v>19970628</v>
      </c>
      <c r="I32" t="str">
        <f>LEFT(Table3[[#This Row],[Käyttöönotto]],4)</f>
        <v>1997</v>
      </c>
      <c r="J32" t="str">
        <f>'Ajoneuvorekisteri-Parse Modern '!AA12</f>
        <v>2D CONVERTIBLE XK8 4.0-AUTOMATIC-JGAF/259</v>
      </c>
      <c r="K32" t="str">
        <f>Ajoneuvorekisteri_Parse_Modern_XK_Range_TieliikenneAvoinData_30_06_2026_csv[[#This Row],[tyyppihyvaksyntanro]]</f>
        <v>e11*95/54*0062*06</v>
      </c>
      <c r="L32">
        <f>'Ajoneuvorekisteri-Parse Modern '!M12</f>
        <v>1720</v>
      </c>
      <c r="M32">
        <f t="shared" si="3"/>
        <v>1</v>
      </c>
      <c r="N32">
        <f t="shared" si="4"/>
        <v>0</v>
      </c>
      <c r="O32">
        <f t="shared" si="5"/>
        <v>0</v>
      </c>
      <c r="P32">
        <f t="shared" si="6"/>
        <v>1</v>
      </c>
      <c r="Q32">
        <f>IF(AND(Table3[[#This Row],[Coupe]]&lt;&gt;1, Table3[[#This Row],[Convertible]]&lt;&gt;1), 1, 0)</f>
        <v>0</v>
      </c>
      <c r="R32" t="str">
        <f t="shared" si="7"/>
        <v>Convertible</v>
      </c>
    </row>
    <row r="33" spans="1:18" x14ac:dyDescent="0.25">
      <c r="A33">
        <f>'Ajoneuvorekisteri-Parse Modern '!AO126</f>
        <v>2522809</v>
      </c>
      <c r="B33" t="str">
        <f>'Ajoneuvorekisteri-Parse Modern '!AN126</f>
        <v>SAJJGXFD4V</v>
      </c>
      <c r="C33" t="str">
        <f t="shared" si="0"/>
        <v>X100_JLM20300</v>
      </c>
      <c r="D33" t="str">
        <f t="shared" si="1"/>
        <v>UNKNOWN: [5=G]</v>
      </c>
      <c r="E33" t="str">
        <f t="shared" si="2"/>
        <v>UNKNOWN</v>
      </c>
      <c r="F33" t="str" cm="1">
        <f t="array" ref="F33">_xlfn.LET(_xlpm.v,UPPER(SUBSTITUTE(CLEAN(TRIM(B33)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X100_JLM20300</v>
      </c>
      <c r="G33" t="str" cm="1">
        <f t="array" ref="G33">_xlfn.LET(_xlpm.vin,SUBSTITUTE(CLEAN(TRIM(B33)),CHAR(160),""),_xlpm.rawDate,LEFT(TRIM(H33)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H33">
        <f>'Ajoneuvorekisteri-Parse Modern '!G126</f>
        <v>19970630</v>
      </c>
      <c r="I33" t="str">
        <f>LEFT(Table3[[#This Row],[Käyttöönotto]],4)</f>
        <v>1997</v>
      </c>
      <c r="J33" t="str">
        <f>'Ajoneuvorekisteri-Parse Modern '!AA126</f>
        <v>XK8 Avoauto (AE) 2ov 3990cm3 A</v>
      </c>
      <c r="K33" t="str">
        <f>Ajoneuvorekisteri_Parse_Modern_XK_Range_TieliikenneAvoinData_30_06_2026_csv[[#This Row],[tyyppihyvaksyntanro]]</f>
        <v>e11*95/54*0061*00</v>
      </c>
      <c r="L33">
        <f>'Ajoneuvorekisteri-Parse Modern '!M126</f>
        <v>1720</v>
      </c>
      <c r="M33">
        <f t="shared" si="3"/>
        <v>1</v>
      </c>
      <c r="N33">
        <f t="shared" si="4"/>
        <v>0</v>
      </c>
      <c r="O33">
        <f t="shared" si="5"/>
        <v>0</v>
      </c>
      <c r="P33">
        <f t="shared" si="6"/>
        <v>1</v>
      </c>
      <c r="Q33">
        <f>IF(AND(Table3[[#This Row],[Coupe]]&lt;&gt;1, Table3[[#This Row],[Convertible]]&lt;&gt;1), 1, 0)</f>
        <v>0</v>
      </c>
      <c r="R33" t="str">
        <f t="shared" si="7"/>
        <v>Convertible</v>
      </c>
    </row>
    <row r="34" spans="1:18" x14ac:dyDescent="0.25">
      <c r="A34">
        <f>'Ajoneuvorekisteri-Parse Modern '!AO68</f>
        <v>1778447</v>
      </c>
      <c r="B34" t="str">
        <f>'Ajoneuvorekisteri-Parse Modern '!AN68</f>
        <v>SAJJGAED4A</v>
      </c>
      <c r="C34" t="str">
        <f t="shared" si="0"/>
        <v>X100_EARLY_NORMAL_AR (JDHT)</v>
      </c>
      <c r="D34" t="str">
        <f t="shared" si="1"/>
        <v>UNKNOWN: [5=G]</v>
      </c>
      <c r="E34" t="str">
        <f t="shared" si="2"/>
        <v>UNKNOWN</v>
      </c>
      <c r="F34" t="str" cm="1">
        <f t="array" ref="F34">_xlfn.LET(_xlpm.v,UPPER(SUBSTITUTE(CLEAN(TRIM(B34)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34" t="str" cm="1">
        <f t="array" ref="G34">_xlfn.LET(_xlpm.vin,SUBSTITUTE(CLEAN(TRIM(B34)),CHAR(160),""),_xlpm.rawDate,LEFT(TRIM(H34)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H34">
        <f>'Ajoneuvorekisteri-Parse Modern '!G68</f>
        <v>19970708</v>
      </c>
      <c r="I34" t="str">
        <f>LEFT(Table3[[#This Row],[Käyttöönotto]],4)</f>
        <v>1997</v>
      </c>
      <c r="J34" t="str">
        <f>'Ajoneuvorekisteri-Parse Modern '!AA68</f>
        <v>COUPE XK8 4.0-AUTOMATIC-JGAED/259</v>
      </c>
      <c r="K34" t="str">
        <f>Ajoneuvorekisteri_Parse_Modern_XK_Range_TieliikenneAvoinData_30_06_2026_csv[[#This Row],[tyyppihyvaksyntanro]]</f>
        <v/>
      </c>
      <c r="L34">
        <f>'Ajoneuvorekisteri-Parse Modern '!M68</f>
        <v>1690</v>
      </c>
      <c r="M34">
        <f t="shared" si="3"/>
        <v>1</v>
      </c>
      <c r="N34">
        <f t="shared" si="4"/>
        <v>0</v>
      </c>
      <c r="O34">
        <f t="shared" si="5"/>
        <v>1</v>
      </c>
      <c r="P34">
        <f t="shared" si="6"/>
        <v>0</v>
      </c>
      <c r="Q34">
        <f>IF(AND(Table3[[#This Row],[Coupe]]&lt;&gt;1, Table3[[#This Row],[Convertible]]&lt;&gt;1), 1, 0)</f>
        <v>0</v>
      </c>
      <c r="R34" t="str">
        <f t="shared" si="7"/>
        <v>Coupe</v>
      </c>
    </row>
    <row r="35" spans="1:18" x14ac:dyDescent="0.25">
      <c r="A35">
        <f>'Ajoneuvorekisteri-Parse Modern '!AO35</f>
        <v>1099647</v>
      </c>
      <c r="B35" t="str">
        <f>'Ajoneuvorekisteri-Parse Modern '!AN35</f>
        <v>SAJJGAED4A</v>
      </c>
      <c r="C35" t="str">
        <f t="shared" si="0"/>
        <v>X100_EARLY_NORMAL_AR (JDHT)</v>
      </c>
      <c r="D35" t="str">
        <f t="shared" si="1"/>
        <v>UNKNOWN: [5=G]</v>
      </c>
      <c r="E35" t="str">
        <f t="shared" si="2"/>
        <v>UNKNOWN</v>
      </c>
      <c r="F35" t="str" cm="1">
        <f t="array" ref="F35">_xlfn.LET(_xlpm.v,UPPER(SUBSTITUTE(CLEAN(TRIM(B35)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35" t="str" cm="1">
        <f t="array" ref="G35">_xlfn.LET(_xlpm.vin,SUBSTITUTE(CLEAN(TRIM(B35)),CHAR(160),""),_xlpm.rawDate,LEFT(TRIM(H35)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H35">
        <f>'Ajoneuvorekisteri-Parse Modern '!G35</f>
        <v>19970711</v>
      </c>
      <c r="I35" t="str">
        <f>LEFT(Table3[[#This Row],[Käyttöönotto]],4)</f>
        <v>1997</v>
      </c>
      <c r="J35" t="str">
        <f>'Ajoneuvorekisteri-Parse Modern '!AA35</f>
        <v>COUPE XK8 4.0-AUTOMATIC-JGED/259</v>
      </c>
      <c r="K35" t="str">
        <f>Ajoneuvorekisteri_Parse_Modern_XK_Range_TieliikenneAvoinData_30_06_2026_csv[[#This Row],[tyyppihyvaksyntanro]]</f>
        <v>e11*95/54*0061*00</v>
      </c>
      <c r="L35">
        <f>'Ajoneuvorekisteri-Parse Modern '!M35</f>
        <v>1690</v>
      </c>
      <c r="M35">
        <f t="shared" si="3"/>
        <v>1</v>
      </c>
      <c r="N35">
        <f t="shared" si="4"/>
        <v>0</v>
      </c>
      <c r="O35">
        <f t="shared" si="5"/>
        <v>1</v>
      </c>
      <c r="P35">
        <f t="shared" si="6"/>
        <v>0</v>
      </c>
      <c r="Q35">
        <f>IF(AND(Table3[[#This Row],[Coupe]]&lt;&gt;1, Table3[[#This Row],[Convertible]]&lt;&gt;1), 1, 0)</f>
        <v>0</v>
      </c>
      <c r="R35" t="str">
        <f t="shared" si="7"/>
        <v>Coupe</v>
      </c>
    </row>
    <row r="36" spans="1:18" x14ac:dyDescent="0.25">
      <c r="A36">
        <f>'Ajoneuvorekisteri-Parse Modern '!AO228</f>
        <v>3784580</v>
      </c>
      <c r="B36" t="str">
        <f>'Ajoneuvorekisteri-Parse Modern '!AN228</f>
        <v>SAJJGAFD4A</v>
      </c>
      <c r="C36" t="str">
        <f t="shared" si="0"/>
        <v>X100_EARLY_NORMAL_AR (JDHT)</v>
      </c>
      <c r="D36" t="str">
        <f t="shared" si="1"/>
        <v>UNKNOWN: [5=G]</v>
      </c>
      <c r="E36" t="str">
        <f t="shared" si="2"/>
        <v>UNKNOWN</v>
      </c>
      <c r="F36" t="str" cm="1">
        <f t="array" ref="F36">_xlfn.LET(_xlpm.v,UPPER(SUBSTITUTE(CLEAN(TRIM(B36)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36" t="str" cm="1">
        <f t="array" ref="G36">_xlfn.LET(_xlpm.vin,SUBSTITUTE(CLEAN(TRIM(B36)),CHAR(160),""),_xlpm.rawDate,LEFT(TRIM(H36)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008107–018107</v>
      </c>
      <c r="H36">
        <f>'Ajoneuvorekisteri-Parse Modern '!G228</f>
        <v>19970721</v>
      </c>
      <c r="I36" t="str">
        <f>LEFT(Table3[[#This Row],[Käyttöönotto]],4)</f>
        <v>1997</v>
      </c>
      <c r="J36" t="str">
        <f>'Ajoneuvorekisteri-Parse Modern '!AA228</f>
        <v>Jaguar XK8 Umpi/avo 2ov 4000cm3 A</v>
      </c>
      <c r="K36" t="str">
        <f>Ajoneuvorekisteri_Parse_Modern_XK_Range_TieliikenneAvoinData_30_06_2026_csv[[#This Row],[tyyppihyvaksyntanro]]</f>
        <v/>
      </c>
      <c r="L36">
        <f>'Ajoneuvorekisteri-Parse Modern '!M228</f>
        <v>1840</v>
      </c>
      <c r="M36">
        <f t="shared" si="3"/>
        <v>1</v>
      </c>
      <c r="N36">
        <f t="shared" si="4"/>
        <v>0</v>
      </c>
      <c r="O36">
        <f t="shared" si="5"/>
        <v>0</v>
      </c>
      <c r="P36">
        <f t="shared" si="6"/>
        <v>1</v>
      </c>
      <c r="Q36">
        <f>IF(AND(Table3[[#This Row],[Coupe]]&lt;&gt;1, Table3[[#This Row],[Convertible]]&lt;&gt;1), 1, 0)</f>
        <v>0</v>
      </c>
      <c r="R36" t="str">
        <f t="shared" si="7"/>
        <v>Convertible</v>
      </c>
    </row>
    <row r="37" spans="1:18" x14ac:dyDescent="0.25">
      <c r="A37">
        <f>'Ajoneuvorekisteri-Parse Modern '!AO48</f>
        <v>1330889</v>
      </c>
      <c r="B37" t="str">
        <f>'Ajoneuvorekisteri-Parse Modern '!AN48</f>
        <v>SAJJGAED4A</v>
      </c>
      <c r="C37" t="str">
        <f t="shared" si="0"/>
        <v>X100_EARLY_NORMAL_AR (JDHT)</v>
      </c>
      <c r="D37" t="str">
        <f t="shared" si="1"/>
        <v>UNKNOWN: [5=G]</v>
      </c>
      <c r="E37" t="str">
        <f t="shared" si="2"/>
        <v>UNKNOWN</v>
      </c>
      <c r="F37" t="str" cm="1">
        <f t="array" ref="F37">_xlfn.LET(_xlpm.v,UPPER(SUBSTITUTE(CLEAN(TRIM(B37)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37" t="str" cm="1">
        <f t="array" ref="G37">_xlfn.LET(_xlpm.vin,SUBSTITUTE(CLEAN(TRIM(B37)),CHAR(160),""),_xlpm.rawDate,LEFT(TRIM(H37)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018108–023017</v>
      </c>
      <c r="H37">
        <f>'Ajoneuvorekisteri-Parse Modern '!G48</f>
        <v>19970923</v>
      </c>
      <c r="I37" t="str">
        <f>LEFT(Table3[[#This Row],[Käyttöönotto]],4)</f>
        <v>1997</v>
      </c>
      <c r="J37" t="str">
        <f>'Ajoneuvorekisteri-Parse Modern '!AA48</f>
        <v>COUPE XK8 4.0-AUTOMATIC-JGAED/259</v>
      </c>
      <c r="K37" t="str">
        <f>Ajoneuvorekisteri_Parse_Modern_XK_Range_TieliikenneAvoinData_30_06_2026_csv[[#This Row],[tyyppihyvaksyntanro]]</f>
        <v>e11*95/54*0062*08</v>
      </c>
      <c r="L37">
        <f>'Ajoneuvorekisteri-Parse Modern '!M48</f>
        <v>1690</v>
      </c>
      <c r="M37">
        <f t="shared" si="3"/>
        <v>1</v>
      </c>
      <c r="N37">
        <f t="shared" si="4"/>
        <v>0</v>
      </c>
      <c r="O37">
        <f t="shared" si="5"/>
        <v>1</v>
      </c>
      <c r="P37">
        <f t="shared" si="6"/>
        <v>0</v>
      </c>
      <c r="Q37">
        <f>IF(AND(Table3[[#This Row],[Coupe]]&lt;&gt;1, Table3[[#This Row],[Convertible]]&lt;&gt;1), 1, 0)</f>
        <v>0</v>
      </c>
      <c r="R37" t="str">
        <f t="shared" si="7"/>
        <v>Coupe</v>
      </c>
    </row>
    <row r="38" spans="1:18" x14ac:dyDescent="0.25">
      <c r="A38">
        <f>'Ajoneuvorekisteri-Parse Modern '!AO4</f>
        <v>95136</v>
      </c>
      <c r="B38" t="str">
        <f>'Ajoneuvorekisteri-Parse Modern '!AN4</f>
        <v>SAJJGAFD4A</v>
      </c>
      <c r="C38" t="str">
        <f t="shared" si="0"/>
        <v>X100_EARLY_NORMAL_AR (JDHT)</v>
      </c>
      <c r="D38" t="str">
        <f t="shared" si="1"/>
        <v>UNKNOWN: [5=G]</v>
      </c>
      <c r="E38" t="str">
        <f t="shared" si="2"/>
        <v>UNKNOWN</v>
      </c>
      <c r="F38" t="str" cm="1">
        <f t="array" ref="F38">_xlfn.LET(_xlpm.v,UPPER(SUBSTITUTE(CLEAN(TRIM(B38)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38" t="str" cm="1">
        <f t="array" ref="G38">_xlfn.LET(_xlpm.vin,SUBSTITUTE(CLEAN(TRIM(B38)),CHAR(160),""),_xlpm.rawDate,LEFT(TRIM(H38)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018108–023017</v>
      </c>
      <c r="H38">
        <f>'Ajoneuvorekisteri-Parse Modern '!G4</f>
        <v>19971024</v>
      </c>
      <c r="I38" t="str">
        <f>LEFT(Table3[[#This Row],[Käyttöönotto]],4)</f>
        <v>1997</v>
      </c>
      <c r="J38" t="str">
        <f>'Ajoneuvorekisteri-Parse Modern '!AA4</f>
        <v>2D CONVERTIBLE XK8 4.0-AUTOMATIC-JGAF/259</v>
      </c>
      <c r="K38" t="str">
        <f>Ajoneuvorekisteri_Parse_Modern_XK_Range_TieliikenneAvoinData_30_06_2026_csv[[#This Row],[tyyppihyvaksyntanro]]</f>
        <v/>
      </c>
      <c r="L38">
        <f>'Ajoneuvorekisteri-Parse Modern '!M4</f>
        <v>1720</v>
      </c>
      <c r="M38">
        <f t="shared" si="3"/>
        <v>1</v>
      </c>
      <c r="N38">
        <f t="shared" si="4"/>
        <v>0</v>
      </c>
      <c r="O38">
        <f t="shared" si="5"/>
        <v>0</v>
      </c>
      <c r="P38">
        <f t="shared" si="6"/>
        <v>1</v>
      </c>
      <c r="Q38">
        <f>IF(AND(Table3[[#This Row],[Coupe]]&lt;&gt;1, Table3[[#This Row],[Convertible]]&lt;&gt;1), 1, 0)</f>
        <v>0</v>
      </c>
      <c r="R38" t="str">
        <f t="shared" si="7"/>
        <v>Convertible</v>
      </c>
    </row>
    <row r="39" spans="1:18" x14ac:dyDescent="0.25">
      <c r="A39">
        <f>'Ajoneuvorekisteri-Parse Modern '!AO104</f>
        <v>2295845</v>
      </c>
      <c r="B39" t="str">
        <f>'Ajoneuvorekisteri-Parse Modern '!AN104</f>
        <v>SAJGX2245W</v>
      </c>
      <c r="C39" t="str">
        <f t="shared" si="0"/>
        <v>X100_AMERICAS_UNIQUE (JLM20301_unique)</v>
      </c>
      <c r="D39" t="str">
        <f t="shared" si="1"/>
        <v>UNKNOWN: [5=X]</v>
      </c>
      <c r="E39" t="str">
        <f t="shared" si="2"/>
        <v>UNKNOWN</v>
      </c>
      <c r="F39" t="str" cm="1">
        <f t="array" ref="F39">_xlfn.LET(_xlpm.v,UPPER(SUBSTITUTE(CLEAN(TRIM(B39)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G39" t="str" cm="1">
        <f t="array" ref="G39">_xlfn.LET(_xlpm.vin,SUBSTITUTE(CLEAN(TRIM(B39)),CHAR(160),""),_xlpm.rawDate,LEFT(TRIM(H39)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018108–023017</v>
      </c>
      <c r="H39">
        <f>'Ajoneuvorekisteri-Parse Modern '!G104</f>
        <v>19971110</v>
      </c>
      <c r="I39" t="str">
        <f>LEFT(Table3[[#This Row],[Käyttöönotto]],4)</f>
        <v>1997</v>
      </c>
      <c r="J39" t="str">
        <f>'Ajoneuvorekisteri-Parse Modern '!AA104</f>
        <v>2D CONVERTIBLE XK8 4.0-AUTOMATIC-GX22/259 Avoauto (AE) 2ov 3996cm3 A</v>
      </c>
      <c r="K39" t="str">
        <f>Ajoneuvorekisteri_Parse_Modern_XK_Range_TieliikenneAvoinData_30_06_2026_csv[[#This Row],[tyyppihyvaksyntanro]]</f>
        <v/>
      </c>
      <c r="L39">
        <f>'Ajoneuvorekisteri-Parse Modern '!M104</f>
        <v>1780</v>
      </c>
      <c r="M39">
        <f t="shared" si="3"/>
        <v>1</v>
      </c>
      <c r="N39">
        <f t="shared" si="4"/>
        <v>0</v>
      </c>
      <c r="O39">
        <f t="shared" si="5"/>
        <v>0</v>
      </c>
      <c r="P39">
        <f t="shared" si="6"/>
        <v>1</v>
      </c>
      <c r="Q39">
        <f>IF(AND(Table3[[#This Row],[Coupe]]&lt;&gt;1, Table3[[#This Row],[Convertible]]&lt;&gt;1), 1, 0)</f>
        <v>0</v>
      </c>
      <c r="R39" t="str">
        <f t="shared" si="7"/>
        <v>Convertible</v>
      </c>
    </row>
    <row r="40" spans="1:18" x14ac:dyDescent="0.25">
      <c r="A40">
        <f>'Ajoneuvorekisteri-Parse Modern '!AO207</f>
        <v>3412011</v>
      </c>
      <c r="B40" t="str">
        <f>'Ajoneuvorekisteri-Parse Modern '!AN207</f>
        <v>SAJGX5240W</v>
      </c>
      <c r="C40" t="str">
        <f t="shared" si="0"/>
        <v>X100_AMERICAS_UNIQUE (JLM20301_unique)</v>
      </c>
      <c r="D40" t="str">
        <f t="shared" si="1"/>
        <v>UNKNOWN: [5=X]</v>
      </c>
      <c r="E40" t="str">
        <f t="shared" si="2"/>
        <v>UNKNOWN</v>
      </c>
      <c r="F40" t="str" cm="1">
        <f t="array" ref="F40">_xlfn.LET(_xlpm.v,UPPER(SUBSTITUTE(CLEAN(TRIM(B40)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G40" t="str" cm="1">
        <f t="array" ref="G40">_xlfn.LET(_xlpm.vin,SUBSTITUTE(CLEAN(TRIM(B40)),CHAR(160),""),_xlpm.rawDate,LEFT(TRIM(H40)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40">
        <f>'Ajoneuvorekisteri-Parse Modern '!G207</f>
        <v>19980000</v>
      </c>
      <c r="I40" t="str">
        <f>LEFT(Table3[[#This Row],[Käyttöönotto]],4)</f>
        <v>1998</v>
      </c>
      <c r="J40" t="str">
        <f>'Ajoneuvorekisteri-Parse Modern '!AA207</f>
        <v>XK8 Coupe Coup� (AD) 2ov 3990cm3 A</v>
      </c>
      <c r="K40" t="str">
        <f>Ajoneuvorekisteri_Parse_Modern_XK_Range_TieliikenneAvoinData_30_06_2026_csv[[#This Row],[tyyppihyvaksyntanro]]</f>
        <v>e11*95/54*0062*09</v>
      </c>
      <c r="L40">
        <f>'Ajoneuvorekisteri-Parse Modern '!M207</f>
        <v>1720</v>
      </c>
      <c r="M40">
        <f t="shared" si="3"/>
        <v>1</v>
      </c>
      <c r="N40">
        <f t="shared" si="4"/>
        <v>0</v>
      </c>
      <c r="O40">
        <f t="shared" si="5"/>
        <v>1</v>
      </c>
      <c r="P40">
        <f t="shared" si="6"/>
        <v>0</v>
      </c>
      <c r="Q40">
        <f>IF(AND(Table3[[#This Row],[Coupe]]&lt;&gt;1, Table3[[#This Row],[Convertible]]&lt;&gt;1), 1, 0)</f>
        <v>0</v>
      </c>
      <c r="R40" t="str">
        <f t="shared" si="7"/>
        <v>Coupe</v>
      </c>
    </row>
    <row r="41" spans="1:18" x14ac:dyDescent="0.25">
      <c r="A41">
        <f>'Ajoneuvorekisteri-Parse Modern '!AO55</f>
        <v>1597003</v>
      </c>
      <c r="B41" t="str">
        <f>'Ajoneuvorekisteri-Parse Modern '!AN55</f>
        <v>SAJGX2244W</v>
      </c>
      <c r="C41" t="str">
        <f t="shared" si="0"/>
        <v>X100_AMERICAS_UNIQUE (JLM20301_unique)</v>
      </c>
      <c r="D41" t="str">
        <f t="shared" si="1"/>
        <v>UNKNOWN: [5=X]</v>
      </c>
      <c r="E41" t="str">
        <f t="shared" si="2"/>
        <v>UNKNOWN</v>
      </c>
      <c r="F41" t="str" cm="1">
        <f t="array" ref="F41">_xlfn.LET(_xlpm.v,UPPER(SUBSTITUTE(CLEAN(TRIM(B41)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G41" t="str" cm="1">
        <f t="array" ref="G41">_xlfn.LET(_xlpm.vin,SUBSTITUTE(CLEAN(TRIM(B41)),CHAR(160),""),_xlpm.rawDate,LEFT(TRIM(H41)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41">
        <f>'Ajoneuvorekisteri-Parse Modern '!G55</f>
        <v>19980000</v>
      </c>
      <c r="I41" t="str">
        <f>LEFT(Table3[[#This Row],[Käyttöönotto]],4)</f>
        <v>1998</v>
      </c>
      <c r="J41" t="str">
        <f>'Ajoneuvorekisteri-Parse Modern '!AA55</f>
        <v>2D CONVERTIBLE XK8 4.0-AUTOMATIC-GX22/259</v>
      </c>
      <c r="K41" t="str">
        <f>Ajoneuvorekisteri_Parse_Modern_XK_Range_TieliikenneAvoinData_30_06_2026_csv[[#This Row],[tyyppihyvaksyntanro]]</f>
        <v>e11*2001/116*0272*00</v>
      </c>
      <c r="L41">
        <f>'Ajoneuvorekisteri-Parse Modern '!M55</f>
        <v>1840</v>
      </c>
      <c r="M41">
        <f t="shared" si="3"/>
        <v>1</v>
      </c>
      <c r="N41">
        <f t="shared" si="4"/>
        <v>0</v>
      </c>
      <c r="O41">
        <f t="shared" si="5"/>
        <v>0</v>
      </c>
      <c r="P41">
        <f t="shared" si="6"/>
        <v>1</v>
      </c>
      <c r="Q41">
        <f>IF(AND(Table3[[#This Row],[Coupe]]&lt;&gt;1, Table3[[#This Row],[Convertible]]&lt;&gt;1), 1, 0)</f>
        <v>0</v>
      </c>
      <c r="R41" t="str">
        <f t="shared" si="7"/>
        <v>Convertible</v>
      </c>
    </row>
    <row r="42" spans="1:18" x14ac:dyDescent="0.25">
      <c r="A42">
        <f>'Ajoneuvorekisteri-Parse Modern '!AO100</f>
        <v>2235691</v>
      </c>
      <c r="B42" t="str">
        <f>'Ajoneuvorekisteri-Parse Modern '!AN100</f>
        <v>SAJJGXFE4W</v>
      </c>
      <c r="C42" t="str">
        <f t="shared" si="0"/>
        <v>UNKNOWN: [8=E]</v>
      </c>
      <c r="D42" t="str">
        <f t="shared" si="1"/>
        <v>UNKNOWN: [5=G]</v>
      </c>
      <c r="E42" t="str">
        <f t="shared" si="2"/>
        <v>UNKNOWN</v>
      </c>
      <c r="F42" t="str" cm="1">
        <f t="array" ref="F42">_xlfn.LET(_xlpm.v,UPPER(SUBSTITUTE(CLEAN(TRIM(B42)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[8=E]</v>
      </c>
      <c r="G42" t="str" cm="1">
        <f t="array" ref="G42">_xlfn.LET(_xlpm.vin,SUBSTITUTE(CLEAN(TRIM(B42)),CHAR(160),""),_xlpm.rawDate,LEFT(TRIM(H42)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42">
        <f>'Ajoneuvorekisteri-Parse Modern '!G100</f>
        <v>19980000</v>
      </c>
      <c r="I42" t="str">
        <f>LEFT(Table3[[#This Row],[Käyttöönotto]],4)</f>
        <v>1998</v>
      </c>
      <c r="J42" t="str">
        <f>'Ajoneuvorekisteri-Parse Modern '!AA100</f>
        <v>XK 8 Avoauto (AE) 2ov 3990cm3 A</v>
      </c>
      <c r="K42" t="str">
        <f>Ajoneuvorekisteri_Parse_Modern_XK_Range_TieliikenneAvoinData_30_06_2026_csv[[#This Row],[tyyppihyvaksyntanro]]</f>
        <v>e11*95/54*0061*03</v>
      </c>
      <c r="L42">
        <f>'Ajoneuvorekisteri-Parse Modern '!M100</f>
        <v>1720</v>
      </c>
      <c r="M42">
        <f t="shared" si="3"/>
        <v>1</v>
      </c>
      <c r="N42">
        <f t="shared" si="4"/>
        <v>0</v>
      </c>
      <c r="O42">
        <f t="shared" si="5"/>
        <v>0</v>
      </c>
      <c r="P42">
        <f t="shared" si="6"/>
        <v>1</v>
      </c>
      <c r="Q42">
        <f>IF(AND(Table3[[#This Row],[Coupe]]&lt;&gt;1, Table3[[#This Row],[Convertible]]&lt;&gt;1), 1, 0)</f>
        <v>0</v>
      </c>
      <c r="R42" t="str">
        <f t="shared" si="7"/>
        <v>Convertible</v>
      </c>
    </row>
    <row r="43" spans="1:18" x14ac:dyDescent="0.25">
      <c r="A43">
        <f>'Ajoneuvorekisteri-Parse Modern '!AO130</f>
        <v>2533996</v>
      </c>
      <c r="B43" t="str">
        <f>'Ajoneuvorekisteri-Parse Modern '!AN130</f>
        <v>SAJJGXFE4W</v>
      </c>
      <c r="C43" t="str">
        <f t="shared" si="0"/>
        <v>UNKNOWN: [8=E]</v>
      </c>
      <c r="D43" t="str">
        <f t="shared" si="1"/>
        <v>UNKNOWN: [5=G]</v>
      </c>
      <c r="E43" t="str">
        <f t="shared" si="2"/>
        <v>UNKNOWN</v>
      </c>
      <c r="F43" t="str" cm="1">
        <f t="array" ref="F43">_xlfn.LET(_xlpm.v,UPPER(SUBSTITUTE(CLEAN(TRIM(B43)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[8=E]</v>
      </c>
      <c r="G43" t="str" cm="1">
        <f t="array" ref="G43">_xlfn.LET(_xlpm.vin,SUBSTITUTE(CLEAN(TRIM(B43)),CHAR(160),""),_xlpm.rawDate,LEFT(TRIM(H43)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43">
        <f>'Ajoneuvorekisteri-Parse Modern '!G130</f>
        <v>19980000</v>
      </c>
      <c r="I43" t="str">
        <f>LEFT(Table3[[#This Row],[Käyttöönotto]],4)</f>
        <v>1998</v>
      </c>
      <c r="J43" t="str">
        <f>'Ajoneuvorekisteri-Parse Modern '!AA130</f>
        <v>XK8 CONVERTIBLE Avoauto (AE) 2ov 3996cm3 A</v>
      </c>
      <c r="K43" t="str">
        <f>Ajoneuvorekisteri_Parse_Modern_XK_Range_TieliikenneAvoinData_30_06_2026_csv[[#This Row],[tyyppihyvaksyntanro]]</f>
        <v/>
      </c>
      <c r="L43">
        <f>'Ajoneuvorekisteri-Parse Modern '!M130</f>
        <v>1780</v>
      </c>
      <c r="M43">
        <f t="shared" si="3"/>
        <v>1</v>
      </c>
      <c r="N43">
        <f t="shared" si="4"/>
        <v>0</v>
      </c>
      <c r="O43">
        <f t="shared" si="5"/>
        <v>0</v>
      </c>
      <c r="P43">
        <f t="shared" si="6"/>
        <v>1</v>
      </c>
      <c r="Q43">
        <f>IF(AND(Table3[[#This Row],[Coupe]]&lt;&gt;1, Table3[[#This Row],[Convertible]]&lt;&gt;1), 1, 0)</f>
        <v>0</v>
      </c>
      <c r="R43" t="str">
        <f t="shared" si="7"/>
        <v>Convertible</v>
      </c>
    </row>
    <row r="44" spans="1:18" x14ac:dyDescent="0.25">
      <c r="A44">
        <f>'Ajoneuvorekisteri-Parse Modern '!AO137</f>
        <v>2574919</v>
      </c>
      <c r="B44" t="str">
        <f>'Ajoneuvorekisteri-Parse Modern '!AN137</f>
        <v>SAJJGXFE4W</v>
      </c>
      <c r="C44" t="str">
        <f t="shared" si="0"/>
        <v>UNKNOWN: [8=E]</v>
      </c>
      <c r="D44" t="str">
        <f t="shared" si="1"/>
        <v>UNKNOWN: [5=G]</v>
      </c>
      <c r="E44" t="str">
        <f t="shared" si="2"/>
        <v>UNKNOWN</v>
      </c>
      <c r="F44" t="str" cm="1">
        <f t="array" ref="F44">_xlfn.LET(_xlpm.v,UPPER(SUBSTITUTE(CLEAN(TRIM(B44)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[8=E]</v>
      </c>
      <c r="G44" t="str" cm="1">
        <f t="array" ref="G44">_xlfn.LET(_xlpm.vin,SUBSTITUTE(CLEAN(TRIM(B44)),CHAR(160),""),_xlpm.rawDate,LEFT(TRIM(H44)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44">
        <f>'Ajoneuvorekisteri-Parse Modern '!G137</f>
        <v>19980000</v>
      </c>
      <c r="I44" t="str">
        <f>LEFT(Table3[[#This Row],[Käyttöönotto]],4)</f>
        <v>1998</v>
      </c>
      <c r="J44" t="str">
        <f>'Ajoneuvorekisteri-Parse Modern '!AA137</f>
        <v>XK8 Avoauto (AE) 2ov 3990cm3 A</v>
      </c>
      <c r="K44" t="str">
        <f>Ajoneuvorekisteri_Parse_Modern_XK_Range_TieliikenneAvoinData_30_06_2026_csv[[#This Row],[tyyppihyvaksyntanro]]</f>
        <v/>
      </c>
      <c r="L44">
        <f>'Ajoneuvorekisteri-Parse Modern '!M137</f>
        <v>1810</v>
      </c>
      <c r="M44">
        <f t="shared" si="3"/>
        <v>1</v>
      </c>
      <c r="N44">
        <f t="shared" si="4"/>
        <v>0</v>
      </c>
      <c r="O44">
        <f t="shared" si="5"/>
        <v>0</v>
      </c>
      <c r="P44">
        <f t="shared" si="6"/>
        <v>1</v>
      </c>
      <c r="Q44">
        <f>IF(AND(Table3[[#This Row],[Coupe]]&lt;&gt;1, Table3[[#This Row],[Convertible]]&lt;&gt;1), 1, 0)</f>
        <v>0</v>
      </c>
      <c r="R44" t="str">
        <f t="shared" si="7"/>
        <v>Convertible</v>
      </c>
    </row>
    <row r="45" spans="1:18" x14ac:dyDescent="0.25">
      <c r="A45">
        <f>'Ajoneuvorekisteri-Parse Modern '!AO153</f>
        <v>2709928</v>
      </c>
      <c r="B45" t="str">
        <f>'Ajoneuvorekisteri-Parse Modern '!AN153</f>
        <v>SAJJGXFE4W</v>
      </c>
      <c r="C45" t="str">
        <f t="shared" si="0"/>
        <v>UNKNOWN: [8=E]</v>
      </c>
      <c r="D45" t="str">
        <f t="shared" si="1"/>
        <v>UNKNOWN: [5=G]</v>
      </c>
      <c r="E45" t="str">
        <f t="shared" si="2"/>
        <v>UNKNOWN</v>
      </c>
      <c r="F45" t="str" cm="1">
        <f t="array" ref="F45">_xlfn.LET(_xlpm.v,UPPER(SUBSTITUTE(CLEAN(TRIM(B45)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[8=E]</v>
      </c>
      <c r="G45" t="str" cm="1">
        <f t="array" ref="G45">_xlfn.LET(_xlpm.vin,SUBSTITUTE(CLEAN(TRIM(B45)),CHAR(160),""),_xlpm.rawDate,LEFT(TRIM(H45)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45">
        <f>'Ajoneuvorekisteri-Parse Modern '!G153</f>
        <v>19980000</v>
      </c>
      <c r="I45" t="str">
        <f>LEFT(Table3[[#This Row],[Käyttöönotto]],4)</f>
        <v>1998</v>
      </c>
      <c r="J45" t="str">
        <f>'Ajoneuvorekisteri-Parse Modern '!AA153</f>
        <v>XK8 Avoauto (AE) 2ov 3990cm3 A</v>
      </c>
      <c r="K45" t="str">
        <f>Ajoneuvorekisteri_Parse_Modern_XK_Range_TieliikenneAvoinData_30_06_2026_csv[[#This Row],[tyyppihyvaksyntanro]]</f>
        <v>e11*95/54*0061*04</v>
      </c>
      <c r="L45">
        <f>'Ajoneuvorekisteri-Parse Modern '!M153</f>
        <v>1780</v>
      </c>
      <c r="M45">
        <f t="shared" si="3"/>
        <v>1</v>
      </c>
      <c r="N45">
        <f t="shared" si="4"/>
        <v>0</v>
      </c>
      <c r="O45">
        <f t="shared" si="5"/>
        <v>0</v>
      </c>
      <c r="P45">
        <f t="shared" si="6"/>
        <v>1</v>
      </c>
      <c r="Q45">
        <f>IF(AND(Table3[[#This Row],[Coupe]]&lt;&gt;1, Table3[[#This Row],[Convertible]]&lt;&gt;1), 1, 0)</f>
        <v>0</v>
      </c>
      <c r="R45" t="str">
        <f t="shared" si="7"/>
        <v>Convertible</v>
      </c>
    </row>
    <row r="46" spans="1:18" x14ac:dyDescent="0.25">
      <c r="A46">
        <f>'Ajoneuvorekisteri-Parse Modern '!AO157</f>
        <v>2786464</v>
      </c>
      <c r="B46" t="str">
        <f>'Ajoneuvorekisteri-Parse Modern '!AN157</f>
        <v>SAJJGAED4A</v>
      </c>
      <c r="C46" t="str">
        <f t="shared" si="0"/>
        <v>X100_EARLY_NORMAL_AR (JDHT)</v>
      </c>
      <c r="D46" t="str">
        <f t="shared" si="1"/>
        <v>UNKNOWN: [5=G]</v>
      </c>
      <c r="E46" t="str">
        <f t="shared" si="2"/>
        <v>UNKNOWN</v>
      </c>
      <c r="F46" t="str" cm="1">
        <f t="array" ref="F46">_xlfn.LET(_xlpm.v,UPPER(SUBSTITUTE(CLEAN(TRIM(B46)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46" t="str" cm="1">
        <f t="array" ref="G46">_xlfn.LET(_xlpm.vin,SUBSTITUTE(CLEAN(TRIM(B46)),CHAR(160),""),_xlpm.rawDate,LEFT(TRIM(H46)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46">
        <f>'Ajoneuvorekisteri-Parse Modern '!G157</f>
        <v>19980000</v>
      </c>
      <c r="I46" t="str">
        <f>LEFT(Table3[[#This Row],[Käyttöönotto]],4)</f>
        <v>1998</v>
      </c>
      <c r="J46" t="str">
        <f>'Ajoneuvorekisteri-Parse Modern '!AA157</f>
        <v>XK Coup� (AD) 2ov 3996cm3 A</v>
      </c>
      <c r="K46" t="str">
        <f>Ajoneuvorekisteri_Parse_Modern_XK_Range_TieliikenneAvoinData_30_06_2026_csv[[#This Row],[tyyppihyvaksyntanro]]</f>
        <v/>
      </c>
      <c r="L46">
        <f>'Ajoneuvorekisteri-Parse Modern '!M157</f>
        <v>1720</v>
      </c>
      <c r="M46">
        <f t="shared" si="3"/>
        <v>1</v>
      </c>
      <c r="N46">
        <f t="shared" si="4"/>
        <v>0</v>
      </c>
      <c r="O46">
        <f t="shared" si="5"/>
        <v>1</v>
      </c>
      <c r="P46">
        <f t="shared" si="6"/>
        <v>0</v>
      </c>
      <c r="Q46">
        <f>IF(AND(Table3[[#This Row],[Coupe]]&lt;&gt;1, Table3[[#This Row],[Convertible]]&lt;&gt;1), 1, 0)</f>
        <v>0</v>
      </c>
      <c r="R46" t="str">
        <f t="shared" si="7"/>
        <v>Coupe</v>
      </c>
    </row>
    <row r="47" spans="1:18" x14ac:dyDescent="0.25">
      <c r="A47">
        <f>'Ajoneuvorekisteri-Parse Modern '!AO210</f>
        <v>3475808</v>
      </c>
      <c r="B47" t="str">
        <f>'Ajoneuvorekisteri-Parse Modern '!AN210</f>
        <v>SAJGX5245W</v>
      </c>
      <c r="C47" t="str">
        <f t="shared" si="0"/>
        <v>X100_AMERICAS_UNIQUE (JLM20301_unique)</v>
      </c>
      <c r="D47" t="str">
        <f t="shared" si="1"/>
        <v>UNKNOWN: [5=X]</v>
      </c>
      <c r="E47" t="str">
        <f t="shared" si="2"/>
        <v>UNKNOWN</v>
      </c>
      <c r="F47" t="str" cm="1">
        <f t="array" ref="F47">_xlfn.LET(_xlpm.v,UPPER(SUBSTITUTE(CLEAN(TRIM(B47)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G47" t="str" cm="1">
        <f t="array" ref="G47">_xlfn.LET(_xlpm.vin,SUBSTITUTE(CLEAN(TRIM(B47)),CHAR(160),""),_xlpm.rawDate,LEFT(TRIM(H47)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47">
        <f>'Ajoneuvorekisteri-Parse Modern '!G210</f>
        <v>19980000</v>
      </c>
      <c r="I47" t="str">
        <f>LEFT(Table3[[#This Row],[Käyttöönotto]],4)</f>
        <v>1998</v>
      </c>
      <c r="J47" t="str">
        <f>'Ajoneuvorekisteri-Parse Modern '!AA210</f>
        <v>XK8 Coup� (AD) 2ov 3990cm3 A</v>
      </c>
      <c r="K47" t="str">
        <f>Ajoneuvorekisteri_Parse_Modern_XK_Range_TieliikenneAvoinData_30_06_2026_csv[[#This Row],[tyyppihyvaksyntanro]]</f>
        <v>e11*95/54*0062*00</v>
      </c>
      <c r="L47">
        <f>'Ajoneuvorekisteri-Parse Modern '!M210</f>
        <v>1729</v>
      </c>
      <c r="M47">
        <f t="shared" si="3"/>
        <v>1</v>
      </c>
      <c r="N47">
        <f t="shared" si="4"/>
        <v>0</v>
      </c>
      <c r="O47">
        <f t="shared" si="5"/>
        <v>1</v>
      </c>
      <c r="P47">
        <f t="shared" si="6"/>
        <v>0</v>
      </c>
      <c r="Q47">
        <f>IF(AND(Table3[[#This Row],[Coupe]]&lt;&gt;1, Table3[[#This Row],[Convertible]]&lt;&gt;1), 1, 0)</f>
        <v>0</v>
      </c>
      <c r="R47" t="str">
        <f t="shared" si="7"/>
        <v>Coupe</v>
      </c>
    </row>
    <row r="48" spans="1:18" x14ac:dyDescent="0.25">
      <c r="A48">
        <f>'Ajoneuvorekisteri-Parse Modern '!AO209</f>
        <v>3442853</v>
      </c>
      <c r="B48" t="str">
        <f>'Ajoneuvorekisteri-Parse Modern '!AN209</f>
        <v>SAJGX2244W</v>
      </c>
      <c r="C48" t="str">
        <f t="shared" si="0"/>
        <v>X100_AMERICAS_UNIQUE (JLM20301_unique)</v>
      </c>
      <c r="D48" t="str">
        <f t="shared" si="1"/>
        <v>UNKNOWN: [5=X]</v>
      </c>
      <c r="E48" t="str">
        <f t="shared" si="2"/>
        <v>UNKNOWN</v>
      </c>
      <c r="F48" t="str" cm="1">
        <f t="array" ref="F48">_xlfn.LET(_xlpm.v,UPPER(SUBSTITUTE(CLEAN(TRIM(B48)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G48" t="str" cm="1">
        <f t="array" ref="G48">_xlfn.LET(_xlpm.vin,SUBSTITUTE(CLEAN(TRIM(B48)),CHAR(160),""),_xlpm.rawDate,LEFT(TRIM(H48)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48">
        <f>'Ajoneuvorekisteri-Parse Modern '!G209</f>
        <v>19980000</v>
      </c>
      <c r="I48" t="str">
        <f>LEFT(Table3[[#This Row],[Käyttöönotto]],4)</f>
        <v>1998</v>
      </c>
      <c r="J48" t="str">
        <f>'Ajoneuvorekisteri-Parse Modern '!AA209</f>
        <v>XK8 Avoauto (AE) 2ov 3996cm3 A</v>
      </c>
      <c r="K48" t="str">
        <f>Ajoneuvorekisteri_Parse_Modern_XK_Range_TieliikenneAvoinData_30_06_2026_csv[[#This Row],[tyyppihyvaksyntanro]]</f>
        <v>e11*95/54*0061*00</v>
      </c>
      <c r="L48">
        <f>'Ajoneuvorekisteri-Parse Modern '!M209</f>
        <v>1770</v>
      </c>
      <c r="M48">
        <f t="shared" si="3"/>
        <v>1</v>
      </c>
      <c r="N48">
        <f t="shared" si="4"/>
        <v>0</v>
      </c>
      <c r="O48">
        <f t="shared" si="5"/>
        <v>0</v>
      </c>
      <c r="P48">
        <f t="shared" si="6"/>
        <v>1</v>
      </c>
      <c r="Q48">
        <f>IF(AND(Table3[[#This Row],[Coupe]]&lt;&gt;1, Table3[[#This Row],[Convertible]]&lt;&gt;1), 1, 0)</f>
        <v>0</v>
      </c>
      <c r="R48" t="str">
        <f t="shared" si="7"/>
        <v>Convertible</v>
      </c>
    </row>
    <row r="49" spans="1:18" x14ac:dyDescent="0.25">
      <c r="A49">
        <f>'Ajoneuvorekisteri-Parse Modern '!AO10</f>
        <v>206383</v>
      </c>
      <c r="B49" t="str">
        <f>'Ajoneuvorekisteri-Parse Modern '!AN10</f>
        <v>SAJJGAED4A</v>
      </c>
      <c r="C49" t="str">
        <f t="shared" si="0"/>
        <v>X100_EARLY_NORMAL_AR (JDHT)</v>
      </c>
      <c r="D49" t="str">
        <f t="shared" si="1"/>
        <v>UNKNOWN: [5=G]</v>
      </c>
      <c r="E49" t="str">
        <f t="shared" si="2"/>
        <v>UNKNOWN</v>
      </c>
      <c r="F49" t="str" cm="1">
        <f t="array" ref="F49">_xlfn.LET(_xlpm.v,UPPER(SUBSTITUTE(CLEAN(TRIM(B49)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49" t="str" cm="1">
        <f t="array" ref="G49">_xlfn.LET(_xlpm.vin,SUBSTITUTE(CLEAN(TRIM(B49)),CHAR(160),""),_xlpm.rawDate,LEFT(TRIM(H49)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023018–024686</v>
      </c>
      <c r="H49">
        <f>'Ajoneuvorekisteri-Parse Modern '!G10</f>
        <v>19980107</v>
      </c>
      <c r="I49" t="str">
        <f>LEFT(Table3[[#This Row],[Käyttöönotto]],4)</f>
        <v>1998</v>
      </c>
      <c r="J49" t="str">
        <f>'Ajoneuvorekisteri-Parse Modern '!AA10</f>
        <v>COUPE XK8 4.0-AUTOMATIC-JGED/259</v>
      </c>
      <c r="K49" t="str">
        <f>Ajoneuvorekisteri_Parse_Modern_XK_Range_TieliikenneAvoinData_30_06_2026_csv[[#This Row],[tyyppihyvaksyntanro]]</f>
        <v>e11*95/54*0061*03</v>
      </c>
      <c r="L49">
        <f>'Ajoneuvorekisteri-Parse Modern '!M10</f>
        <v>1720</v>
      </c>
      <c r="M49">
        <f t="shared" si="3"/>
        <v>1</v>
      </c>
      <c r="N49">
        <f t="shared" si="4"/>
        <v>0</v>
      </c>
      <c r="O49">
        <f t="shared" si="5"/>
        <v>1</v>
      </c>
      <c r="P49">
        <f t="shared" si="6"/>
        <v>0</v>
      </c>
      <c r="Q49">
        <f>IF(AND(Table3[[#This Row],[Coupe]]&lt;&gt;1, Table3[[#This Row],[Convertible]]&lt;&gt;1), 1, 0)</f>
        <v>0</v>
      </c>
      <c r="R49" t="str">
        <f t="shared" si="7"/>
        <v>Coupe</v>
      </c>
    </row>
    <row r="50" spans="1:18" x14ac:dyDescent="0.25">
      <c r="A50">
        <f>'Ajoneuvorekisteri-Parse Modern '!AO125</f>
        <v>2521265</v>
      </c>
      <c r="B50" t="str">
        <f>'Ajoneuvorekisteri-Parse Modern '!AN125</f>
        <v>SAJJGXFE4W</v>
      </c>
      <c r="C50" t="str">
        <f t="shared" si="0"/>
        <v>UNKNOWN: [8=E]</v>
      </c>
      <c r="D50" t="str">
        <f t="shared" si="1"/>
        <v>UNKNOWN: [5=G]</v>
      </c>
      <c r="E50" t="str">
        <f t="shared" si="2"/>
        <v>UNKNOWN</v>
      </c>
      <c r="F50" t="str" cm="1">
        <f t="array" ref="F50">_xlfn.LET(_xlpm.v,UPPER(SUBSTITUTE(CLEAN(TRIM(B50)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[8=E]</v>
      </c>
      <c r="G50" t="str" cm="1">
        <f t="array" ref="G50">_xlfn.LET(_xlpm.vin,SUBSTITUTE(CLEAN(TRIM(B50)),CHAR(160),""),_xlpm.rawDate,LEFT(TRIM(H50)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H50">
        <f>'Ajoneuvorekisteri-Parse Modern '!G125</f>
        <v>19980223</v>
      </c>
      <c r="I50" t="str">
        <f>LEFT(Table3[[#This Row],[Käyttöönotto]],4)</f>
        <v>1998</v>
      </c>
      <c r="J50" t="str">
        <f>'Ajoneuvorekisteri-Parse Modern '!AA125</f>
        <v>XK8 Avoauto (AE) 2ov 3990cm3 A</v>
      </c>
      <c r="K50" t="str">
        <f>Ajoneuvorekisteri_Parse_Modern_XK_Range_TieliikenneAvoinData_30_06_2026_csv[[#This Row],[tyyppihyvaksyntanro]]</f>
        <v>e11*95/54*0061*06</v>
      </c>
      <c r="L50">
        <f>'Ajoneuvorekisteri-Parse Modern '!M125</f>
        <v>1795</v>
      </c>
      <c r="M50">
        <f t="shared" si="3"/>
        <v>1</v>
      </c>
      <c r="N50">
        <f t="shared" si="4"/>
        <v>0</v>
      </c>
      <c r="O50">
        <f t="shared" si="5"/>
        <v>0</v>
      </c>
      <c r="P50">
        <f t="shared" si="6"/>
        <v>1</v>
      </c>
      <c r="Q50">
        <f>IF(AND(Table3[[#This Row],[Coupe]]&lt;&gt;1, Table3[[#This Row],[Convertible]]&lt;&gt;1), 1, 0)</f>
        <v>0</v>
      </c>
      <c r="R50" t="str">
        <f t="shared" si="7"/>
        <v>Convertible</v>
      </c>
    </row>
    <row r="51" spans="1:18" x14ac:dyDescent="0.25">
      <c r="A51">
        <f>'Ajoneuvorekisteri-Parse Modern '!AO118</f>
        <v>2453986</v>
      </c>
      <c r="B51" t="str">
        <f>'Ajoneuvorekisteri-Parse Modern '!AN118</f>
        <v>SAJGX2248W</v>
      </c>
      <c r="C51" t="str">
        <f t="shared" si="0"/>
        <v>X100_AMERICAS_UNIQUE (JLM20301_unique)</v>
      </c>
      <c r="D51" t="str">
        <f t="shared" si="1"/>
        <v>UNKNOWN: [5=X]</v>
      </c>
      <c r="E51" t="str">
        <f t="shared" si="2"/>
        <v>UNKNOWN</v>
      </c>
      <c r="F51" t="str" cm="1">
        <f t="array" ref="F51">_xlfn.LET(_xlpm.v,UPPER(SUBSTITUTE(CLEAN(TRIM(B51)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G51" t="str" cm="1">
        <f t="array" ref="G51">_xlfn.LET(_xlpm.vin,SUBSTITUTE(CLEAN(TRIM(B51)),CHAR(160),""),_xlpm.rawDate,LEFT(TRIM(H51)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H51">
        <f>'Ajoneuvorekisteri-Parse Modern '!G118</f>
        <v>19980319</v>
      </c>
      <c r="I51" t="str">
        <f>LEFT(Table3[[#This Row],[Käyttöönotto]],4)</f>
        <v>1998</v>
      </c>
      <c r="J51" t="str">
        <f>'Ajoneuvorekisteri-Parse Modern '!AA118</f>
        <v>2D CONVERTIBLE XK8 4.0-AUTOMATIC-JGX  2ov 4000cm3</v>
      </c>
      <c r="K51" t="str">
        <f>Ajoneuvorekisteri_Parse_Modern_XK_Range_TieliikenneAvoinData_30_06_2026_csv[[#This Row],[tyyppihyvaksyntanro]]</f>
        <v>e11*95/54*0061*00</v>
      </c>
      <c r="L51">
        <f>'Ajoneuvorekisteri-Parse Modern '!M118</f>
        <v>1810</v>
      </c>
      <c r="M51">
        <f t="shared" si="3"/>
        <v>1</v>
      </c>
      <c r="N51">
        <f t="shared" si="4"/>
        <v>0</v>
      </c>
      <c r="O51">
        <f t="shared" si="5"/>
        <v>0</v>
      </c>
      <c r="P51">
        <f t="shared" si="6"/>
        <v>1</v>
      </c>
      <c r="Q51">
        <f>IF(AND(Table3[[#This Row],[Coupe]]&lt;&gt;1, Table3[[#This Row],[Convertible]]&lt;&gt;1), 1, 0)</f>
        <v>0</v>
      </c>
      <c r="R51" t="str">
        <f t="shared" si="7"/>
        <v>Convertible</v>
      </c>
    </row>
    <row r="52" spans="1:18" x14ac:dyDescent="0.25">
      <c r="A52">
        <f>'Ajoneuvorekisteri-Parse Modern '!AO23</f>
        <v>764375</v>
      </c>
      <c r="B52" t="str">
        <f>'Ajoneuvorekisteri-Parse Modern '!AN23</f>
        <v>SAJJGAED4A</v>
      </c>
      <c r="C52" t="str">
        <f t="shared" si="0"/>
        <v>X100_EARLY_NORMAL_AR (JDHT)</v>
      </c>
      <c r="D52" t="str">
        <f t="shared" si="1"/>
        <v>UNKNOWN: [5=G]</v>
      </c>
      <c r="E52" t="str">
        <f t="shared" si="2"/>
        <v>UNKNOWN</v>
      </c>
      <c r="F52" t="str" cm="1">
        <f t="array" ref="F52">_xlfn.LET(_xlpm.v,UPPER(SUBSTITUTE(CLEAN(TRIM(B52)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52" t="str" cm="1">
        <f t="array" ref="G52">_xlfn.LET(_xlpm.vin,SUBSTITUTE(CLEAN(TRIM(B52)),CHAR(160),""),_xlpm.rawDate,LEFT(TRIM(H52)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H52">
        <f>'Ajoneuvorekisteri-Parse Modern '!G23</f>
        <v>19980330</v>
      </c>
      <c r="I52" t="str">
        <f>LEFT(Table3[[#This Row],[Käyttöönotto]],4)</f>
        <v>1998</v>
      </c>
      <c r="J52" t="str">
        <f>'Ajoneuvorekisteri-Parse Modern '!AA23</f>
        <v>COUPE XK8 4.0 AUTOMATIC-JGED/259</v>
      </c>
      <c r="K52" t="str">
        <f>Ajoneuvorekisteri_Parse_Modern_XK_Range_TieliikenneAvoinData_30_06_2026_csv[[#This Row],[tyyppihyvaksyntanro]]</f>
        <v/>
      </c>
      <c r="L52">
        <f>'Ajoneuvorekisteri-Parse Modern '!M23</f>
        <v>1690</v>
      </c>
      <c r="M52">
        <f t="shared" si="3"/>
        <v>1</v>
      </c>
      <c r="N52">
        <f t="shared" si="4"/>
        <v>0</v>
      </c>
      <c r="O52">
        <f t="shared" si="5"/>
        <v>1</v>
      </c>
      <c r="P52">
        <f t="shared" si="6"/>
        <v>0</v>
      </c>
      <c r="Q52">
        <f>IF(AND(Table3[[#This Row],[Coupe]]&lt;&gt;1, Table3[[#This Row],[Convertible]]&lt;&gt;1), 1, 0)</f>
        <v>0</v>
      </c>
      <c r="R52" t="str">
        <f t="shared" si="7"/>
        <v>Coupe</v>
      </c>
    </row>
    <row r="53" spans="1:18" x14ac:dyDescent="0.25">
      <c r="A53">
        <f>'Ajoneuvorekisteri-Parse Modern '!AO227</f>
        <v>3779971</v>
      </c>
      <c r="B53" t="str">
        <f>'Ajoneuvorekisteri-Parse Modern '!AN227</f>
        <v>SAJJGKED4A</v>
      </c>
      <c r="C53" t="str">
        <f t="shared" si="0"/>
        <v>X100_EARLY_NORMAL_AR (JDHT)</v>
      </c>
      <c r="D53" t="str">
        <f t="shared" si="1"/>
        <v>UNKNOWN: [5=G]</v>
      </c>
      <c r="E53" t="str">
        <f t="shared" si="2"/>
        <v>UNKNOWN</v>
      </c>
      <c r="F53" t="str" cm="1">
        <f t="array" ref="F53">_xlfn.LET(_xlpm.v,UPPER(SUBSTITUTE(CLEAN(TRIM(B53)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53" t="str" cm="1">
        <f t="array" ref="G53">_xlfn.LET(_xlpm.vin,SUBSTITUTE(CLEAN(TRIM(B53)),CHAR(160),""),_xlpm.rawDate,LEFT(TRIM(H53)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H53">
        <f>'Ajoneuvorekisteri-Parse Modern '!G227</f>
        <v>19980410</v>
      </c>
      <c r="I53" t="str">
        <f>LEFT(Table3[[#This Row],[Käyttöönotto]],4)</f>
        <v>1998</v>
      </c>
      <c r="J53" t="str">
        <f>'Ajoneuvorekisteri-Parse Modern '!AA227</f>
        <v>XK Coup� (AD) 2ov 3990cm3 A</v>
      </c>
      <c r="K53" t="str">
        <f>Ajoneuvorekisteri_Parse_Modern_XK_Range_TieliikenneAvoinData_30_06_2026_csv[[#This Row],[tyyppihyvaksyntanro]]</f>
        <v>e11*95/54*0062*08</v>
      </c>
      <c r="L53">
        <f>'Ajoneuvorekisteri-Parse Modern '!M227</f>
        <v>1720</v>
      </c>
      <c r="M53">
        <f t="shared" si="3"/>
        <v>1</v>
      </c>
      <c r="N53">
        <f t="shared" si="4"/>
        <v>0</v>
      </c>
      <c r="O53">
        <f t="shared" si="5"/>
        <v>1</v>
      </c>
      <c r="P53">
        <f t="shared" si="6"/>
        <v>0</v>
      </c>
      <c r="Q53">
        <f>IF(AND(Table3[[#This Row],[Coupe]]&lt;&gt;1, Table3[[#This Row],[Convertible]]&lt;&gt;1), 1, 0)</f>
        <v>0</v>
      </c>
      <c r="R53" t="str">
        <f t="shared" si="7"/>
        <v>Coupe</v>
      </c>
    </row>
    <row r="54" spans="1:18" x14ac:dyDescent="0.25">
      <c r="A54">
        <f>'Ajoneuvorekisteri-Parse Modern '!AO54</f>
        <v>1454117</v>
      </c>
      <c r="B54" t="str">
        <f>'Ajoneuvorekisteri-Parse Modern '!AN54</f>
        <v>SAJJGAFD4A</v>
      </c>
      <c r="C54" t="str">
        <f t="shared" si="0"/>
        <v>X100_EARLY_NORMAL_AR (JDHT)</v>
      </c>
      <c r="D54" t="str">
        <f t="shared" si="1"/>
        <v>UNKNOWN: [5=G]</v>
      </c>
      <c r="E54" t="str">
        <f t="shared" si="2"/>
        <v>UNKNOWN</v>
      </c>
      <c r="F54" t="str" cm="1">
        <f t="array" ref="F54">_xlfn.LET(_xlpm.v,UPPER(SUBSTITUTE(CLEAN(TRIM(B54)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54" t="str" cm="1">
        <f t="array" ref="G54">_xlfn.LET(_xlpm.vin,SUBSTITUTE(CLEAN(TRIM(B54)),CHAR(160),""),_xlpm.rawDate,LEFT(TRIM(H54)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H54">
        <f>'Ajoneuvorekisteri-Parse Modern '!G54</f>
        <v>19980423</v>
      </c>
      <c r="I54" t="str">
        <f>LEFT(Table3[[#This Row],[Käyttöönotto]],4)</f>
        <v>1998</v>
      </c>
      <c r="J54" t="str">
        <f>'Ajoneuvorekisteri-Parse Modern '!AA54</f>
        <v>2D CONVERTIBLE XK8 4.0-AUTOMATIC-JGFD/259</v>
      </c>
      <c r="K54" t="str">
        <f>Ajoneuvorekisteri_Parse_Modern_XK_Range_TieliikenneAvoinData_30_06_2026_csv[[#This Row],[tyyppihyvaksyntanro]]</f>
        <v>e11*95/54*0062</v>
      </c>
      <c r="L54">
        <f>'Ajoneuvorekisteri-Parse Modern '!M54</f>
        <v>1780</v>
      </c>
      <c r="M54">
        <f t="shared" si="3"/>
        <v>1</v>
      </c>
      <c r="N54">
        <f t="shared" si="4"/>
        <v>0</v>
      </c>
      <c r="O54">
        <f t="shared" si="5"/>
        <v>0</v>
      </c>
      <c r="P54">
        <f t="shared" si="6"/>
        <v>1</v>
      </c>
      <c r="Q54">
        <f>IF(AND(Table3[[#This Row],[Coupe]]&lt;&gt;1, Table3[[#This Row],[Convertible]]&lt;&gt;1), 1, 0)</f>
        <v>0</v>
      </c>
      <c r="R54" t="str">
        <f t="shared" si="7"/>
        <v>Convertible</v>
      </c>
    </row>
    <row r="55" spans="1:18" x14ac:dyDescent="0.25">
      <c r="A55">
        <f>'Ajoneuvorekisteri-Parse Modern '!AO145</f>
        <v>2669346</v>
      </c>
      <c r="B55" t="str">
        <f>'Ajoneuvorekisteri-Parse Modern '!AN145</f>
        <v>SAJJGAED3A</v>
      </c>
      <c r="C55" t="str">
        <f t="shared" si="0"/>
        <v>X100_EARLY_NORMAL_AR (JDHT)</v>
      </c>
      <c r="D55" t="str">
        <f t="shared" si="1"/>
        <v>UNKNOWN: [5=G]</v>
      </c>
      <c r="E55" t="str">
        <f t="shared" si="2"/>
        <v>UNKNOWN</v>
      </c>
      <c r="F55" t="str" cm="1">
        <f t="array" ref="F55">_xlfn.LET(_xlpm.v,UPPER(SUBSTITUTE(CLEAN(TRIM(B55)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55" t="str" cm="1">
        <f t="array" ref="G55">_xlfn.LET(_xlpm.vin,SUBSTITUTE(CLEAN(TRIM(B55)),CHAR(160),""),_xlpm.rawDate,LEFT(TRIM(H55)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H55">
        <f>'Ajoneuvorekisteri-Parse Modern '!G145</f>
        <v>19980502</v>
      </c>
      <c r="I55" t="str">
        <f>LEFT(Table3[[#This Row],[Käyttöönotto]],4)</f>
        <v>1998</v>
      </c>
      <c r="J55" t="str">
        <f>'Ajoneuvorekisteri-Parse Modern '!AA145</f>
        <v>XK8 Coup� (AD) 2ov 3990cm3 A</v>
      </c>
      <c r="K55" t="str">
        <f>Ajoneuvorekisteri_Parse_Modern_XK_Range_TieliikenneAvoinData_30_06_2026_csv[[#This Row],[tyyppihyvaksyntanro]]</f>
        <v/>
      </c>
      <c r="L55">
        <f>'Ajoneuvorekisteri-Parse Modern '!M145</f>
        <v>1720</v>
      </c>
      <c r="M55">
        <f t="shared" si="3"/>
        <v>1</v>
      </c>
      <c r="N55">
        <f t="shared" si="4"/>
        <v>0</v>
      </c>
      <c r="O55">
        <f t="shared" si="5"/>
        <v>1</v>
      </c>
      <c r="P55">
        <f t="shared" si="6"/>
        <v>0</v>
      </c>
      <c r="Q55">
        <f>IF(AND(Table3[[#This Row],[Coupe]]&lt;&gt;1, Table3[[#This Row],[Convertible]]&lt;&gt;1), 1, 0)</f>
        <v>0</v>
      </c>
      <c r="R55" t="str">
        <f t="shared" si="7"/>
        <v>Coupe</v>
      </c>
    </row>
    <row r="56" spans="1:18" x14ac:dyDescent="0.25">
      <c r="A56">
        <f>'Ajoneuvorekisteri-Parse Modern '!AO7</f>
        <v>122779</v>
      </c>
      <c r="B56" t="str">
        <f>'Ajoneuvorekisteri-Parse Modern '!AN7</f>
        <v>SAJJGAEF4A</v>
      </c>
      <c r="C56" t="str">
        <f t="shared" si="0"/>
        <v>X100_EARLY_NORMAL_AR (JDHT)</v>
      </c>
      <c r="D56" t="str">
        <f t="shared" si="1"/>
        <v>UNKNOWN: [5=G]</v>
      </c>
      <c r="E56" t="str">
        <f t="shared" si="2"/>
        <v>UNKNOWN</v>
      </c>
      <c r="F56" t="str" cm="1">
        <f t="array" ref="F56">_xlfn.LET(_xlpm.v,UPPER(SUBSTITUTE(CLEAN(TRIM(B56)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56" t="str" cm="1">
        <f t="array" ref="G56">_xlfn.LET(_xlpm.vin,SUBSTITUTE(CLEAN(TRIM(B56)),CHAR(160),""),_xlpm.rawDate,LEFT(TRIM(H56)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H56">
        <f>'Ajoneuvorekisteri-Parse Modern '!G7</f>
        <v>19980508</v>
      </c>
      <c r="I56" t="str">
        <f>LEFT(Table3[[#This Row],[Käyttöönotto]],4)</f>
        <v>1998</v>
      </c>
      <c r="J56" t="str">
        <f>'Ajoneuvorekisteri-Parse Modern '!AA7</f>
        <v>COUPE XKR 4.0-AUTOMATIC-JGEF/259</v>
      </c>
      <c r="K56" t="str">
        <f>Ajoneuvorekisteri_Parse_Modern_XK_Range_TieliikenneAvoinData_30_06_2026_csv[[#This Row],[tyyppihyvaksyntanro]]</f>
        <v>e11*95/54*0061*05</v>
      </c>
      <c r="L56">
        <f>'Ajoneuvorekisteri-Parse Modern '!M7</f>
        <v>1735</v>
      </c>
      <c r="M56">
        <f t="shared" si="3"/>
        <v>0</v>
      </c>
      <c r="N56">
        <f t="shared" si="4"/>
        <v>1</v>
      </c>
      <c r="O56">
        <f t="shared" si="5"/>
        <v>1</v>
      </c>
      <c r="P56">
        <f t="shared" si="6"/>
        <v>0</v>
      </c>
      <c r="Q56">
        <f>IF(AND(Table3[[#This Row],[Coupe]]&lt;&gt;1, Table3[[#This Row],[Convertible]]&lt;&gt;1), 1, 0)</f>
        <v>0</v>
      </c>
      <c r="R56" t="str">
        <f t="shared" si="7"/>
        <v>Coupe</v>
      </c>
    </row>
    <row r="57" spans="1:18" x14ac:dyDescent="0.25">
      <c r="A57">
        <f>'Ajoneuvorekisteri-Parse Modern '!AO34</f>
        <v>1074845</v>
      </c>
      <c r="B57" t="str">
        <f>'Ajoneuvorekisteri-Parse Modern '!AN34</f>
        <v>SAJJGAFD4A</v>
      </c>
      <c r="C57" t="str">
        <f t="shared" si="0"/>
        <v>X100_EARLY_NORMAL_AR (JDHT)</v>
      </c>
      <c r="D57" t="str">
        <f t="shared" si="1"/>
        <v>UNKNOWN: [5=G]</v>
      </c>
      <c r="E57" t="str">
        <f t="shared" si="2"/>
        <v>UNKNOWN</v>
      </c>
      <c r="F57" t="str" cm="1">
        <f t="array" ref="F57">_xlfn.LET(_xlpm.v,UPPER(SUBSTITUTE(CLEAN(TRIM(B57)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57" t="str" cm="1">
        <f t="array" ref="G57">_xlfn.LET(_xlpm.vin,SUBSTITUTE(CLEAN(TRIM(B57)),CHAR(160),""),_xlpm.rawDate,LEFT(TRIM(H57)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H57">
        <f>'Ajoneuvorekisteri-Parse Modern '!G34</f>
        <v>19980508</v>
      </c>
      <c r="I57" t="str">
        <f>LEFT(Table3[[#This Row],[Käyttöönotto]],4)</f>
        <v>1998</v>
      </c>
      <c r="J57" t="str">
        <f>'Ajoneuvorekisteri-Parse Modern '!AA34</f>
        <v>2D CONVERTIBLE XK8 4.0-AUTOMATIC-JGFD/259</v>
      </c>
      <c r="K57" t="str">
        <f>Ajoneuvorekisteri_Parse_Modern_XK_Range_TieliikenneAvoinData_30_06_2026_csv[[#This Row],[tyyppihyvaksyntanro]]</f>
        <v/>
      </c>
      <c r="L57">
        <f>'Ajoneuvorekisteri-Parse Modern '!M34</f>
        <v>1810</v>
      </c>
      <c r="M57">
        <f t="shared" si="3"/>
        <v>1</v>
      </c>
      <c r="N57">
        <f t="shared" si="4"/>
        <v>0</v>
      </c>
      <c r="O57">
        <f t="shared" si="5"/>
        <v>0</v>
      </c>
      <c r="P57">
        <f t="shared" si="6"/>
        <v>1</v>
      </c>
      <c r="Q57">
        <f>IF(AND(Table3[[#This Row],[Coupe]]&lt;&gt;1, Table3[[#This Row],[Convertible]]&lt;&gt;1), 1, 0)</f>
        <v>0</v>
      </c>
      <c r="R57" t="str">
        <f t="shared" si="7"/>
        <v>Convertible</v>
      </c>
    </row>
    <row r="58" spans="1:18" x14ac:dyDescent="0.25">
      <c r="A58">
        <f>'Ajoneuvorekisteri-Parse Modern '!AO108</f>
        <v>2310534</v>
      </c>
      <c r="B58" t="str">
        <f>'Ajoneuvorekisteri-Parse Modern '!AN108</f>
        <v>SAJJGAEF4A</v>
      </c>
      <c r="C58" t="str">
        <f t="shared" si="0"/>
        <v>X100_EARLY_NORMAL_AR (JDHT)</v>
      </c>
      <c r="D58" t="str">
        <f t="shared" si="1"/>
        <v>UNKNOWN: [5=G]</v>
      </c>
      <c r="E58" t="str">
        <f t="shared" si="2"/>
        <v>UNKNOWN</v>
      </c>
      <c r="F58" t="str" cm="1">
        <f t="array" ref="F58">_xlfn.LET(_xlpm.v,UPPER(SUBSTITUTE(CLEAN(TRIM(B58)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58" t="str" cm="1">
        <f t="array" ref="G58">_xlfn.LET(_xlpm.vin,SUBSTITUTE(CLEAN(TRIM(B58)),CHAR(160),""),_xlpm.rawDate,LEFT(TRIM(H58)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H58">
        <f>'Ajoneuvorekisteri-Parse Modern '!G108</f>
        <v>19980520</v>
      </c>
      <c r="I58" t="str">
        <f>LEFT(Table3[[#This Row],[Käyttöönotto]],4)</f>
        <v>1998</v>
      </c>
      <c r="J58" t="str">
        <f>'Ajoneuvorekisteri-Parse Modern '!AA108</f>
        <v>XKR Coup� (AD) 2ov 3996cm3 A</v>
      </c>
      <c r="K58" t="str">
        <f>Ajoneuvorekisteri_Parse_Modern_XK_Range_TieliikenneAvoinData_30_06_2026_csv[[#This Row],[tyyppihyvaksyntanro]]</f>
        <v>e11*2001/116*0272*01</v>
      </c>
      <c r="L58">
        <f>'Ajoneuvorekisteri-Parse Modern '!M108</f>
        <v>1715</v>
      </c>
      <c r="M58">
        <f t="shared" si="3"/>
        <v>0</v>
      </c>
      <c r="N58">
        <f t="shared" si="4"/>
        <v>1</v>
      </c>
      <c r="O58">
        <f t="shared" si="5"/>
        <v>1</v>
      </c>
      <c r="P58">
        <f t="shared" si="6"/>
        <v>0</v>
      </c>
      <c r="Q58">
        <f>IF(AND(Table3[[#This Row],[Coupe]]&lt;&gt;1, Table3[[#This Row],[Convertible]]&lt;&gt;1), 1, 0)</f>
        <v>0</v>
      </c>
      <c r="R58" t="str">
        <f t="shared" si="7"/>
        <v>Coupe</v>
      </c>
    </row>
    <row r="59" spans="1:18" x14ac:dyDescent="0.25">
      <c r="A59">
        <f>'Ajoneuvorekisteri-Parse Modern '!AO147</f>
        <v>2687833</v>
      </c>
      <c r="B59" t="str">
        <f>'Ajoneuvorekisteri-Parse Modern '!AN147</f>
        <v>SAJJGAED4A</v>
      </c>
      <c r="C59" t="str">
        <f t="shared" si="0"/>
        <v>X100_EARLY_NORMAL_AR (JDHT)</v>
      </c>
      <c r="D59" t="str">
        <f t="shared" si="1"/>
        <v>UNKNOWN: [5=G]</v>
      </c>
      <c r="E59" t="str">
        <f t="shared" si="2"/>
        <v>UNKNOWN</v>
      </c>
      <c r="F59" t="str" cm="1">
        <f t="array" ref="F59">_xlfn.LET(_xlpm.v,UPPER(SUBSTITUTE(CLEAN(TRIM(B59)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59" t="str" cm="1">
        <f t="array" ref="G59">_xlfn.LET(_xlpm.vin,SUBSTITUTE(CLEAN(TRIM(B59)),CHAR(160),""),_xlpm.rawDate,LEFT(TRIM(H59)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H59">
        <f>'Ajoneuvorekisteri-Parse Modern '!G147</f>
        <v>19980521</v>
      </c>
      <c r="I59" t="str">
        <f>LEFT(Table3[[#This Row],[Käyttöönotto]],4)</f>
        <v>1998</v>
      </c>
      <c r="J59" t="str">
        <f>'Ajoneuvorekisteri-Parse Modern '!AA147</f>
        <v>XK 8 Coup� (AD) 2ov 3996cm3 A</v>
      </c>
      <c r="K59" t="str">
        <f>Ajoneuvorekisteri_Parse_Modern_XK_Range_TieliikenneAvoinData_30_06_2026_csv[[#This Row],[tyyppihyvaksyntanro]]</f>
        <v>e11*95/54*0061*03</v>
      </c>
      <c r="L59">
        <f>'Ajoneuvorekisteri-Parse Modern '!M147</f>
        <v>1720</v>
      </c>
      <c r="M59">
        <f t="shared" si="3"/>
        <v>1</v>
      </c>
      <c r="N59">
        <f t="shared" si="4"/>
        <v>0</v>
      </c>
      <c r="O59">
        <f t="shared" si="5"/>
        <v>1</v>
      </c>
      <c r="P59">
        <f t="shared" si="6"/>
        <v>0</v>
      </c>
      <c r="Q59">
        <f>IF(AND(Table3[[#This Row],[Coupe]]&lt;&gt;1, Table3[[#This Row],[Convertible]]&lt;&gt;1), 1, 0)</f>
        <v>0</v>
      </c>
      <c r="R59" t="str">
        <f t="shared" si="7"/>
        <v>Coupe</v>
      </c>
    </row>
    <row r="60" spans="1:18" x14ac:dyDescent="0.25">
      <c r="A60">
        <f>'Ajoneuvorekisteri-Parse Modern '!AO43</f>
        <v>1271846</v>
      </c>
      <c r="B60" t="str">
        <f>'Ajoneuvorekisteri-Parse Modern '!AN43</f>
        <v>SAJJGAEF4A</v>
      </c>
      <c r="C60" t="str">
        <f t="shared" si="0"/>
        <v>X100_EARLY_NORMAL_AR (JDHT)</v>
      </c>
      <c r="D60" t="str">
        <f t="shared" si="1"/>
        <v>UNKNOWN: [5=G]</v>
      </c>
      <c r="E60" t="str">
        <f t="shared" si="2"/>
        <v>UNKNOWN</v>
      </c>
      <c r="F60" t="str" cm="1">
        <f t="array" ref="F60">_xlfn.LET(_xlpm.v,UPPER(SUBSTITUTE(CLEAN(TRIM(B60)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60" t="str" cm="1">
        <f t="array" ref="G60">_xlfn.LET(_xlpm.vin,SUBSTITUTE(CLEAN(TRIM(B60)),CHAR(160),""),_xlpm.rawDate,LEFT(TRIM(H60)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H60">
        <f>'Ajoneuvorekisteri-Parse Modern '!G43</f>
        <v>19980522</v>
      </c>
      <c r="I60" t="str">
        <f>LEFT(Table3[[#This Row],[Käyttöönotto]],4)</f>
        <v>1998</v>
      </c>
      <c r="J60" t="str">
        <f>'Ajoneuvorekisteri-Parse Modern '!AA43</f>
        <v>COUPE XKR 4.0-AUTOMATIC</v>
      </c>
      <c r="K60" t="str">
        <f>Ajoneuvorekisteri_Parse_Modern_XK_Range_TieliikenneAvoinData_30_06_2026_csv[[#This Row],[tyyppihyvaksyntanro]]</f>
        <v>e11*2001/116*0272*01</v>
      </c>
      <c r="L60">
        <f>'Ajoneuvorekisteri-Parse Modern '!M43</f>
        <v>1720</v>
      </c>
      <c r="M60">
        <f t="shared" si="3"/>
        <v>0</v>
      </c>
      <c r="N60">
        <f t="shared" si="4"/>
        <v>1</v>
      </c>
      <c r="O60">
        <f t="shared" si="5"/>
        <v>1</v>
      </c>
      <c r="P60">
        <f t="shared" si="6"/>
        <v>0</v>
      </c>
      <c r="Q60">
        <f>IF(AND(Table3[[#This Row],[Coupe]]&lt;&gt;1, Table3[[#This Row],[Convertible]]&lt;&gt;1), 1, 0)</f>
        <v>0</v>
      </c>
      <c r="R60" t="str">
        <f t="shared" si="7"/>
        <v>Coupe</v>
      </c>
    </row>
    <row r="61" spans="1:18" x14ac:dyDescent="0.25">
      <c r="A61">
        <f>'Ajoneuvorekisteri-Parse Modern '!AO94</f>
        <v>2189712</v>
      </c>
      <c r="B61" t="str">
        <f>'Ajoneuvorekisteri-Parse Modern '!AN94</f>
        <v>SAJJGXFE4W</v>
      </c>
      <c r="C61" t="str">
        <f t="shared" si="0"/>
        <v>UNKNOWN: [8=E]</v>
      </c>
      <c r="D61" t="str">
        <f t="shared" si="1"/>
        <v>UNKNOWN: [5=G]</v>
      </c>
      <c r="E61" t="str">
        <f t="shared" si="2"/>
        <v>UNKNOWN</v>
      </c>
      <c r="F61" t="str" cm="1">
        <f t="array" ref="F61">_xlfn.LET(_xlpm.v,UPPER(SUBSTITUTE(CLEAN(TRIM(B61)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[8=E]</v>
      </c>
      <c r="G61" t="str" cm="1">
        <f t="array" ref="G61">_xlfn.LET(_xlpm.vin,SUBSTITUTE(CLEAN(TRIM(B61)),CHAR(160),""),_xlpm.rawDate,LEFT(TRIM(H61)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H61">
        <f>'Ajoneuvorekisteri-Parse Modern '!G94</f>
        <v>19980619</v>
      </c>
      <c r="I61" t="str">
        <f>LEFT(Table3[[#This Row],[Käyttöönotto]],4)</f>
        <v>1998</v>
      </c>
      <c r="J61" t="str">
        <f>'Ajoneuvorekisteri-Parse Modern '!AA94</f>
        <v>XK Avoauto (AE) 2ov 4000cm3 A</v>
      </c>
      <c r="K61" t="str">
        <f>Ajoneuvorekisteri_Parse_Modern_XK_Range_TieliikenneAvoinData_30_06_2026_csv[[#This Row],[tyyppihyvaksyntanro]]</f>
        <v/>
      </c>
      <c r="L61">
        <f>'Ajoneuvorekisteri-Parse Modern '!M94</f>
        <v>1845</v>
      </c>
      <c r="M61">
        <f t="shared" si="3"/>
        <v>1</v>
      </c>
      <c r="N61">
        <f t="shared" si="4"/>
        <v>0</v>
      </c>
      <c r="O61">
        <f t="shared" si="5"/>
        <v>0</v>
      </c>
      <c r="P61">
        <f t="shared" si="6"/>
        <v>1</v>
      </c>
      <c r="Q61">
        <f>IF(AND(Table3[[#This Row],[Coupe]]&lt;&gt;1, Table3[[#This Row],[Convertible]]&lt;&gt;1), 1, 0)</f>
        <v>0</v>
      </c>
      <c r="R61" t="str">
        <f t="shared" si="7"/>
        <v>Convertible</v>
      </c>
    </row>
    <row r="62" spans="1:18" x14ac:dyDescent="0.25">
      <c r="A62">
        <f>'Ajoneuvorekisteri-Parse Modern '!AO119</f>
        <v>2469255</v>
      </c>
      <c r="B62" t="str">
        <f>'Ajoneuvorekisteri-Parse Modern '!AN119</f>
        <v>SAJJGXFE4W</v>
      </c>
      <c r="C62" t="str">
        <f t="shared" si="0"/>
        <v>UNKNOWN: [8=E]</v>
      </c>
      <c r="D62" t="str">
        <f t="shared" si="1"/>
        <v>UNKNOWN: [5=G]</v>
      </c>
      <c r="E62" t="str">
        <f t="shared" si="2"/>
        <v>UNKNOWN</v>
      </c>
      <c r="F62" t="str" cm="1">
        <f t="array" ref="F62">_xlfn.LET(_xlpm.v,UPPER(SUBSTITUTE(CLEAN(TRIM(B62)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[8=E]</v>
      </c>
      <c r="G62" t="str" cm="1">
        <f t="array" ref="G62">_xlfn.LET(_xlpm.vin,SUBSTITUTE(CLEAN(TRIM(B62)),CHAR(160),""),_xlpm.rawDate,LEFT(TRIM(H62)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H62">
        <f>'Ajoneuvorekisteri-Parse Modern '!G119</f>
        <v>19980701</v>
      </c>
      <c r="I62" t="str">
        <f>LEFT(Table3[[#This Row],[Käyttöönotto]],4)</f>
        <v>1998</v>
      </c>
      <c r="J62" t="str">
        <f>'Ajoneuvorekisteri-Parse Modern '!AA119</f>
        <v>XK Avoauto (AE) 2ov 3990cm3 A</v>
      </c>
      <c r="K62" t="str">
        <f>Ajoneuvorekisteri_Parse_Modern_XK_Range_TieliikenneAvoinData_30_06_2026_csv[[#This Row],[tyyppihyvaksyntanro]]</f>
        <v>e11*95/54*0061*03</v>
      </c>
      <c r="L62">
        <f>'Ajoneuvorekisteri-Parse Modern '!M119</f>
        <v>1720</v>
      </c>
      <c r="M62">
        <f t="shared" si="3"/>
        <v>1</v>
      </c>
      <c r="N62">
        <f t="shared" si="4"/>
        <v>0</v>
      </c>
      <c r="O62">
        <f t="shared" si="5"/>
        <v>0</v>
      </c>
      <c r="P62">
        <f t="shared" si="6"/>
        <v>1</v>
      </c>
      <c r="Q62">
        <f>IF(AND(Table3[[#This Row],[Coupe]]&lt;&gt;1, Table3[[#This Row],[Convertible]]&lt;&gt;1), 1, 0)</f>
        <v>0</v>
      </c>
      <c r="R62" t="str">
        <f t="shared" si="7"/>
        <v>Convertible</v>
      </c>
    </row>
    <row r="63" spans="1:18" x14ac:dyDescent="0.25">
      <c r="A63">
        <f>'Ajoneuvorekisteri-Parse Modern '!AO47</f>
        <v>1308878</v>
      </c>
      <c r="B63" t="str">
        <f>'Ajoneuvorekisteri-Parse Modern '!AN47</f>
        <v>SAJJGAFF4A</v>
      </c>
      <c r="C63" t="str">
        <f t="shared" si="0"/>
        <v>X100_EARLY_NORMAL_AR (JDHT)</v>
      </c>
      <c r="D63" t="str">
        <f t="shared" si="1"/>
        <v>UNKNOWN: [5=G]</v>
      </c>
      <c r="E63" t="str">
        <f t="shared" si="2"/>
        <v>UNKNOWN</v>
      </c>
      <c r="F63" t="str" cm="1">
        <f t="array" ref="F63">_xlfn.LET(_xlpm.v,UPPER(SUBSTITUTE(CLEAN(TRIM(B63)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63" t="str" cm="1">
        <f t="array" ref="G63">_xlfn.LET(_xlpm.vin,SUBSTITUTE(CLEAN(TRIM(B63)),CHAR(160),""),_xlpm.rawDate,LEFT(TRIM(H63)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H63">
        <f>'Ajoneuvorekisteri-Parse Modern '!G47</f>
        <v>19980703</v>
      </c>
      <c r="I63" t="str">
        <f>LEFT(Table3[[#This Row],[Käyttöönotto]],4)</f>
        <v>1998</v>
      </c>
      <c r="J63" t="str">
        <f>'Ajoneuvorekisteri-Parse Modern '!AA47</f>
        <v>2D CONVERTIBLE XKR 4.0-AUTOMATIC-JGAF/259</v>
      </c>
      <c r="K63" t="str">
        <f>Ajoneuvorekisteri_Parse_Modern_XK_Range_TieliikenneAvoinData_30_06_2026_csv[[#This Row],[tyyppihyvaksyntanro]]</f>
        <v>e11*95/54*0061*04</v>
      </c>
      <c r="L63">
        <f>'Ajoneuvorekisteri-Parse Modern '!M47</f>
        <v>1845</v>
      </c>
      <c r="M63">
        <f t="shared" si="3"/>
        <v>0</v>
      </c>
      <c r="N63">
        <f t="shared" si="4"/>
        <v>1</v>
      </c>
      <c r="O63">
        <f t="shared" si="5"/>
        <v>0</v>
      </c>
      <c r="P63">
        <f t="shared" si="6"/>
        <v>1</v>
      </c>
      <c r="Q63">
        <f>IF(AND(Table3[[#This Row],[Coupe]]&lt;&gt;1, Table3[[#This Row],[Convertible]]&lt;&gt;1), 1, 0)</f>
        <v>0</v>
      </c>
      <c r="R63" t="str">
        <f t="shared" si="7"/>
        <v>Convertible</v>
      </c>
    </row>
    <row r="64" spans="1:18" x14ac:dyDescent="0.25">
      <c r="A64">
        <f>'Ajoneuvorekisteri-Parse Modern '!AO92</f>
        <v>2163905</v>
      </c>
      <c r="B64" t="str">
        <f>'Ajoneuvorekisteri-Parse Modern '!AN92</f>
        <v>SAJJGXFE4W</v>
      </c>
      <c r="C64" t="str">
        <f t="shared" si="0"/>
        <v>UNKNOWN: [8=E]</v>
      </c>
      <c r="D64" t="str">
        <f t="shared" si="1"/>
        <v>UNKNOWN: [5=G]</v>
      </c>
      <c r="E64" t="str">
        <f t="shared" si="2"/>
        <v>UNKNOWN</v>
      </c>
      <c r="F64" t="str" cm="1">
        <f t="array" ref="F64">_xlfn.LET(_xlpm.v,UPPER(SUBSTITUTE(CLEAN(TRIM(B64)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[8=E]</v>
      </c>
      <c r="G64" t="str" cm="1">
        <f t="array" ref="G64">_xlfn.LET(_xlpm.vin,SUBSTITUTE(CLEAN(TRIM(B64)),CHAR(160),""),_xlpm.rawDate,LEFT(TRIM(H64)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H64">
        <f>'Ajoneuvorekisteri-Parse Modern '!G92</f>
        <v>19980717</v>
      </c>
      <c r="I64" t="str">
        <f>LEFT(Table3[[#This Row],[Käyttöönotto]],4)</f>
        <v>1998</v>
      </c>
      <c r="J64" t="str">
        <f>'Ajoneuvorekisteri-Parse Modern '!AA92</f>
        <v>XK8 Avoauto (AE) 2ov 3996cm3 A</v>
      </c>
      <c r="K64" t="str">
        <f>Ajoneuvorekisteri_Parse_Modern_XK_Range_TieliikenneAvoinData_30_06_2026_csv[[#This Row],[tyyppihyvaksyntanro]]</f>
        <v/>
      </c>
      <c r="L64">
        <f>'Ajoneuvorekisteri-Parse Modern '!M92</f>
        <v>1845</v>
      </c>
      <c r="M64">
        <f t="shared" si="3"/>
        <v>1</v>
      </c>
      <c r="N64">
        <f t="shared" si="4"/>
        <v>0</v>
      </c>
      <c r="O64">
        <f t="shared" si="5"/>
        <v>0</v>
      </c>
      <c r="P64">
        <f t="shared" si="6"/>
        <v>1</v>
      </c>
      <c r="Q64">
        <f>IF(AND(Table3[[#This Row],[Coupe]]&lt;&gt;1, Table3[[#This Row],[Convertible]]&lt;&gt;1), 1, 0)</f>
        <v>0</v>
      </c>
      <c r="R64" t="str">
        <f t="shared" si="7"/>
        <v>Convertible</v>
      </c>
    </row>
    <row r="65" spans="1:18" x14ac:dyDescent="0.25">
      <c r="A65">
        <f>'Ajoneuvorekisteri-Parse Modern '!AO152</f>
        <v>2702358</v>
      </c>
      <c r="B65" t="str">
        <f>'Ajoneuvorekisteri-Parse Modern '!AN152</f>
        <v>SAJJGAED4A</v>
      </c>
      <c r="C65" t="str">
        <f t="shared" si="0"/>
        <v>X100_EARLY_NORMAL_AR (JDHT)</v>
      </c>
      <c r="D65" t="str">
        <f t="shared" si="1"/>
        <v>UNKNOWN: [5=G]</v>
      </c>
      <c r="E65" t="str">
        <f t="shared" si="2"/>
        <v>UNKNOWN</v>
      </c>
      <c r="F65" t="str" cm="1">
        <f t="array" ref="F65">_xlfn.LET(_xlpm.v,UPPER(SUBSTITUTE(CLEAN(TRIM(B65)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65" t="str" cm="1">
        <f t="array" ref="G65">_xlfn.LET(_xlpm.vin,SUBSTITUTE(CLEAN(TRIM(B65)),CHAR(160),""),_xlpm.rawDate,LEFT(TRIM(H65)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024687–031302</v>
      </c>
      <c r="H65">
        <f>'Ajoneuvorekisteri-Parse Modern '!G152</f>
        <v>19980731</v>
      </c>
      <c r="I65" t="str">
        <f>LEFT(Table3[[#This Row],[Käyttöönotto]],4)</f>
        <v>1998</v>
      </c>
      <c r="J65" t="str">
        <f>'Ajoneuvorekisteri-Parse Modern '!AA152</f>
        <v>XK8 COUPE Coup� (AD) 2ov 3996cm3 A</v>
      </c>
      <c r="K65" t="str">
        <f>Ajoneuvorekisteri_Parse_Modern_XK_Range_TieliikenneAvoinData_30_06_2026_csv[[#This Row],[tyyppihyvaksyntanro]]</f>
        <v/>
      </c>
      <c r="L65">
        <f>'Ajoneuvorekisteri-Parse Modern '!M152</f>
        <v>1690</v>
      </c>
      <c r="M65">
        <f t="shared" si="3"/>
        <v>1</v>
      </c>
      <c r="N65">
        <f t="shared" si="4"/>
        <v>0</v>
      </c>
      <c r="O65">
        <f t="shared" si="5"/>
        <v>1</v>
      </c>
      <c r="P65">
        <f t="shared" si="6"/>
        <v>0</v>
      </c>
      <c r="Q65">
        <f>IF(AND(Table3[[#This Row],[Coupe]]&lt;&gt;1, Table3[[#This Row],[Convertible]]&lt;&gt;1), 1, 0)</f>
        <v>0</v>
      </c>
      <c r="R65" t="str">
        <f t="shared" si="7"/>
        <v>Coupe</v>
      </c>
    </row>
    <row r="66" spans="1:18" x14ac:dyDescent="0.25">
      <c r="A66">
        <f>'Ajoneuvorekisteri-Parse Modern '!AO191</f>
        <v>3259973</v>
      </c>
      <c r="B66" t="str">
        <f>'Ajoneuvorekisteri-Parse Modern '!AN191</f>
        <v>SAJGX2241W</v>
      </c>
      <c r="C66" t="str">
        <f t="shared" ref="C66:C129" si="8">_xlfn.LET(_xlpm.v,SUBSTITUTE(CLEAN(TRIM(B66)),CHAR(160),""),IF(AND(LEN(_xlpm.v)=10,LEFT(_xlpm.v,5)="SAJJG",OR(MID(_xlpm.v,7,1)="E",MID(_xlpm.v,7,1)="F"),OR(MID(_xlpm.v,8,1)="D",MID(_xlpm.v,8,1)="F"),OR(MID(_xlpm.v,9,1)="3",MID(_xlpm.v,9,1)="4"),MID(_xlpm.v,10,1)="A"),"X100_EARLY_NORMAL_AR (JDHT)",IF(AND(LEN(_xlpm.v)=10,LEFT(_xlpm.v,5)="SAJJG",MID(_xlpm.v,6,1)="A",OR(MID(_xlpm.v,7,1)="E",MID(_xlpm.v,7,1)="F"),MID(_xlpm.v,8,1)="D",OR(MID(_xlpm.v,9,1)="3",MID(_xlpm.v,9,1)="4"),OR(MID(_xlpm.v,10,1)="V",MID(_xlpm.v,10,1)="W",MID(_xlpm.v,10,1)="X")),"X100_NORMAL (JDHT)",IF(AND(LEN(_xlpm.v)=10,LEFT(_xlpm.v,5)="SAJJG",OR(MID(_xlpm.v,6,1)="A",MID(_xlpm.v,6,1)="K",MID(_xlpm.v,6,1)="N",MID(_xlpm.v,6,1)="X"),OR(MID(_xlpm.v,7,1)="E",MID(_xlpm.v,7,1)="F"),OR(MID(_xlpm.v,8,1)="D",MID(_xlpm.v,8,1)="F"),OR(MID(_xlpm.v,9,1)="3",MID(_xlpm.v,9,1)="4"),OR(MID(_xlpm.v,10,1)="V",MID(_xlpm.v,10,1)="W",MID(_xlpm.v,10,1)="X")),"X100_JLM20300",IF(AND(LEN(_xlpm.v)=10,LEFT(_xlpm.v,5)="SAJJG",OR(MID(_xlpm.v,6,1)="N",MID(_xlpm.v,6,1)="S",MID(_xlpm.v,6,1)="X"),OR(MID(_xlpm.v,7,1)="E",MID(_xlpm.v,7,1)="F"),OR(MID(_xlpm.v,8,1)="D",MID(_xlpm.v,8,1)="F"),OR(MID(_xlpm.v,9,1)="3",MID(_xlpm.v,9,1)="4"),OR(MID(_xlpm.v,10,1)="V",MID(_xlpm.v,10,1)="W",MID(_xlpm.v,10,1)="X")),"X100_JLM20301",IF(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(JLM20301_unique)","UNKNOWN: ["&amp;IF(LEN(_xlpm.v)&lt;&gt;10,"length="&amp;LEN(_xlpm.v),"")&amp;IF(AND(LEN(_xlpm.v)=10,LEFT(_xlpm.v,5)&lt;&gt;"SAJJG",LEFT(_xlpm.v,5)&lt;&gt;"SAJGX"),"prefix="&amp;LEFT(_xlpm.v,5),"")&amp;IF(AND(LEN(_xlpm.v)=10,LEFT(_xlpm.v,5)="SAJJG",NOT(OR(MID(_xlpm.v,7,1)="E",MID(_xlpm.v,7,1)="F"))),"7="&amp;MID(_xlpm.v,7,1),"")&amp;IF(AND(LEN(_xlpm.v)=10,LEFT(_xlpm.v,5)="SAJJG",NOT(OR(MID(_xlpm.v,8,1)="D",MID(_xlpm.v,8,1)="F"))),"8="&amp;MID(_xlpm.v,8,1),"")&amp;IF(AND(LEN(_xlpm.v)=10,LEFT(_xlpm.v,5)="SAJJG",NOT(OR(MID(_xlpm.v,9,1)="3",MID(_xlpm.v,9,1)="4"))),"9="&amp;MID(_xlpm.v,9,1),"")&amp;IF(AND(LEN(_xlpm.v)=10,LEFT(_xlpm.v,5)="SAJJG",NOT(OR(MID(_xlpm.v,10,1)="A",MID(_xlpm.v,10,1)="V",MID(_xlpm.v,10,1)="W",MID(_xlpm.v,10,1)="X"))),"10="&amp;MID(_xlpm.v,10,1),"")&amp;IF(AND(LEN(_xlpm.v)=10,LEFT(_xlpm.v,5)="SAJGX",NOT(OR(MID(_xlpm.v,6,1)="2",MID(_xlpm.v,6,1)="5"))),"6="&amp;MID(_xlpm.v,6,1),"")&amp;IF(AND(LEN(_xlpm.v)=10,LEFT(_xlpm.v,5)="SAJGX",NOT(OR(MID(_xlpm.v,7,1)="1",MID(_xlpm.v,7,1)="2",MID(_xlpm.v,7,1)="7"))),"7="&amp;MID(_xlpm.v,7,1),"")&amp;IF(AND(LEN(_xlpm.v)=10,LEFT(_xlpm.v,5)="SAJGX",OR(MID(_xlpm.v,7,1)="1",MID(_xlpm.v,7,1)="2",MID(_xlpm.v,7,1)="7"),MID(_xlpm.v,8,1)&lt;&gt;"4"),"8="&amp;MID(_xlpm.v,8,1),"")&amp;"]"))))))</f>
        <v>X100_AMERICAS_UNIQUE (JLM20301_unique)</v>
      </c>
      <c r="D66" t="str">
        <f t="shared" ref="D66:D129" si="9">_xlfn.LET(_xlpm.vinx,SUBSTITUTE(CLEAN(TRIM(B66)),CHAR(160),""),_xlpm.mkt,MID(_xlpm.vinx,4,1),_xlpm.trans,MID(_xlpm.vinx,5,1),_xlpm.body,MID(_xlpm.vinx,6,2),_xlpm.emis,MID(_xlpm.vinx,8,1),_xlpm.my,MID(_xlpm.vinx,10,1),IF(LEN(_xlpm.vinx)&lt;&gt;10,"UNKNOWN: [length="&amp;LEN(_xlpm.vinx)&amp;"]",IF(LEFT(_xlpm.vinx,3)&lt;&gt;"SAJ","UNKNOWN: [prefix="&amp;LEFT(_xlpm.vinx,3)&amp;"]",IF(NOT(ISNUMBER(FIND(_xlpm.mkt,"BFGXPRTYDEJW"))),"UNKNOWN: [4="&amp;_xlpm.mkt&amp;"]",IF(NOT(OR(_xlpm.trans="A",_xlpm.trans="B")),"UNKNOWN: [5="&amp;_xlpm.trans&amp;"]",IF(NOT(OR(_xlpm.body="41",_xlpm.body="42")),"UNKNOWN: [6-7="&amp;_xlpm.body&amp;"]",IF(OR(CODE(_xlpm.emis)&lt;65,CODE(_xlpm.emis)&gt;88),"UNKNOWN: [8="&amp;_xlpm.emis&amp;"]",IF(NOT(OR(_xlpm.my="X",_xlpm.my="Y",_xlpm.my="1",_xlpm.my="2",_xlpm.my="3",_xlpm.my="4",_xlpm.my="5",_xlpm.my="6",_xlpm.my="7",_xlpm.my="8",_xlpm.my="9")),"UNKNOWN: [10="&amp;_xlpm.my&amp;"]","XK8-XKR_"&amp;IF(_xlpm.body="41","COUPE","CONVERTIBLE")&amp;"_"&amp;IF(ISNUMBER(FIND(_xlpm.mkt,"DEJW")),"USA",IF(ISNUMBER(FIND(_xlpm.mkt,"BFGX")),"CANADA","MEXICO"))&amp;"_"&amp;IF(_xlpm.trans="A","AUTO_LHD","MANUAL_LHD")&amp;"_EMISSION_"&amp;_xlpm.emis&amp;"_"&amp;IF(_xlpm.my="X","1999",IF(_xlpm.my="Y","2000","20"&amp;_xlpm.my))&amp;"MY"))))))))</f>
        <v>UNKNOWN: [5=X]</v>
      </c>
      <c r="E66" t="str">
        <f t="shared" ref="E66:E129" si="10">_xlfn.LET(_xlpm.vin,UPPER(SUBSTITUTE(CLEAN(TRIM(B66)),CHAR(160),"")),_xlpm.mkt,MID(_xlpm.vin,4,1),_xlpm.trn,MID(_xlpm.vin,5,1),_xlpm.body,MID(_xlpm.vin,6,2),_xlpm.ems,MID(_xlpm.vin,8,1),_xlpm.myc,MID(_xlpm.vin,10,1),IF(AND(LEN(_xlpm.vin)=10,LEFT(_xlpm.vin,3)="SAJ",OR(_xlpm.mkt="A",_xlpm.mkt="B",_xlpm.mkt="D",_xlpm.mkt="E",_xlpm.mkt="F",_xlpm.mkt="J",_xlpm.mkt="K",_xlpm.mkt="P",_xlpm.mkt="R",_xlpm.mkt="W",_xlpm.mkt="X",_xlpm.mkt="Y"),OR(_xlpm.trn="A",_xlpm.trn="C"),OR(_xlpm.body="43",_xlpm.body="4D",_xlpm.body="44",_xlpm.body="4E",_xlpm.body="45",_xlpm.body="4F",_xlpm.body="46",_xlpm.body="4G",_xlpm.body="47"),OR(_xlpm.ems="A",_xlpm.ems="B",_xlpm.ems="C",_xlpm.ems="D",_xlpm.ems="E",_xlpm.ems="F",_xlpm.ems="G",_xlpm.ems="K",_xlpm.ems="N",_xlpm.ems="P",_xlpm.ems="R",_xlpm.ems="S",_xlpm.ems="T",_xlpm.ems="U",_xlpm.ems="V",_xlpm.ems="W",_xlpm.ems="X",_xlpm.ems="Y",_xlpm.ems="1",_xlpm.ems="2",_xlpm.ems="3",_xlpm.ems="4"),OR(_xlpm.myc="7",_xlpm.myc="8",_xlpm.myc="9",_xlpm.myc="A",_xlpm.myc="B",_xlpm.myc="C",_xlpm.myc="D",_xlpm.myc="E")),"X150_"&amp;IF(_xlpm.myc="7","2007MY",IF(_xlpm.myc="8","2008MY",IF(_xlpm.myc="9","2009MY",IF(_xlpm.myc="A","2010MY",IF(_xlpm.myc="B","2011MY",IF(_xlpm.myc="C","2012MY",IF(_xlpm.myc="D","2013MY",IF(_xlpm.myc="E","2014MY","UNKNOWN")))))))),"UNKNOWN"))</f>
        <v>UNKNOWN</v>
      </c>
      <c r="F66" t="str" cm="1">
        <f t="array" ref="F66">_xlfn.LET(_xlpm.v,UPPER(SUBSTITUTE(CLEAN(TRIM(B66)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G66" t="str" cm="1">
        <f t="array" ref="G66">_xlfn.LET(_xlpm.vin,SUBSTITUTE(CLEAN(TRIM(B66)),CHAR(160),""),_xlpm.rawDate,LEFT(TRIM(H66)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66">
        <f>'Ajoneuvorekisteri-Parse Modern '!G191</f>
        <v>19980807</v>
      </c>
      <c r="I66" t="str">
        <f>LEFT(Table3[[#This Row],[Käyttöönotto]],4)</f>
        <v>1998</v>
      </c>
      <c r="J66" t="str">
        <f>'Ajoneuvorekisteri-Parse Modern '!AA191</f>
        <v>XK8 Convertible Avoauto (AE) 2ov 3990cm3 A</v>
      </c>
      <c r="K66" t="str">
        <f>Ajoneuvorekisteri_Parse_Modern_XK_Range_TieliikenneAvoinData_30_06_2026_csv[[#This Row],[tyyppihyvaksyntanro]]</f>
        <v/>
      </c>
      <c r="L66">
        <f>'Ajoneuvorekisteri-Parse Modern '!M191</f>
        <v>1825</v>
      </c>
      <c r="M66">
        <f t="shared" ref="M66:M129" si="11">IF(AND(
    OR(
        ISNUMBER(SEARCH("XK ", J66)),
        ISNUMBER(SEARCH("XK8", J66))
    ),
    I66 &gt; 2005
), 1, 0)</f>
        <v>1</v>
      </c>
      <c r="N66">
        <f t="shared" ref="N66:N129" si="12">IF(OR(
    ISNUMBER(SEARCH("XKR", J66)),
), 1, 0)</f>
        <v>0</v>
      </c>
      <c r="O66">
        <f t="shared" ref="O66:O129" si="13">IF(OR(
    ISNUMBER(SEARCH("COUPE", J66)),
    ISNUMBER(SEARCH("COUPÉ", J66)),
    ISNUMBER(SEARCH("COUP�", J66))
), 1, 0)</f>
        <v>0</v>
      </c>
      <c r="P66">
        <f t="shared" ref="P66:P129" si="14">IF(OR(
    ISNUMBER(SEARCH("CONVERTIBLE",J66)),
    ISNUMBER(SEARCH("AVOAUTO",J66)),
    ISNUMBER(SEARCH("AVO",J66)),
    ISNUMBER(SEARCH("CABRIO",J66))
),1,0)</f>
        <v>1</v>
      </c>
      <c r="Q66">
        <f>IF(AND(Table3[[#This Row],[Coupe]]&lt;&gt;1, Table3[[#This Row],[Convertible]]&lt;&gt;1), 1, 0)</f>
        <v>0</v>
      </c>
      <c r="R66" t="str">
        <f t="shared" ref="R66:R129" si="15">IF(O66=1, "Coupe", IF(P66=1, "Convertible", "Unknown"))</f>
        <v>Convertible</v>
      </c>
    </row>
    <row r="67" spans="1:18" x14ac:dyDescent="0.25">
      <c r="A67">
        <f>'Ajoneuvorekisteri-Parse Modern '!AO44</f>
        <v>1292523</v>
      </c>
      <c r="B67" t="str">
        <f>'Ajoneuvorekisteri-Parse Modern '!AN44</f>
        <v>SAJJGAEF4A</v>
      </c>
      <c r="C67" t="str">
        <f t="shared" si="8"/>
        <v>X100_EARLY_NORMAL_AR (JDHT)</v>
      </c>
      <c r="D67" t="str">
        <f t="shared" si="9"/>
        <v>UNKNOWN: [5=G]</v>
      </c>
      <c r="E67" t="str">
        <f t="shared" si="10"/>
        <v>UNKNOWN</v>
      </c>
      <c r="F67" t="str" cm="1">
        <f t="array" ref="F67">_xlfn.LET(_xlpm.v,UPPER(SUBSTITUTE(CLEAN(TRIM(B67)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67" t="str" cm="1">
        <f t="array" ref="G67">_xlfn.LET(_xlpm.vin,SUBSTITUTE(CLEAN(TRIM(B67)),CHAR(160),""),_xlpm.rawDate,LEFT(TRIM(H67)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67">
        <f>'Ajoneuvorekisteri-Parse Modern '!G44</f>
        <v>19980820</v>
      </c>
      <c r="I67" t="str">
        <f>LEFT(Table3[[#This Row],[Käyttöönotto]],4)</f>
        <v>1998</v>
      </c>
      <c r="J67" t="str">
        <f>'Ajoneuvorekisteri-Parse Modern '!AA44</f>
        <v>COUPE XKR 4.0-AUTOMATIC-JGEF/259</v>
      </c>
      <c r="K67" t="str">
        <f>Ajoneuvorekisteri_Parse_Modern_XK_Range_TieliikenneAvoinData_30_06_2026_csv[[#This Row],[tyyppihyvaksyntanro]]</f>
        <v>e11*95/54*0061*03</v>
      </c>
      <c r="L67">
        <f>'Ajoneuvorekisteri-Parse Modern '!M44</f>
        <v>1735</v>
      </c>
      <c r="M67">
        <f t="shared" si="11"/>
        <v>0</v>
      </c>
      <c r="N67">
        <f t="shared" si="12"/>
        <v>1</v>
      </c>
      <c r="O67">
        <f t="shared" si="13"/>
        <v>1</v>
      </c>
      <c r="P67">
        <f t="shared" si="14"/>
        <v>0</v>
      </c>
      <c r="Q67">
        <f>IF(AND(Table3[[#This Row],[Coupe]]&lt;&gt;1, Table3[[#This Row],[Convertible]]&lt;&gt;1), 1, 0)</f>
        <v>0</v>
      </c>
      <c r="R67" t="str">
        <f t="shared" si="15"/>
        <v>Coupe</v>
      </c>
    </row>
    <row r="68" spans="1:18" x14ac:dyDescent="0.25">
      <c r="A68">
        <f>'Ajoneuvorekisteri-Parse Modern '!AO133</f>
        <v>2545851</v>
      </c>
      <c r="B68" t="str">
        <f>'Ajoneuvorekisteri-Parse Modern '!AN133</f>
        <v>SAJGX2246W</v>
      </c>
      <c r="C68" t="str">
        <f t="shared" si="8"/>
        <v>X100_AMERICAS_UNIQUE (JLM20301_unique)</v>
      </c>
      <c r="D68" t="str">
        <f t="shared" si="9"/>
        <v>UNKNOWN: [5=X]</v>
      </c>
      <c r="E68" t="str">
        <f t="shared" si="10"/>
        <v>UNKNOWN</v>
      </c>
      <c r="F68" t="str" cm="1">
        <f t="array" ref="F68">_xlfn.LET(_xlpm.v,UPPER(SUBSTITUTE(CLEAN(TRIM(B68)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G68" t="str" cm="1">
        <f t="array" ref="G68">_xlfn.LET(_xlpm.vin,SUBSTITUTE(CLEAN(TRIM(B68)),CHAR(160),""),_xlpm.rawDate,LEFT(TRIM(H68)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68">
        <f>'Ajoneuvorekisteri-Parse Modern '!G133</f>
        <v>19980824</v>
      </c>
      <c r="I68" t="str">
        <f>LEFT(Table3[[#This Row],[Käyttöönotto]],4)</f>
        <v>1998</v>
      </c>
      <c r="J68" t="str">
        <f>'Ajoneuvorekisteri-Parse Modern '!AA133</f>
        <v>2D CONVERTIBLE XK8- 4,0 AUTOMATIC Avoauto (AE) 2ov 3996cm3 A</v>
      </c>
      <c r="K68" t="str">
        <f>Ajoneuvorekisteri_Parse_Modern_XK_Range_TieliikenneAvoinData_30_06_2026_csv[[#This Row],[tyyppihyvaksyntanro]]</f>
        <v>e11*95/54*0061*00</v>
      </c>
      <c r="L68">
        <f>'Ajoneuvorekisteri-Parse Modern '!M133</f>
        <v>1770</v>
      </c>
      <c r="M68">
        <f t="shared" si="11"/>
        <v>1</v>
      </c>
      <c r="N68">
        <f t="shared" si="12"/>
        <v>0</v>
      </c>
      <c r="O68">
        <f t="shared" si="13"/>
        <v>0</v>
      </c>
      <c r="P68">
        <f t="shared" si="14"/>
        <v>1</v>
      </c>
      <c r="Q68">
        <f>IF(AND(Table3[[#This Row],[Coupe]]&lt;&gt;1, Table3[[#This Row],[Convertible]]&lt;&gt;1), 1, 0)</f>
        <v>0</v>
      </c>
      <c r="R68" t="str">
        <f t="shared" si="15"/>
        <v>Convertible</v>
      </c>
    </row>
    <row r="69" spans="1:18" x14ac:dyDescent="0.25">
      <c r="A69">
        <f>'Ajoneuvorekisteri-Parse Modern '!AO179</f>
        <v>3053330</v>
      </c>
      <c r="B69" t="str">
        <f>'Ajoneuvorekisteri-Parse Modern '!AN179</f>
        <v>SAJJGAFD4A</v>
      </c>
      <c r="C69" t="str">
        <f t="shared" si="8"/>
        <v>X100_EARLY_NORMAL_AR (JDHT)</v>
      </c>
      <c r="D69" t="str">
        <f t="shared" si="9"/>
        <v>UNKNOWN: [5=G]</v>
      </c>
      <c r="E69" t="str">
        <f t="shared" si="10"/>
        <v>UNKNOWN</v>
      </c>
      <c r="F69" t="str" cm="1">
        <f t="array" ref="F69">_xlfn.LET(_xlpm.v,UPPER(SUBSTITUTE(CLEAN(TRIM(B69)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69" t="str" cm="1">
        <f t="array" ref="G69">_xlfn.LET(_xlpm.vin,SUBSTITUTE(CLEAN(TRIM(B69)),CHAR(160),""),_xlpm.rawDate,LEFT(TRIM(H69)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69">
        <f>'Ajoneuvorekisteri-Parse Modern '!G179</f>
        <v>19980831</v>
      </c>
      <c r="I69" t="str">
        <f>LEFT(Table3[[#This Row],[Käyttöönotto]],4)</f>
        <v>1998</v>
      </c>
      <c r="J69" t="str">
        <f>'Ajoneuvorekisteri-Parse Modern '!AA179</f>
        <v>JAGUAR XK8 CONVERTIBLE Avoauto (AE) 2ov 3996cm3 A</v>
      </c>
      <c r="K69" t="str">
        <f>Ajoneuvorekisteri_Parse_Modern_XK_Range_TieliikenneAvoinData_30_06_2026_csv[[#This Row],[tyyppihyvaksyntanro]]</f>
        <v>e11*2001/116*0272*00</v>
      </c>
      <c r="L69">
        <f>'Ajoneuvorekisteri-Parse Modern '!M179</f>
        <v>1810</v>
      </c>
      <c r="M69">
        <f t="shared" si="11"/>
        <v>1</v>
      </c>
      <c r="N69">
        <f t="shared" si="12"/>
        <v>0</v>
      </c>
      <c r="O69">
        <f t="shared" si="13"/>
        <v>0</v>
      </c>
      <c r="P69">
        <f t="shared" si="14"/>
        <v>1</v>
      </c>
      <c r="Q69">
        <f>IF(AND(Table3[[#This Row],[Coupe]]&lt;&gt;1, Table3[[#This Row],[Convertible]]&lt;&gt;1), 1, 0)</f>
        <v>0</v>
      </c>
      <c r="R69" t="str">
        <f t="shared" si="15"/>
        <v>Convertible</v>
      </c>
    </row>
    <row r="70" spans="1:18" x14ac:dyDescent="0.25">
      <c r="A70">
        <f>'Ajoneuvorekisteri-Parse Modern '!AO128</f>
        <v>2533258</v>
      </c>
      <c r="B70" t="str">
        <f>'Ajoneuvorekisteri-Parse Modern '!AN128</f>
        <v>SAJGX2246W</v>
      </c>
      <c r="C70" t="str">
        <f t="shared" si="8"/>
        <v>X100_AMERICAS_UNIQUE (JLM20301_unique)</v>
      </c>
      <c r="D70" t="str">
        <f t="shared" si="9"/>
        <v>UNKNOWN: [5=X]</v>
      </c>
      <c r="E70" t="str">
        <f t="shared" si="10"/>
        <v>UNKNOWN</v>
      </c>
      <c r="F70" t="str" cm="1">
        <f t="array" ref="F70">_xlfn.LET(_xlpm.v,UPPER(SUBSTITUTE(CLEAN(TRIM(B70)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X100_AMERICAS_UNIQUE (JLM20301_unique)</v>
      </c>
      <c r="G70" t="str" cm="1">
        <f t="array" ref="G70">_xlfn.LET(_xlpm.vin,SUBSTITUTE(CLEAN(TRIM(B70)),CHAR(160),""),_xlpm.rawDate,LEFT(TRIM(H70)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70">
        <f>'Ajoneuvorekisteri-Parse Modern '!G128</f>
        <v>19980922</v>
      </c>
      <c r="I70" t="str">
        <f>LEFT(Table3[[#This Row],[Käyttöönotto]],4)</f>
        <v>1998</v>
      </c>
      <c r="J70" t="str">
        <f>'Ajoneuvorekisteri-Parse Modern '!AA128</f>
        <v>XK8 Avoauto (AE) 2ov 3990cm3 A</v>
      </c>
      <c r="K70" t="str">
        <f>Ajoneuvorekisteri_Parse_Modern_XK_Range_TieliikenneAvoinData_30_06_2026_csv[[#This Row],[tyyppihyvaksyntanro]]</f>
        <v>e11*95/54*0061*05</v>
      </c>
      <c r="L70">
        <f>'Ajoneuvorekisteri-Parse Modern '!M128</f>
        <v>1820</v>
      </c>
      <c r="M70">
        <f t="shared" si="11"/>
        <v>1</v>
      </c>
      <c r="N70">
        <f t="shared" si="12"/>
        <v>0</v>
      </c>
      <c r="O70">
        <f t="shared" si="13"/>
        <v>0</v>
      </c>
      <c r="P70">
        <f t="shared" si="14"/>
        <v>1</v>
      </c>
      <c r="Q70">
        <f>IF(AND(Table3[[#This Row],[Coupe]]&lt;&gt;1, Table3[[#This Row],[Convertible]]&lt;&gt;1), 1, 0)</f>
        <v>0</v>
      </c>
      <c r="R70" t="str">
        <f t="shared" si="15"/>
        <v>Convertible</v>
      </c>
    </row>
    <row r="71" spans="1:18" x14ac:dyDescent="0.25">
      <c r="A71">
        <f>'Ajoneuvorekisteri-Parse Modern '!AO62</f>
        <v>1680337</v>
      </c>
      <c r="B71" t="str">
        <f>'Ajoneuvorekisteri-Parse Modern '!AN62</f>
        <v>SAJJGAED4A</v>
      </c>
      <c r="C71" t="str">
        <f t="shared" si="8"/>
        <v>X100_EARLY_NORMAL_AR (JDHT)</v>
      </c>
      <c r="D71" t="str">
        <f t="shared" si="9"/>
        <v>UNKNOWN: [5=G]</v>
      </c>
      <c r="E71" t="str">
        <f t="shared" si="10"/>
        <v>UNKNOWN</v>
      </c>
      <c r="F71" t="str" cm="1">
        <f t="array" ref="F71">_xlfn.LET(_xlpm.v,UPPER(SUBSTITUTE(CLEAN(TRIM(B71)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71" t="str" cm="1">
        <f t="array" ref="G71">_xlfn.LET(_xlpm.vin,SUBSTITUTE(CLEAN(TRIM(B71)),CHAR(160),""),_xlpm.rawDate,LEFT(TRIM(H71)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71">
        <f>'Ajoneuvorekisteri-Parse Modern '!G62</f>
        <v>19980930</v>
      </c>
      <c r="I71" t="str">
        <f>LEFT(Table3[[#This Row],[Käyttöönotto]],4)</f>
        <v>1998</v>
      </c>
      <c r="J71" t="str">
        <f>'Ajoneuvorekisteri-Parse Modern '!AA62</f>
        <v>COUPE XK8 4.0-AUTOMATIC-JGAE/259</v>
      </c>
      <c r="K71" t="str">
        <f>Ajoneuvorekisteri_Parse_Modern_XK_Range_TieliikenneAvoinData_30_06_2026_csv[[#This Row],[tyyppihyvaksyntanro]]</f>
        <v/>
      </c>
      <c r="L71">
        <f>'Ajoneuvorekisteri-Parse Modern '!M62</f>
        <v>1690</v>
      </c>
      <c r="M71">
        <f t="shared" si="11"/>
        <v>1</v>
      </c>
      <c r="N71">
        <f t="shared" si="12"/>
        <v>0</v>
      </c>
      <c r="O71">
        <f t="shared" si="13"/>
        <v>1</v>
      </c>
      <c r="P71">
        <f t="shared" si="14"/>
        <v>0</v>
      </c>
      <c r="Q71">
        <f>IF(AND(Table3[[#This Row],[Coupe]]&lt;&gt;1, Table3[[#This Row],[Convertible]]&lt;&gt;1), 1, 0)</f>
        <v>0</v>
      </c>
      <c r="R71" t="str">
        <f t="shared" si="15"/>
        <v>Coupe</v>
      </c>
    </row>
    <row r="72" spans="1:18" x14ac:dyDescent="0.25">
      <c r="A72">
        <f>'Ajoneuvorekisteri-Parse Modern '!AO123</f>
        <v>2505460</v>
      </c>
      <c r="B72" t="str">
        <f>'Ajoneuvorekisteri-Parse Modern '!AN123</f>
        <v>SAJJGAFF4A</v>
      </c>
      <c r="C72" t="str">
        <f t="shared" si="8"/>
        <v>X100_EARLY_NORMAL_AR (JDHT)</v>
      </c>
      <c r="D72" t="str">
        <f t="shared" si="9"/>
        <v>UNKNOWN: [5=G]</v>
      </c>
      <c r="E72" t="str">
        <f t="shared" si="10"/>
        <v>UNKNOWN</v>
      </c>
      <c r="F72" t="str" cm="1">
        <f t="array" ref="F72">_xlfn.LET(_xlpm.v,UPPER(SUBSTITUTE(CLEAN(TRIM(B72)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72" t="str" cm="1">
        <f t="array" ref="G72">_xlfn.LET(_xlpm.vin,SUBSTITUTE(CLEAN(TRIM(B72)),CHAR(160),""),_xlpm.rawDate,LEFT(TRIM(H72)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72">
        <f>'Ajoneuvorekisteri-Parse Modern '!G123</f>
        <v>19981015</v>
      </c>
      <c r="I72" t="str">
        <f>LEFT(Table3[[#This Row],[Käyttöönotto]],4)</f>
        <v>1998</v>
      </c>
      <c r="J72" t="str">
        <f>'Ajoneuvorekisteri-Parse Modern '!AA123</f>
        <v>2D CONVERTIBLE XKR  2ov 3996cm3</v>
      </c>
      <c r="K72" t="str">
        <f>Ajoneuvorekisteri_Parse_Modern_XK_Range_TieliikenneAvoinData_30_06_2026_csv[[#This Row],[tyyppihyvaksyntanro]]</f>
        <v>e11*2001/116*0272*02</v>
      </c>
      <c r="L72">
        <f>'Ajoneuvorekisteri-Parse Modern '!M123</f>
        <v>1825</v>
      </c>
      <c r="M72">
        <f t="shared" si="11"/>
        <v>0</v>
      </c>
      <c r="N72">
        <f t="shared" si="12"/>
        <v>1</v>
      </c>
      <c r="O72">
        <f t="shared" si="13"/>
        <v>0</v>
      </c>
      <c r="P72">
        <f t="shared" si="14"/>
        <v>1</v>
      </c>
      <c r="Q72">
        <f>IF(AND(Table3[[#This Row],[Coupe]]&lt;&gt;1, Table3[[#This Row],[Convertible]]&lt;&gt;1), 1, 0)</f>
        <v>0</v>
      </c>
      <c r="R72" t="str">
        <f t="shared" si="15"/>
        <v>Convertible</v>
      </c>
    </row>
    <row r="73" spans="1:18" x14ac:dyDescent="0.25">
      <c r="A73">
        <f>'Ajoneuvorekisteri-Parse Modern '!AO59</f>
        <v>1644473</v>
      </c>
      <c r="B73" t="str">
        <f>'Ajoneuvorekisteri-Parse Modern '!AN59</f>
        <v>SAJJGAEF4A</v>
      </c>
      <c r="C73" t="str">
        <f t="shared" si="8"/>
        <v>X100_EARLY_NORMAL_AR (JDHT)</v>
      </c>
      <c r="D73" t="str">
        <f t="shared" si="9"/>
        <v>UNKNOWN: [5=G]</v>
      </c>
      <c r="E73" t="str">
        <f t="shared" si="10"/>
        <v>UNKNOWN</v>
      </c>
      <c r="F73" t="str" cm="1">
        <f t="array" ref="F73">_xlfn.LET(_xlpm.v,UPPER(SUBSTITUTE(CLEAN(TRIM(B73)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73" t="str" cm="1">
        <f t="array" ref="G73">_xlfn.LET(_xlpm.vin,SUBSTITUTE(CLEAN(TRIM(B73)),CHAR(160),""),_xlpm.rawDate,LEFT(TRIM(H73)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73">
        <f>'Ajoneuvorekisteri-Parse Modern '!G59</f>
        <v>19981117</v>
      </c>
      <c r="I73" t="str">
        <f>LEFT(Table3[[#This Row],[Käyttöönotto]],4)</f>
        <v>1998</v>
      </c>
      <c r="J73" t="str">
        <f>'Ajoneuvorekisteri-Parse Modern '!AA59</f>
        <v>COUPE XKR 4.0-AUTOMATIC-JGAE/259</v>
      </c>
      <c r="K73" t="str">
        <f>Ajoneuvorekisteri_Parse_Modern_XK_Range_TieliikenneAvoinData_30_06_2026_csv[[#This Row],[tyyppihyvaksyntanro]]</f>
        <v/>
      </c>
      <c r="L73">
        <f>'Ajoneuvorekisteri-Parse Modern '!M59</f>
        <v>1715</v>
      </c>
      <c r="M73">
        <f t="shared" si="11"/>
        <v>0</v>
      </c>
      <c r="N73">
        <f t="shared" si="12"/>
        <v>1</v>
      </c>
      <c r="O73">
        <f t="shared" si="13"/>
        <v>1</v>
      </c>
      <c r="P73">
        <f t="shared" si="14"/>
        <v>0</v>
      </c>
      <c r="Q73">
        <f>IF(AND(Table3[[#This Row],[Coupe]]&lt;&gt;1, Table3[[#This Row],[Convertible]]&lt;&gt;1), 1, 0)</f>
        <v>0</v>
      </c>
      <c r="R73" t="str">
        <f t="shared" si="15"/>
        <v>Coupe</v>
      </c>
    </row>
    <row r="74" spans="1:18" x14ac:dyDescent="0.25">
      <c r="A74">
        <f>'Ajoneuvorekisteri-Parse Modern '!AO155</f>
        <v>2724149</v>
      </c>
      <c r="B74" t="str">
        <f>'Ajoneuvorekisteri-Parse Modern '!AN155</f>
        <v>SAJJGAFD4A</v>
      </c>
      <c r="C74" t="str">
        <f t="shared" si="8"/>
        <v>X100_EARLY_NORMAL_AR (JDHT)</v>
      </c>
      <c r="D74" t="str">
        <f t="shared" si="9"/>
        <v>UNKNOWN: [5=G]</v>
      </c>
      <c r="E74" t="str">
        <f t="shared" si="10"/>
        <v>UNKNOWN</v>
      </c>
      <c r="F74" t="str" cm="1">
        <f t="array" ref="F74">_xlfn.LET(_xlpm.v,UPPER(SUBSTITUTE(CLEAN(TRIM(B74)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74" t="str" cm="1">
        <f t="array" ref="G74">_xlfn.LET(_xlpm.vin,SUBSTITUTE(CLEAN(TRIM(B74)),CHAR(160),""),_xlpm.rawDate,LEFT(TRIM(H74)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74">
        <f>'Ajoneuvorekisteri-Parse Modern '!G155</f>
        <v>19981211</v>
      </c>
      <c r="I74" t="str">
        <f>LEFT(Table3[[#This Row],[Käyttöönotto]],4)</f>
        <v>1998</v>
      </c>
      <c r="J74" t="str">
        <f>'Ajoneuvorekisteri-Parse Modern '!AA155</f>
        <v>Jaguar XK8 4.0-AUTOMATIC Avoauto (AE) 2ov 3996cm3 A</v>
      </c>
      <c r="K74" t="str">
        <f>Ajoneuvorekisteri_Parse_Modern_XK_Range_TieliikenneAvoinData_30_06_2026_csv[[#This Row],[tyyppihyvaksyntanro]]</f>
        <v>e11*2001/116*0272*01</v>
      </c>
      <c r="L74">
        <f>'Ajoneuvorekisteri-Parse Modern '!M155</f>
        <v>1780</v>
      </c>
      <c r="M74">
        <f t="shared" si="11"/>
        <v>1</v>
      </c>
      <c r="N74">
        <f t="shared" si="12"/>
        <v>0</v>
      </c>
      <c r="O74">
        <f t="shared" si="13"/>
        <v>0</v>
      </c>
      <c r="P74">
        <f t="shared" si="14"/>
        <v>1</v>
      </c>
      <c r="Q74">
        <f>IF(AND(Table3[[#This Row],[Coupe]]&lt;&gt;1, Table3[[#This Row],[Convertible]]&lt;&gt;1), 1, 0)</f>
        <v>0</v>
      </c>
      <c r="R74" t="str">
        <f t="shared" si="15"/>
        <v>Convertible</v>
      </c>
    </row>
    <row r="75" spans="1:18" x14ac:dyDescent="0.25">
      <c r="A75">
        <f>'Ajoneuvorekisteri-Parse Modern '!AO24</f>
        <v>806386</v>
      </c>
      <c r="B75" t="str">
        <f>'Ajoneuvorekisteri-Parse Modern '!AN24</f>
        <v>SAJJGAED4A</v>
      </c>
      <c r="C75" t="str">
        <f t="shared" si="8"/>
        <v>X100_EARLY_NORMAL_AR (JDHT)</v>
      </c>
      <c r="D75" t="str">
        <f t="shared" si="9"/>
        <v>UNKNOWN: [5=G]</v>
      </c>
      <c r="E75" t="str">
        <f t="shared" si="10"/>
        <v>UNKNOWN</v>
      </c>
      <c r="F75" t="str" cm="1">
        <f t="array" ref="F75">_xlfn.LET(_xlpm.v,UPPER(SUBSTITUTE(CLEAN(TRIM(B75)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75" t="str" cm="1">
        <f t="array" ref="G75">_xlfn.LET(_xlpm.vin,SUBSTITUTE(CLEAN(TRIM(B75)),CHAR(160),""),_xlpm.rawDate,LEFT(TRIM(H75)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75">
        <f>'Ajoneuvorekisteri-Parse Modern '!G24</f>
        <v>19981223</v>
      </c>
      <c r="I75" t="str">
        <f>LEFT(Table3[[#This Row],[Käyttöönotto]],4)</f>
        <v>1998</v>
      </c>
      <c r="J75" t="str">
        <f>'Ajoneuvorekisteri-Parse Modern '!AA24</f>
        <v>COUPE XK8 4.0-AUTOMATIC-JGED/259</v>
      </c>
      <c r="K75" t="str">
        <f>Ajoneuvorekisteri_Parse_Modern_XK_Range_TieliikenneAvoinData_30_06_2026_csv[[#This Row],[tyyppihyvaksyntanro]]</f>
        <v>e11*2001/116*0272*02</v>
      </c>
      <c r="L75">
        <f>'Ajoneuvorekisteri-Parse Modern '!M24</f>
        <v>1720</v>
      </c>
      <c r="M75">
        <f t="shared" si="11"/>
        <v>1</v>
      </c>
      <c r="N75">
        <f t="shared" si="12"/>
        <v>0</v>
      </c>
      <c r="O75">
        <f t="shared" si="13"/>
        <v>1</v>
      </c>
      <c r="P75">
        <f t="shared" si="14"/>
        <v>0</v>
      </c>
      <c r="Q75">
        <f>IF(AND(Table3[[#This Row],[Coupe]]&lt;&gt;1, Table3[[#This Row],[Convertible]]&lt;&gt;1), 1, 0)</f>
        <v>0</v>
      </c>
      <c r="R75" t="str">
        <f t="shared" si="15"/>
        <v>Coupe</v>
      </c>
    </row>
    <row r="76" spans="1:18" x14ac:dyDescent="0.25">
      <c r="A76">
        <f>'Ajoneuvorekisteri-Parse Modern '!AO101</f>
        <v>2278798</v>
      </c>
      <c r="B76" t="str">
        <f>'Ajoneuvorekisteri-Parse Modern '!AN101</f>
        <v>SAJGX504XX</v>
      </c>
      <c r="C76" t="str">
        <f t="shared" si="8"/>
        <v>UNKNOWN: [7=0]</v>
      </c>
      <c r="D76" t="str">
        <f t="shared" si="9"/>
        <v>UNKNOWN: [5=X]</v>
      </c>
      <c r="E76" t="str">
        <f t="shared" si="10"/>
        <v>UNKNOWN</v>
      </c>
      <c r="F76" t="str" cm="1">
        <f t="array" ref="F76">_xlfn.LET(_xlpm.v,UPPER(SUBSTITUTE(CLEAN(TRIM(B76)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[7=0]</v>
      </c>
      <c r="G76" t="str" cm="1">
        <f t="array" ref="G76">_xlfn.LET(_xlpm.vin,SUBSTITUTE(CLEAN(TRIM(B76)),CHAR(160),""),_xlpm.rawDate,LEFT(TRIM(H76)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76">
        <f>'Ajoneuvorekisteri-Parse Modern '!G101</f>
        <v>19990000</v>
      </c>
      <c r="I76" t="str">
        <f>LEFT(Table3[[#This Row],[Käyttöönotto]],4)</f>
        <v>1999</v>
      </c>
      <c r="J76" t="str">
        <f>'Ajoneuvorekisteri-Parse Modern '!AA101</f>
        <v>XK8 Coup� (AD) 2ov 3996cm3 A</v>
      </c>
      <c r="K76" t="str">
        <f>Ajoneuvorekisteri_Parse_Modern_XK_Range_TieliikenneAvoinData_30_06_2026_csv[[#This Row],[tyyppihyvaksyntanro]]</f>
        <v>E11*95/54*0061</v>
      </c>
      <c r="L76">
        <f>'Ajoneuvorekisteri-Parse Modern '!M101</f>
        <v>1682</v>
      </c>
      <c r="M76">
        <f t="shared" si="11"/>
        <v>1</v>
      </c>
      <c r="N76">
        <f t="shared" si="12"/>
        <v>0</v>
      </c>
      <c r="O76">
        <f t="shared" si="13"/>
        <v>1</v>
      </c>
      <c r="P76">
        <f t="shared" si="14"/>
        <v>0</v>
      </c>
      <c r="Q76">
        <f>IF(AND(Table3[[#This Row],[Coupe]]&lt;&gt;1, Table3[[#This Row],[Convertible]]&lt;&gt;1), 1, 0)</f>
        <v>0</v>
      </c>
      <c r="R76" t="str">
        <f t="shared" si="15"/>
        <v>Coupe</v>
      </c>
    </row>
    <row r="77" spans="1:18" x14ac:dyDescent="0.25">
      <c r="A77">
        <f>'Ajoneuvorekisteri-Parse Modern '!AO166</f>
        <v>2876187</v>
      </c>
      <c r="B77" t="str">
        <f>'Ajoneuvorekisteri-Parse Modern '!AN166</f>
        <v>SAJGX2047X</v>
      </c>
      <c r="C77" t="str">
        <f t="shared" si="8"/>
        <v>UNKNOWN: [7=0]</v>
      </c>
      <c r="D77" t="str">
        <f t="shared" si="9"/>
        <v>UNKNOWN: [5=X]</v>
      </c>
      <c r="E77" t="str">
        <f t="shared" si="10"/>
        <v>UNKNOWN</v>
      </c>
      <c r="F77" t="str" cm="1">
        <f t="array" ref="F77">_xlfn.LET(_xlpm.v,UPPER(SUBSTITUTE(CLEAN(TRIM(B77)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[7=0]</v>
      </c>
      <c r="G77" t="str" cm="1">
        <f t="array" ref="G77">_xlfn.LET(_xlpm.vin,SUBSTITUTE(CLEAN(TRIM(B77)),CHAR(160),""),_xlpm.rawDate,LEFT(TRIM(H77)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77">
        <f>'Ajoneuvorekisteri-Parse Modern '!G166</f>
        <v>19990000</v>
      </c>
      <c r="I77" t="str">
        <f>LEFT(Table3[[#This Row],[Käyttöönotto]],4)</f>
        <v>1999</v>
      </c>
      <c r="J77" t="str">
        <f>'Ajoneuvorekisteri-Parse Modern '!AA166</f>
        <v>XK8 Avoauto (AE) 2ov 3996cm3 A</v>
      </c>
      <c r="K77" t="str">
        <f>Ajoneuvorekisteri_Parse_Modern_XK_Range_TieliikenneAvoinData_30_06_2026_csv[[#This Row],[tyyppihyvaksyntanro]]</f>
        <v>e11*2001/116*0272*03</v>
      </c>
      <c r="L77">
        <f>'Ajoneuvorekisteri-Parse Modern '!M166</f>
        <v>1780</v>
      </c>
      <c r="M77">
        <f t="shared" si="11"/>
        <v>1</v>
      </c>
      <c r="N77">
        <f t="shared" si="12"/>
        <v>0</v>
      </c>
      <c r="O77">
        <f t="shared" si="13"/>
        <v>0</v>
      </c>
      <c r="P77">
        <f t="shared" si="14"/>
        <v>1</v>
      </c>
      <c r="Q77">
        <f>IF(AND(Table3[[#This Row],[Coupe]]&lt;&gt;1, Table3[[#This Row],[Convertible]]&lt;&gt;1), 1, 0)</f>
        <v>0</v>
      </c>
      <c r="R77" t="str">
        <f t="shared" si="15"/>
        <v>Convertible</v>
      </c>
    </row>
    <row r="78" spans="1:18" x14ac:dyDescent="0.25">
      <c r="A78">
        <f>'Ajoneuvorekisteri-Parse Modern '!AO159</f>
        <v>2836001</v>
      </c>
      <c r="B78" t="str">
        <f>'Ajoneuvorekisteri-Parse Modern '!AN159</f>
        <v>SAJJGXFE4X</v>
      </c>
      <c r="C78" t="str">
        <f t="shared" si="8"/>
        <v>UNKNOWN: [8=E]</v>
      </c>
      <c r="D78" t="str">
        <f t="shared" si="9"/>
        <v>UNKNOWN: [5=G]</v>
      </c>
      <c r="E78" t="str">
        <f t="shared" si="10"/>
        <v>UNKNOWN</v>
      </c>
      <c r="F78" t="str" cm="1">
        <f t="array" ref="F78">_xlfn.LET(_xlpm.v,UPPER(SUBSTITUTE(CLEAN(TRIM(B78)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[8=E]</v>
      </c>
      <c r="G78" t="str" cm="1">
        <f t="array" ref="G78">_xlfn.LET(_xlpm.vin,SUBSTITUTE(CLEAN(TRIM(B78)),CHAR(160),""),_xlpm.rawDate,LEFT(TRIM(H78)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78">
        <f>'Ajoneuvorekisteri-Parse Modern '!G159</f>
        <v>19990000</v>
      </c>
      <c r="I78" t="str">
        <f>LEFT(Table3[[#This Row],[Käyttöönotto]],4)</f>
        <v>1999</v>
      </c>
      <c r="J78" t="str">
        <f>'Ajoneuvorekisteri-Parse Modern '!AA159</f>
        <v>XK8  2ov 3990cm3 A</v>
      </c>
      <c r="K78" t="str">
        <f>Ajoneuvorekisteri_Parse_Modern_XK_Range_TieliikenneAvoinData_30_06_2026_csv[[#This Row],[tyyppihyvaksyntanro]]</f>
        <v>e11*2001/116*0272*00</v>
      </c>
      <c r="L78">
        <f>'Ajoneuvorekisteri-Parse Modern '!M159</f>
        <v>1845</v>
      </c>
      <c r="M78">
        <f t="shared" si="11"/>
        <v>1</v>
      </c>
      <c r="N78">
        <f t="shared" si="12"/>
        <v>0</v>
      </c>
      <c r="O78">
        <f t="shared" si="13"/>
        <v>0</v>
      </c>
      <c r="P78">
        <f t="shared" si="14"/>
        <v>0</v>
      </c>
      <c r="Q78">
        <f>IF(AND(Table3[[#This Row],[Coupe]]&lt;&gt;1, Table3[[#This Row],[Convertible]]&lt;&gt;1), 1, 0)</f>
        <v>1</v>
      </c>
      <c r="R78" t="str">
        <f t="shared" si="15"/>
        <v>Unknown</v>
      </c>
    </row>
    <row r="79" spans="1:18" x14ac:dyDescent="0.25">
      <c r="A79">
        <f>'Ajoneuvorekisteri-Parse Modern '!AO82</f>
        <v>2062428</v>
      </c>
      <c r="B79" t="str">
        <f>'Ajoneuvorekisteri-Parse Modern '!AN82</f>
        <v>SAJJGAEF4A</v>
      </c>
      <c r="C79" t="str">
        <f t="shared" si="8"/>
        <v>X100_EARLY_NORMAL_AR (JDHT)</v>
      </c>
      <c r="D79" t="str">
        <f t="shared" si="9"/>
        <v>UNKNOWN: [5=G]</v>
      </c>
      <c r="E79" t="str">
        <f t="shared" si="10"/>
        <v>UNKNOWN</v>
      </c>
      <c r="F79" t="str" cm="1">
        <f t="array" ref="F79">_xlfn.LET(_xlpm.v,UPPER(SUBSTITUTE(CLEAN(TRIM(B79)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79" t="str" cm="1">
        <f t="array" ref="G79">_xlfn.LET(_xlpm.vin,SUBSTITUTE(CLEAN(TRIM(B79)),CHAR(160),""),_xlpm.rawDate,LEFT(TRIM(H79)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79">
        <f>'Ajoneuvorekisteri-Parse Modern '!G82</f>
        <v>19990101</v>
      </c>
      <c r="I79" t="str">
        <f>LEFT(Table3[[#This Row],[Käyttöönotto]],4)</f>
        <v>1999</v>
      </c>
      <c r="J79" t="str">
        <f>'Ajoneuvorekisteri-Parse Modern '!AA82</f>
        <v>XKR Coup� (AD) 2ov 3999cm3 A</v>
      </c>
      <c r="K79" t="str">
        <f>Ajoneuvorekisteri_Parse_Modern_XK_Range_TieliikenneAvoinData_30_06_2026_csv[[#This Row],[tyyppihyvaksyntanro]]</f>
        <v>e11*2001/116*0272*00</v>
      </c>
      <c r="L79">
        <f>'Ajoneuvorekisteri-Parse Modern '!M82</f>
        <v>1735</v>
      </c>
      <c r="M79">
        <f t="shared" si="11"/>
        <v>0</v>
      </c>
      <c r="N79">
        <f t="shared" si="12"/>
        <v>1</v>
      </c>
      <c r="O79">
        <f t="shared" si="13"/>
        <v>1</v>
      </c>
      <c r="P79">
        <f t="shared" si="14"/>
        <v>0</v>
      </c>
      <c r="Q79">
        <f>IF(AND(Table3[[#This Row],[Coupe]]&lt;&gt;1, Table3[[#This Row],[Convertible]]&lt;&gt;1), 1, 0)</f>
        <v>0</v>
      </c>
      <c r="R79" t="str">
        <f t="shared" si="15"/>
        <v>Coupe</v>
      </c>
    </row>
    <row r="80" spans="1:18" x14ac:dyDescent="0.25">
      <c r="A80">
        <f>'Ajoneuvorekisteri-Parse Modern '!AO124</f>
        <v>2515753</v>
      </c>
      <c r="B80" t="str">
        <f>'Ajoneuvorekisteri-Parse Modern '!AN124</f>
        <v>SAJGX2043X</v>
      </c>
      <c r="C80" t="str">
        <f t="shared" si="8"/>
        <v>UNKNOWN: [7=0]</v>
      </c>
      <c r="D80" t="str">
        <f t="shared" si="9"/>
        <v>UNKNOWN: [5=X]</v>
      </c>
      <c r="E80" t="str">
        <f t="shared" si="10"/>
        <v>UNKNOWN</v>
      </c>
      <c r="F80" t="str" cm="1">
        <f t="array" ref="F80">_xlfn.LET(_xlpm.v,UPPER(SUBSTITUTE(CLEAN(TRIM(B80)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[7=0]</v>
      </c>
      <c r="G80" t="str" cm="1">
        <f t="array" ref="G80">_xlfn.LET(_xlpm.vin,SUBSTITUTE(CLEAN(TRIM(B80)),CHAR(160),""),_xlpm.rawDate,LEFT(TRIM(H80)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80">
        <f>'Ajoneuvorekisteri-Parse Modern '!G124</f>
        <v>19990101</v>
      </c>
      <c r="I80" t="str">
        <f>LEFT(Table3[[#This Row],[Käyttöönotto]],4)</f>
        <v>1999</v>
      </c>
      <c r="J80" t="str">
        <f>'Ajoneuvorekisteri-Parse Modern '!AA124</f>
        <v>XK8 Avoauto (AE) 2ov 3996cm3 A</v>
      </c>
      <c r="K80" t="str">
        <f>Ajoneuvorekisteri_Parse_Modern_XK_Range_TieliikenneAvoinData_30_06_2026_csv[[#This Row],[tyyppihyvaksyntanro]]</f>
        <v/>
      </c>
      <c r="L80">
        <f>'Ajoneuvorekisteri-Parse Modern '!M124</f>
        <v>1690</v>
      </c>
      <c r="M80">
        <f t="shared" si="11"/>
        <v>1</v>
      </c>
      <c r="N80">
        <f t="shared" si="12"/>
        <v>0</v>
      </c>
      <c r="O80">
        <f t="shared" si="13"/>
        <v>0</v>
      </c>
      <c r="P80">
        <f t="shared" si="14"/>
        <v>1</v>
      </c>
      <c r="Q80">
        <f>IF(AND(Table3[[#This Row],[Coupe]]&lt;&gt;1, Table3[[#This Row],[Convertible]]&lt;&gt;1), 1, 0)</f>
        <v>0</v>
      </c>
      <c r="R80" t="str">
        <f t="shared" si="15"/>
        <v>Convertible</v>
      </c>
    </row>
    <row r="81" spans="1:18" x14ac:dyDescent="0.25">
      <c r="A81">
        <f>'Ajoneuvorekisteri-Parse Modern '!AO97</f>
        <v>2192182</v>
      </c>
      <c r="B81" t="str">
        <f>'Ajoneuvorekisteri-Parse Modern '!AN97</f>
        <v>SAJJGAFF4A</v>
      </c>
      <c r="C81" t="str">
        <f t="shared" si="8"/>
        <v>X100_EARLY_NORMAL_AR (JDHT)</v>
      </c>
      <c r="D81" t="str">
        <f t="shared" si="9"/>
        <v>UNKNOWN: [5=G]</v>
      </c>
      <c r="E81" t="str">
        <f t="shared" si="10"/>
        <v>UNKNOWN</v>
      </c>
      <c r="F81" t="str" cm="1">
        <f t="array" ref="F81">_xlfn.LET(_xlpm.v,UPPER(SUBSTITUTE(CLEAN(TRIM(B81)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81" t="str" cm="1">
        <f t="array" ref="G81">_xlfn.LET(_xlpm.vin,SUBSTITUTE(CLEAN(TRIM(B81)),CHAR(160),""),_xlpm.rawDate,LEFT(TRIM(H81)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81">
        <f>'Ajoneuvorekisteri-Parse Modern '!G97</f>
        <v>19990125</v>
      </c>
      <c r="I81" t="str">
        <f>LEFT(Table3[[#This Row],[Käyttöönotto]],4)</f>
        <v>1999</v>
      </c>
      <c r="J81" t="str">
        <f>'Ajoneuvorekisteri-Parse Modern '!AA97</f>
        <v>XKR Cabriolet Avoauto (AE) 2ov 3996cm3 A</v>
      </c>
      <c r="K81" t="str">
        <f>Ajoneuvorekisteri_Parse_Modern_XK_Range_TieliikenneAvoinData_30_06_2026_csv[[#This Row],[tyyppihyvaksyntanro]]</f>
        <v>e11*95/54*0061*08</v>
      </c>
      <c r="L81">
        <f>'Ajoneuvorekisteri-Parse Modern '!M97</f>
        <v>1680</v>
      </c>
      <c r="M81">
        <f t="shared" si="11"/>
        <v>0</v>
      </c>
      <c r="N81">
        <f t="shared" si="12"/>
        <v>1</v>
      </c>
      <c r="O81">
        <f t="shared" si="13"/>
        <v>0</v>
      </c>
      <c r="P81">
        <f t="shared" si="14"/>
        <v>1</v>
      </c>
      <c r="Q81">
        <f>IF(AND(Table3[[#This Row],[Coupe]]&lt;&gt;1, Table3[[#This Row],[Convertible]]&lt;&gt;1), 1, 0)</f>
        <v>0</v>
      </c>
      <c r="R81" t="str">
        <f t="shared" si="15"/>
        <v>Convertible</v>
      </c>
    </row>
    <row r="82" spans="1:18" x14ac:dyDescent="0.25">
      <c r="A82">
        <f>'Ajoneuvorekisteri-Parse Modern '!AO15</f>
        <v>532950</v>
      </c>
      <c r="B82" t="str">
        <f>'Ajoneuvorekisteri-Parse Modern '!AN15</f>
        <v>SAJJGAED4A</v>
      </c>
      <c r="C82" t="str">
        <f t="shared" si="8"/>
        <v>X100_EARLY_NORMAL_AR (JDHT)</v>
      </c>
      <c r="D82" t="str">
        <f t="shared" si="9"/>
        <v>UNKNOWN: [5=G]</v>
      </c>
      <c r="E82" t="str">
        <f t="shared" si="10"/>
        <v>UNKNOWN</v>
      </c>
      <c r="F82" t="str" cm="1">
        <f t="array" ref="F82">_xlfn.LET(_xlpm.v,UPPER(SUBSTITUTE(CLEAN(TRIM(B82)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82" t="str" cm="1">
        <f t="array" ref="G82">_xlfn.LET(_xlpm.vin,SUBSTITUTE(CLEAN(TRIM(B82)),CHAR(160),""),_xlpm.rawDate,LEFT(TRIM(H82)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82">
        <f>'Ajoneuvorekisteri-Parse Modern '!G15</f>
        <v>19990205</v>
      </c>
      <c r="I82" t="str">
        <f>LEFT(Table3[[#This Row],[Käyttöönotto]],4)</f>
        <v>1999</v>
      </c>
      <c r="J82" t="str">
        <f>'Ajoneuvorekisteri-Parse Modern '!AA15</f>
        <v>COUPE XK8 4.0-AUTOMATIC-JGED/259</v>
      </c>
      <c r="K82" t="str">
        <f>Ajoneuvorekisteri_Parse_Modern_XK_Range_TieliikenneAvoinData_30_06_2026_csv[[#This Row],[tyyppihyvaksyntanro]]</f>
        <v/>
      </c>
      <c r="L82">
        <f>'Ajoneuvorekisteri-Parse Modern '!M15</f>
        <v>1720</v>
      </c>
      <c r="M82">
        <f t="shared" si="11"/>
        <v>1</v>
      </c>
      <c r="N82">
        <f t="shared" si="12"/>
        <v>0</v>
      </c>
      <c r="O82">
        <f t="shared" si="13"/>
        <v>1</v>
      </c>
      <c r="P82">
        <f t="shared" si="14"/>
        <v>0</v>
      </c>
      <c r="Q82">
        <f>IF(AND(Table3[[#This Row],[Coupe]]&lt;&gt;1, Table3[[#This Row],[Convertible]]&lt;&gt;1), 1, 0)</f>
        <v>0</v>
      </c>
      <c r="R82" t="str">
        <f t="shared" si="15"/>
        <v>Coupe</v>
      </c>
    </row>
    <row r="83" spans="1:18" x14ac:dyDescent="0.25">
      <c r="A83">
        <f>'Ajoneuvorekisteri-Parse Modern '!AO134</f>
        <v>2549515</v>
      </c>
      <c r="B83" t="str">
        <f>'Ajoneuvorekisteri-Parse Modern '!AN134</f>
        <v>SAJGX2040X</v>
      </c>
      <c r="C83" t="str">
        <f t="shared" si="8"/>
        <v>UNKNOWN: [7=0]</v>
      </c>
      <c r="D83" t="str">
        <f t="shared" si="9"/>
        <v>UNKNOWN: [5=X]</v>
      </c>
      <c r="E83" t="str">
        <f t="shared" si="10"/>
        <v>UNKNOWN</v>
      </c>
      <c r="F83" t="str" cm="1">
        <f t="array" ref="F83">_xlfn.LET(_xlpm.v,UPPER(SUBSTITUTE(CLEAN(TRIM(B83)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[7=0]</v>
      </c>
      <c r="G83" t="str" cm="1">
        <f t="array" ref="G83">_xlfn.LET(_xlpm.vin,SUBSTITUTE(CLEAN(TRIM(B83)),CHAR(160),""),_xlpm.rawDate,LEFT(TRIM(H83)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83">
        <f>'Ajoneuvorekisteri-Parse Modern '!G134</f>
        <v>19990205</v>
      </c>
      <c r="I83" t="str">
        <f>LEFT(Table3[[#This Row],[Käyttöönotto]],4)</f>
        <v>1999</v>
      </c>
      <c r="J83" t="str">
        <f>'Ajoneuvorekisteri-Parse Modern '!AA134</f>
        <v>XK8 Avoauto (AE) 2ov 3996cm3 A</v>
      </c>
      <c r="K83" t="str">
        <f>Ajoneuvorekisteri_Parse_Modern_XK_Range_TieliikenneAvoinData_30_06_2026_csv[[#This Row],[tyyppihyvaksyntanro]]</f>
        <v>e11*95/54*0061*00</v>
      </c>
      <c r="L83">
        <f>'Ajoneuvorekisteri-Parse Modern '!M134</f>
        <v>1780</v>
      </c>
      <c r="M83">
        <f t="shared" si="11"/>
        <v>1</v>
      </c>
      <c r="N83">
        <f t="shared" si="12"/>
        <v>0</v>
      </c>
      <c r="O83">
        <f t="shared" si="13"/>
        <v>0</v>
      </c>
      <c r="P83">
        <f t="shared" si="14"/>
        <v>1</v>
      </c>
      <c r="Q83">
        <f>IF(AND(Table3[[#This Row],[Coupe]]&lt;&gt;1, Table3[[#This Row],[Convertible]]&lt;&gt;1), 1, 0)</f>
        <v>0</v>
      </c>
      <c r="R83" t="str">
        <f t="shared" si="15"/>
        <v>Convertible</v>
      </c>
    </row>
    <row r="84" spans="1:18" x14ac:dyDescent="0.25">
      <c r="A84">
        <f>'Ajoneuvorekisteri-Parse Modern '!AO9</f>
        <v>167621</v>
      </c>
      <c r="B84" t="str">
        <f>'Ajoneuvorekisteri-Parse Modern '!AN9</f>
        <v>SAJJGAED4A</v>
      </c>
      <c r="C84" t="str">
        <f t="shared" si="8"/>
        <v>X100_EARLY_NORMAL_AR (JDHT)</v>
      </c>
      <c r="D84" t="str">
        <f t="shared" si="9"/>
        <v>UNKNOWN: [5=G]</v>
      </c>
      <c r="E84" t="str">
        <f t="shared" si="10"/>
        <v>UNKNOWN</v>
      </c>
      <c r="F84" t="str" cm="1">
        <f t="array" ref="F84">_xlfn.LET(_xlpm.v,UPPER(SUBSTITUTE(CLEAN(TRIM(B84)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84" t="str" cm="1">
        <f t="array" ref="G84">_xlfn.LET(_xlpm.vin,SUBSTITUTE(CLEAN(TRIM(B84)),CHAR(160),""),_xlpm.rawDate,LEFT(TRIM(H84)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84">
        <f>'Ajoneuvorekisteri-Parse Modern '!G9</f>
        <v>19990225</v>
      </c>
      <c r="I84" t="str">
        <f>LEFT(Table3[[#This Row],[Käyttöönotto]],4)</f>
        <v>1999</v>
      </c>
      <c r="J84" t="str">
        <f>'Ajoneuvorekisteri-Parse Modern '!AA9</f>
        <v>COUPE XK8 4.0-AUTOMATIC-JGED/259</v>
      </c>
      <c r="K84" t="str">
        <f>Ajoneuvorekisteri_Parse_Modern_XK_Range_TieliikenneAvoinData_30_06_2026_csv[[#This Row],[tyyppihyvaksyntanro]]</f>
        <v/>
      </c>
      <c r="L84">
        <f>'Ajoneuvorekisteri-Parse Modern '!M9</f>
        <v>1720</v>
      </c>
      <c r="M84">
        <f t="shared" si="11"/>
        <v>1</v>
      </c>
      <c r="N84">
        <f t="shared" si="12"/>
        <v>0</v>
      </c>
      <c r="O84">
        <f t="shared" si="13"/>
        <v>1</v>
      </c>
      <c r="P84">
        <f t="shared" si="14"/>
        <v>0</v>
      </c>
      <c r="Q84">
        <f>IF(AND(Table3[[#This Row],[Coupe]]&lt;&gt;1, Table3[[#This Row],[Convertible]]&lt;&gt;1), 1, 0)</f>
        <v>0</v>
      </c>
      <c r="R84" t="str">
        <f t="shared" si="15"/>
        <v>Coupe</v>
      </c>
    </row>
    <row r="85" spans="1:18" x14ac:dyDescent="0.25">
      <c r="A85">
        <f>'Ajoneuvorekisteri-Parse Modern '!AO52</f>
        <v>1428353</v>
      </c>
      <c r="B85" t="str">
        <f>'Ajoneuvorekisteri-Parse Modern '!AN52</f>
        <v>SAJGX2040X</v>
      </c>
      <c r="C85" t="str">
        <f t="shared" si="8"/>
        <v>UNKNOWN: [7=0]</v>
      </c>
      <c r="D85" t="str">
        <f t="shared" si="9"/>
        <v>UNKNOWN: [5=X]</v>
      </c>
      <c r="E85" t="str">
        <f t="shared" si="10"/>
        <v>UNKNOWN</v>
      </c>
      <c r="F85" t="str" cm="1">
        <f t="array" ref="F85">_xlfn.LET(_xlpm.v,UPPER(SUBSTITUTE(CLEAN(TRIM(B85)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[7=0]</v>
      </c>
      <c r="G85" t="str" cm="1">
        <f t="array" ref="G85">_xlfn.LET(_xlpm.vin,SUBSTITUTE(CLEAN(TRIM(B85)),CHAR(160),""),_xlpm.rawDate,LEFT(TRIM(H85)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85">
        <f>'Ajoneuvorekisteri-Parse Modern '!G52</f>
        <v>19990304</v>
      </c>
      <c r="I85" t="str">
        <f>LEFT(Table3[[#This Row],[Käyttöönotto]],4)</f>
        <v>1999</v>
      </c>
      <c r="J85" t="str">
        <f>'Ajoneuvorekisteri-Parse Modern '!AA52</f>
        <v>2D CONVERTIBLE XK8 4.0-AUTOMATIC-JGX2/259</v>
      </c>
      <c r="K85" t="str">
        <f>Ajoneuvorekisteri_Parse_Modern_XK_Range_TieliikenneAvoinData_30_06_2026_csv[[#This Row],[tyyppihyvaksyntanro]]</f>
        <v>E11*95/54*0061*03</v>
      </c>
      <c r="L85">
        <f>'Ajoneuvorekisteri-Parse Modern '!M52</f>
        <v>1720</v>
      </c>
      <c r="M85">
        <f t="shared" si="11"/>
        <v>1</v>
      </c>
      <c r="N85">
        <f t="shared" si="12"/>
        <v>0</v>
      </c>
      <c r="O85">
        <f t="shared" si="13"/>
        <v>0</v>
      </c>
      <c r="P85">
        <f t="shared" si="14"/>
        <v>1</v>
      </c>
      <c r="Q85">
        <f>IF(AND(Table3[[#This Row],[Coupe]]&lt;&gt;1, Table3[[#This Row],[Convertible]]&lt;&gt;1), 1, 0)</f>
        <v>0</v>
      </c>
      <c r="R85" t="str">
        <f t="shared" si="15"/>
        <v>Convertible</v>
      </c>
    </row>
    <row r="86" spans="1:18" x14ac:dyDescent="0.25">
      <c r="A86">
        <f>'Ajoneuvorekisteri-Parse Modern '!AO85</f>
        <v>2090552</v>
      </c>
      <c r="B86" t="str">
        <f>'Ajoneuvorekisteri-Parse Modern '!AN85</f>
        <v>SAJJGAEF4A</v>
      </c>
      <c r="C86" t="str">
        <f t="shared" si="8"/>
        <v>X100_EARLY_NORMAL_AR (JDHT)</v>
      </c>
      <c r="D86" t="str">
        <f t="shared" si="9"/>
        <v>UNKNOWN: [5=G]</v>
      </c>
      <c r="E86" t="str">
        <f t="shared" si="10"/>
        <v>UNKNOWN</v>
      </c>
      <c r="F86" t="str" cm="1">
        <f t="array" ref="F86">_xlfn.LET(_xlpm.v,UPPER(SUBSTITUTE(CLEAN(TRIM(B86)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86" t="str" cm="1">
        <f t="array" ref="G86">_xlfn.LET(_xlpm.vin,SUBSTITUTE(CLEAN(TRIM(B86)),CHAR(160),""),_xlpm.rawDate,LEFT(TRIM(H86)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86">
        <f>'Ajoneuvorekisteri-Parse Modern '!G85</f>
        <v>19990305</v>
      </c>
      <c r="I86" t="str">
        <f>LEFT(Table3[[#This Row],[Käyttöönotto]],4)</f>
        <v>1999</v>
      </c>
      <c r="J86" t="str">
        <f>'Ajoneuvorekisteri-Parse Modern '!AA85</f>
        <v>COUPE XKR 4.0 AUTOMATIC-41P/259 Coup� (AD) 2ov 3990cm3 A</v>
      </c>
      <c r="K86" t="str">
        <f>Ajoneuvorekisteri_Parse_Modern_XK_Range_TieliikenneAvoinData_30_06_2026_csv[[#This Row],[tyyppihyvaksyntanro]]</f>
        <v>e11*95/54*0062*05</v>
      </c>
      <c r="L86">
        <f>'Ajoneuvorekisteri-Parse Modern '!M85</f>
        <v>1715</v>
      </c>
      <c r="M86">
        <f t="shared" si="11"/>
        <v>0</v>
      </c>
      <c r="N86">
        <f t="shared" si="12"/>
        <v>1</v>
      </c>
      <c r="O86">
        <f t="shared" si="13"/>
        <v>1</v>
      </c>
      <c r="P86">
        <f t="shared" si="14"/>
        <v>0</v>
      </c>
      <c r="Q86">
        <f>IF(AND(Table3[[#This Row],[Coupe]]&lt;&gt;1, Table3[[#This Row],[Convertible]]&lt;&gt;1), 1, 0)</f>
        <v>0</v>
      </c>
      <c r="R86" t="str">
        <f t="shared" si="15"/>
        <v>Coupe</v>
      </c>
    </row>
    <row r="87" spans="1:18" x14ac:dyDescent="0.25">
      <c r="A87">
        <f>'Ajoneuvorekisteri-Parse Modern '!AO64</f>
        <v>1713499</v>
      </c>
      <c r="B87" t="str">
        <f>'Ajoneuvorekisteri-Parse Modern '!AN64</f>
        <v>SAJJGAFD4A</v>
      </c>
      <c r="C87" t="str">
        <f t="shared" si="8"/>
        <v>X100_EARLY_NORMAL_AR (JDHT)</v>
      </c>
      <c r="D87" t="str">
        <f t="shared" si="9"/>
        <v>UNKNOWN: [5=G]</v>
      </c>
      <c r="E87" t="str">
        <f t="shared" si="10"/>
        <v>UNKNOWN</v>
      </c>
      <c r="F87" t="str" cm="1">
        <f t="array" ref="F87">_xlfn.LET(_xlpm.v,UPPER(SUBSTITUTE(CLEAN(TRIM(B87)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87" t="str" cm="1">
        <f t="array" ref="G87">_xlfn.LET(_xlpm.vin,SUBSTITUTE(CLEAN(TRIM(B87)),CHAR(160),""),_xlpm.rawDate,LEFT(TRIM(H87)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87">
        <f>'Ajoneuvorekisteri-Parse Modern '!G64</f>
        <v>19990319</v>
      </c>
      <c r="I87" t="str">
        <f>LEFT(Table3[[#This Row],[Käyttöönotto]],4)</f>
        <v>1999</v>
      </c>
      <c r="J87" t="str">
        <f>'Ajoneuvorekisteri-Parse Modern '!AA64</f>
        <v>2D CONVERTIBLE XK8 4.0-AUTOMATIC-JGFD/259</v>
      </c>
      <c r="K87" t="str">
        <f>Ajoneuvorekisteri_Parse_Modern_XK_Range_TieliikenneAvoinData_30_06_2026_csv[[#This Row],[tyyppihyvaksyntanro]]</f>
        <v>e11*95/54*0061*00</v>
      </c>
      <c r="L87">
        <f>'Ajoneuvorekisteri-Parse Modern '!M64</f>
        <v>1810</v>
      </c>
      <c r="M87">
        <f t="shared" si="11"/>
        <v>1</v>
      </c>
      <c r="N87">
        <f t="shared" si="12"/>
        <v>0</v>
      </c>
      <c r="O87">
        <f t="shared" si="13"/>
        <v>0</v>
      </c>
      <c r="P87">
        <f t="shared" si="14"/>
        <v>1</v>
      </c>
      <c r="Q87">
        <f>IF(AND(Table3[[#This Row],[Coupe]]&lt;&gt;1, Table3[[#This Row],[Convertible]]&lt;&gt;1), 1, 0)</f>
        <v>0</v>
      </c>
      <c r="R87" t="str">
        <f t="shared" si="15"/>
        <v>Convertible</v>
      </c>
    </row>
    <row r="88" spans="1:18" x14ac:dyDescent="0.25">
      <c r="A88">
        <f>'Ajoneuvorekisteri-Parse Modern '!AO99</f>
        <v>2213387</v>
      </c>
      <c r="B88" t="str">
        <f>'Ajoneuvorekisteri-Parse Modern '!AN99</f>
        <v>SAJJGAEF4A</v>
      </c>
      <c r="C88" t="str">
        <f t="shared" si="8"/>
        <v>X100_EARLY_NORMAL_AR (JDHT)</v>
      </c>
      <c r="D88" t="str">
        <f t="shared" si="9"/>
        <v>UNKNOWN: [5=G]</v>
      </c>
      <c r="E88" t="str">
        <f t="shared" si="10"/>
        <v>UNKNOWN</v>
      </c>
      <c r="F88" t="str" cm="1">
        <f t="array" ref="F88">_xlfn.LET(_xlpm.v,UPPER(SUBSTITUTE(CLEAN(TRIM(B88)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88" t="str" cm="1">
        <f t="array" ref="G88">_xlfn.LET(_xlpm.vin,SUBSTITUTE(CLEAN(TRIM(B88)),CHAR(160),""),_xlpm.rawDate,LEFT(TRIM(H88)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88">
        <f>'Ajoneuvorekisteri-Parse Modern '!G99</f>
        <v>19990324</v>
      </c>
      <c r="I88" t="str">
        <f>LEFT(Table3[[#This Row],[Käyttöönotto]],4)</f>
        <v>1999</v>
      </c>
      <c r="J88" t="str">
        <f>'Ajoneuvorekisteri-Parse Modern '!AA99</f>
        <v>COUPE XKR 4.2 AUTOMATIC-AA1R/259 Coup� (AD) 2ov 3995cm3 A</v>
      </c>
      <c r="K88" t="str">
        <f>Ajoneuvorekisteri_Parse_Modern_XK_Range_TieliikenneAvoinData_30_06_2026_csv[[#This Row],[tyyppihyvaksyntanro]]</f>
        <v>e11*2001/116*0272*03</v>
      </c>
      <c r="L88">
        <f>'Ajoneuvorekisteri-Parse Modern '!M99</f>
        <v>1725</v>
      </c>
      <c r="M88">
        <f t="shared" si="11"/>
        <v>0</v>
      </c>
      <c r="N88">
        <f t="shared" si="12"/>
        <v>1</v>
      </c>
      <c r="O88">
        <f t="shared" si="13"/>
        <v>1</v>
      </c>
      <c r="P88">
        <f t="shared" si="14"/>
        <v>0</v>
      </c>
      <c r="Q88">
        <f>IF(AND(Table3[[#This Row],[Coupe]]&lt;&gt;1, Table3[[#This Row],[Convertible]]&lt;&gt;1), 1, 0)</f>
        <v>0</v>
      </c>
      <c r="R88" t="str">
        <f t="shared" si="15"/>
        <v>Coupe</v>
      </c>
    </row>
    <row r="89" spans="1:18" x14ac:dyDescent="0.25">
      <c r="A89">
        <f>'Ajoneuvorekisteri-Parse Modern '!AO201</f>
        <v>3366859</v>
      </c>
      <c r="B89" t="str">
        <f>'Ajoneuvorekisteri-Parse Modern '!AN201</f>
        <v>SAJJGAEF4A</v>
      </c>
      <c r="C89" t="str">
        <f t="shared" si="8"/>
        <v>X100_EARLY_NORMAL_AR (JDHT)</v>
      </c>
      <c r="D89" t="str">
        <f t="shared" si="9"/>
        <v>UNKNOWN: [5=G]</v>
      </c>
      <c r="E89" t="str">
        <f t="shared" si="10"/>
        <v>UNKNOWN</v>
      </c>
      <c r="F89" t="str" cm="1">
        <f t="array" ref="F89">_xlfn.LET(_xlpm.v,UPPER(SUBSTITUTE(CLEAN(TRIM(B89)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89" t="str" cm="1">
        <f t="array" ref="G89">_xlfn.LET(_xlpm.vin,SUBSTITUTE(CLEAN(TRIM(B89)),CHAR(160),""),_xlpm.rawDate,LEFT(TRIM(H89)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89">
        <f>'Ajoneuvorekisteri-Parse Modern '!G201</f>
        <v>19990331</v>
      </c>
      <c r="I89" t="str">
        <f>LEFT(Table3[[#This Row],[Käyttöönotto]],4)</f>
        <v>1999</v>
      </c>
      <c r="J89" t="str">
        <f>'Ajoneuvorekisteri-Parse Modern '!AA201</f>
        <v>Jaguar Xkr Coup� (AD) 2ov 3990cm3 A</v>
      </c>
      <c r="K89" t="str">
        <f>Ajoneuvorekisteri_Parse_Modern_XK_Range_TieliikenneAvoinData_30_06_2026_csv[[#This Row],[tyyppihyvaksyntanro]]</f>
        <v>e11*2001/116*0272*03</v>
      </c>
      <c r="L89">
        <f>'Ajoneuvorekisteri-Parse Modern '!M201</f>
        <v>1735</v>
      </c>
      <c r="M89">
        <f t="shared" si="11"/>
        <v>0</v>
      </c>
      <c r="N89">
        <f t="shared" si="12"/>
        <v>1</v>
      </c>
      <c r="O89">
        <f t="shared" si="13"/>
        <v>1</v>
      </c>
      <c r="P89">
        <f t="shared" si="14"/>
        <v>0</v>
      </c>
      <c r="Q89">
        <f>IF(AND(Table3[[#This Row],[Coupe]]&lt;&gt;1, Table3[[#This Row],[Convertible]]&lt;&gt;1), 1, 0)</f>
        <v>0</v>
      </c>
      <c r="R89" t="str">
        <f t="shared" si="15"/>
        <v>Coupe</v>
      </c>
    </row>
    <row r="90" spans="1:18" x14ac:dyDescent="0.25">
      <c r="A90">
        <f>'Ajoneuvorekisteri-Parse Modern '!AO42</f>
        <v>1239190</v>
      </c>
      <c r="B90" t="str">
        <f>'Ajoneuvorekisteri-Parse Modern '!AN42</f>
        <v>SAJJGAEF4A</v>
      </c>
      <c r="C90" t="str">
        <f t="shared" si="8"/>
        <v>X100_EARLY_NORMAL_AR (JDHT)</v>
      </c>
      <c r="D90" t="str">
        <f t="shared" si="9"/>
        <v>UNKNOWN: [5=G]</v>
      </c>
      <c r="E90" t="str">
        <f t="shared" si="10"/>
        <v>UNKNOWN</v>
      </c>
      <c r="F90" t="str" cm="1">
        <f t="array" ref="F90">_xlfn.LET(_xlpm.v,UPPER(SUBSTITUTE(CLEAN(TRIM(B90)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90" t="str" cm="1">
        <f t="array" ref="G90">_xlfn.LET(_xlpm.vin,SUBSTITUTE(CLEAN(TRIM(B90)),CHAR(160),""),_xlpm.rawDate,LEFT(TRIM(H90)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90">
        <f>'Ajoneuvorekisteri-Parse Modern '!G42</f>
        <v>19990415</v>
      </c>
      <c r="I90" t="str">
        <f>LEFT(Table3[[#This Row],[Käyttöönotto]],4)</f>
        <v>1999</v>
      </c>
      <c r="J90" t="str">
        <f>'Ajoneuvorekisteri-Parse Modern '!AA42</f>
        <v>COUPE XKR 4.0-AUTOMATIC-JGEF/259</v>
      </c>
      <c r="K90" t="str">
        <f>Ajoneuvorekisteri_Parse_Modern_XK_Range_TieliikenneAvoinData_30_06_2026_csv[[#This Row],[tyyppihyvaksyntanro]]</f>
        <v>e11*2001/116*0272*03</v>
      </c>
      <c r="L90">
        <f>'Ajoneuvorekisteri-Parse Modern '!M42</f>
        <v>1735</v>
      </c>
      <c r="M90">
        <f t="shared" si="11"/>
        <v>0</v>
      </c>
      <c r="N90">
        <f t="shared" si="12"/>
        <v>1</v>
      </c>
      <c r="O90">
        <f t="shared" si="13"/>
        <v>1</v>
      </c>
      <c r="P90">
        <f t="shared" si="14"/>
        <v>0</v>
      </c>
      <c r="Q90">
        <f>IF(AND(Table3[[#This Row],[Coupe]]&lt;&gt;1, Table3[[#This Row],[Convertible]]&lt;&gt;1), 1, 0)</f>
        <v>0</v>
      </c>
      <c r="R90" t="str">
        <f t="shared" si="15"/>
        <v>Coupe</v>
      </c>
    </row>
    <row r="91" spans="1:18" x14ac:dyDescent="0.25">
      <c r="A91">
        <f>'Ajoneuvorekisteri-Parse Modern '!AO5</f>
        <v>97573</v>
      </c>
      <c r="B91" t="str">
        <f>'Ajoneuvorekisteri-Parse Modern '!AN5</f>
        <v>SAJJGAFF4A</v>
      </c>
      <c r="C91" t="str">
        <f t="shared" si="8"/>
        <v>X100_EARLY_NORMAL_AR (JDHT)</v>
      </c>
      <c r="D91" t="str">
        <f t="shared" si="9"/>
        <v>UNKNOWN: [5=G]</v>
      </c>
      <c r="E91" t="str">
        <f t="shared" si="10"/>
        <v>UNKNOWN</v>
      </c>
      <c r="F91" t="str" cm="1">
        <f t="array" ref="F91">_xlfn.LET(_xlpm.v,UPPER(SUBSTITUTE(CLEAN(TRIM(B91)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91" t="str" cm="1">
        <f t="array" ref="G91">_xlfn.LET(_xlpm.vin,SUBSTITUTE(CLEAN(TRIM(B91)),CHAR(160),""),_xlpm.rawDate,LEFT(TRIM(H91)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91">
        <f>'Ajoneuvorekisteri-Parse Modern '!G5</f>
        <v>19990427</v>
      </c>
      <c r="I91" t="str">
        <f>LEFT(Table3[[#This Row],[Käyttöönotto]],4)</f>
        <v>1999</v>
      </c>
      <c r="J91" t="str">
        <f>'Ajoneuvorekisteri-Parse Modern '!AA5</f>
        <v>2D CONVERTIBLE XKR 4.0-AUTOMATIC-JGFF/259</v>
      </c>
      <c r="K91" t="str">
        <f>Ajoneuvorekisteri_Parse_Modern_XK_Range_TieliikenneAvoinData_30_06_2026_csv[[#This Row],[tyyppihyvaksyntanro]]</f>
        <v>e11*2001/116*0272*01</v>
      </c>
      <c r="L91">
        <f>'Ajoneuvorekisteri-Parse Modern '!M5</f>
        <v>1845</v>
      </c>
      <c r="M91">
        <f t="shared" si="11"/>
        <v>0</v>
      </c>
      <c r="N91">
        <f t="shared" si="12"/>
        <v>1</v>
      </c>
      <c r="O91">
        <f t="shared" si="13"/>
        <v>0</v>
      </c>
      <c r="P91">
        <f t="shared" si="14"/>
        <v>1</v>
      </c>
      <c r="Q91">
        <f>IF(AND(Table3[[#This Row],[Coupe]]&lt;&gt;1, Table3[[#This Row],[Convertible]]&lt;&gt;1), 1, 0)</f>
        <v>0</v>
      </c>
      <c r="R91" t="str">
        <f t="shared" si="15"/>
        <v>Convertible</v>
      </c>
    </row>
    <row r="92" spans="1:18" x14ac:dyDescent="0.25">
      <c r="A92">
        <f>'Ajoneuvorekisteri-Parse Modern '!AO36</f>
        <v>1104915</v>
      </c>
      <c r="B92" t="str">
        <f>'Ajoneuvorekisteri-Parse Modern '!AN36</f>
        <v>SAJJGAFD4A</v>
      </c>
      <c r="C92" t="str">
        <f t="shared" si="8"/>
        <v>X100_EARLY_NORMAL_AR (JDHT)</v>
      </c>
      <c r="D92" t="str">
        <f t="shared" si="9"/>
        <v>UNKNOWN: [5=G]</v>
      </c>
      <c r="E92" t="str">
        <f t="shared" si="10"/>
        <v>UNKNOWN</v>
      </c>
      <c r="F92" t="str" cm="1">
        <f t="array" ref="F92">_xlfn.LET(_xlpm.v,UPPER(SUBSTITUTE(CLEAN(TRIM(B92)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92" t="str" cm="1">
        <f t="array" ref="G92">_xlfn.LET(_xlpm.vin,SUBSTITUTE(CLEAN(TRIM(B92)),CHAR(160),""),_xlpm.rawDate,LEFT(TRIM(H92)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92">
        <f>'Ajoneuvorekisteri-Parse Modern '!G36</f>
        <v>19990505</v>
      </c>
      <c r="I92" t="str">
        <f>LEFT(Table3[[#This Row],[Käyttöönotto]],4)</f>
        <v>1999</v>
      </c>
      <c r="J92" t="str">
        <f>'Ajoneuvorekisteri-Parse Modern '!AA36</f>
        <v>2D CONVERTIBLE XK8 4.0-AUTOMATIC-JGFD/259</v>
      </c>
      <c r="K92" t="str">
        <f>Ajoneuvorekisteri_Parse_Modern_XK_Range_TieliikenneAvoinData_30_06_2026_csv[[#This Row],[tyyppihyvaksyntanro]]</f>
        <v/>
      </c>
      <c r="L92">
        <f>'Ajoneuvorekisteri-Parse Modern '!M36</f>
        <v>1810</v>
      </c>
      <c r="M92">
        <f t="shared" si="11"/>
        <v>1</v>
      </c>
      <c r="N92">
        <f t="shared" si="12"/>
        <v>0</v>
      </c>
      <c r="O92">
        <f t="shared" si="13"/>
        <v>0</v>
      </c>
      <c r="P92">
        <f t="shared" si="14"/>
        <v>1</v>
      </c>
      <c r="Q92">
        <f>IF(AND(Table3[[#This Row],[Coupe]]&lt;&gt;1, Table3[[#This Row],[Convertible]]&lt;&gt;1), 1, 0)</f>
        <v>0</v>
      </c>
      <c r="R92" t="str">
        <f t="shared" si="15"/>
        <v>Convertible</v>
      </c>
    </row>
    <row r="93" spans="1:18" x14ac:dyDescent="0.25">
      <c r="A93">
        <f>'Ajoneuvorekisteri-Parse Modern '!AO57</f>
        <v>1612618</v>
      </c>
      <c r="B93" t="str">
        <f>'Ajoneuvorekisteri-Parse Modern '!AN57</f>
        <v>SAJJGAED4A</v>
      </c>
      <c r="C93" t="str">
        <f t="shared" si="8"/>
        <v>X100_EARLY_NORMAL_AR (JDHT)</v>
      </c>
      <c r="D93" t="str">
        <f t="shared" si="9"/>
        <v>UNKNOWN: [5=G]</v>
      </c>
      <c r="E93" t="str">
        <f t="shared" si="10"/>
        <v>UNKNOWN</v>
      </c>
      <c r="F93" t="str" cm="1">
        <f t="array" ref="F93">_xlfn.LET(_xlpm.v,UPPER(SUBSTITUTE(CLEAN(TRIM(B93)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93" t="str" cm="1">
        <f t="array" ref="G93">_xlfn.LET(_xlpm.vin,SUBSTITUTE(CLEAN(TRIM(B93)),CHAR(160),""),_xlpm.rawDate,LEFT(TRIM(H93)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93">
        <f>'Ajoneuvorekisteri-Parse Modern '!G57</f>
        <v>19990506</v>
      </c>
      <c r="I93" t="str">
        <f>LEFT(Table3[[#This Row],[Käyttöönotto]],4)</f>
        <v>1999</v>
      </c>
      <c r="J93" t="str">
        <f>'Ajoneuvorekisteri-Parse Modern '!AA57</f>
        <v>COUPE XK8 4.0-AUTOMATIC-JGED/259</v>
      </c>
      <c r="K93" t="str">
        <f>Ajoneuvorekisteri_Parse_Modern_XK_Range_TieliikenneAvoinData_30_06_2026_csv[[#This Row],[tyyppihyvaksyntanro]]</f>
        <v>e11*95/54*0061*02</v>
      </c>
      <c r="L93">
        <f>'Ajoneuvorekisteri-Parse Modern '!M57</f>
        <v>1720</v>
      </c>
      <c r="M93">
        <f t="shared" si="11"/>
        <v>1</v>
      </c>
      <c r="N93">
        <f t="shared" si="12"/>
        <v>0</v>
      </c>
      <c r="O93">
        <f t="shared" si="13"/>
        <v>1</v>
      </c>
      <c r="P93">
        <f t="shared" si="14"/>
        <v>0</v>
      </c>
      <c r="Q93">
        <f>IF(AND(Table3[[#This Row],[Coupe]]&lt;&gt;1, Table3[[#This Row],[Convertible]]&lt;&gt;1), 1, 0)</f>
        <v>0</v>
      </c>
      <c r="R93" t="str">
        <f t="shared" si="15"/>
        <v>Coupe</v>
      </c>
    </row>
    <row r="94" spans="1:18" x14ac:dyDescent="0.25">
      <c r="A94">
        <f>'Ajoneuvorekisteri-Parse Modern '!AO49</f>
        <v>1331363</v>
      </c>
      <c r="B94" t="str">
        <f>'Ajoneuvorekisteri-Parse Modern '!AN49</f>
        <v>SAJJGAEF4A</v>
      </c>
      <c r="C94" t="str">
        <f t="shared" si="8"/>
        <v>X100_EARLY_NORMAL_AR (JDHT)</v>
      </c>
      <c r="D94" t="str">
        <f t="shared" si="9"/>
        <v>UNKNOWN: [5=G]</v>
      </c>
      <c r="E94" t="str">
        <f t="shared" si="10"/>
        <v>UNKNOWN</v>
      </c>
      <c r="F94" t="str" cm="1">
        <f t="array" ref="F94">_xlfn.LET(_xlpm.v,UPPER(SUBSTITUTE(CLEAN(TRIM(B94)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94" t="str" cm="1">
        <f t="array" ref="G94">_xlfn.LET(_xlpm.vin,SUBSTITUTE(CLEAN(TRIM(B94)),CHAR(160),""),_xlpm.rawDate,LEFT(TRIM(H94)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94">
        <f>'Ajoneuvorekisteri-Parse Modern '!G49</f>
        <v>19990519</v>
      </c>
      <c r="I94" t="str">
        <f>LEFT(Table3[[#This Row],[Käyttöönotto]],4)</f>
        <v>1999</v>
      </c>
      <c r="J94" t="str">
        <f>'Ajoneuvorekisteri-Parse Modern '!AA49</f>
        <v>COUPE XKR 4.0-AUTOMATIC-JGEF/259</v>
      </c>
      <c r="K94" t="str">
        <f>Ajoneuvorekisteri_Parse_Modern_XK_Range_TieliikenneAvoinData_30_06_2026_csv[[#This Row],[tyyppihyvaksyntanro]]</f>
        <v/>
      </c>
      <c r="L94">
        <f>'Ajoneuvorekisteri-Parse Modern '!M49</f>
        <v>1735</v>
      </c>
      <c r="M94">
        <f t="shared" si="11"/>
        <v>0</v>
      </c>
      <c r="N94">
        <f t="shared" si="12"/>
        <v>1</v>
      </c>
      <c r="O94">
        <f t="shared" si="13"/>
        <v>1</v>
      </c>
      <c r="P94">
        <f t="shared" si="14"/>
        <v>0</v>
      </c>
      <c r="Q94">
        <f>IF(AND(Table3[[#This Row],[Coupe]]&lt;&gt;1, Table3[[#This Row],[Convertible]]&lt;&gt;1), 1, 0)</f>
        <v>0</v>
      </c>
      <c r="R94" t="str">
        <f t="shared" si="15"/>
        <v>Coupe</v>
      </c>
    </row>
    <row r="95" spans="1:18" x14ac:dyDescent="0.25">
      <c r="A95">
        <f>'Ajoneuvorekisteri-Parse Modern '!AO171</f>
        <v>2933695</v>
      </c>
      <c r="B95" t="str">
        <f>'Ajoneuvorekisteri-Parse Modern '!AN171</f>
        <v>SAJJGAEF4A</v>
      </c>
      <c r="C95" t="str">
        <f t="shared" si="8"/>
        <v>X100_EARLY_NORMAL_AR (JDHT)</v>
      </c>
      <c r="D95" t="str">
        <f t="shared" si="9"/>
        <v>UNKNOWN: [5=G]</v>
      </c>
      <c r="E95" t="str">
        <f t="shared" si="10"/>
        <v>UNKNOWN</v>
      </c>
      <c r="F95" t="str" cm="1">
        <f t="array" ref="F95">_xlfn.LET(_xlpm.v,UPPER(SUBSTITUTE(CLEAN(TRIM(B95)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95" t="str" cm="1">
        <f t="array" ref="G95">_xlfn.LET(_xlpm.vin,SUBSTITUTE(CLEAN(TRIM(B95)),CHAR(160),""),_xlpm.rawDate,LEFT(TRIM(H95)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95">
        <f>'Ajoneuvorekisteri-Parse Modern '!G171</f>
        <v>19990527</v>
      </c>
      <c r="I95" t="str">
        <f>LEFT(Table3[[#This Row],[Käyttöönotto]],4)</f>
        <v>1999</v>
      </c>
      <c r="J95" t="str">
        <f>'Ajoneuvorekisteri-Parse Modern '!AA171</f>
        <v>XKR COUPE Coup� (AD) 2ov 3996cm3 A</v>
      </c>
      <c r="K95" t="str">
        <f>Ajoneuvorekisteri_Parse_Modern_XK_Range_TieliikenneAvoinData_30_06_2026_csv[[#This Row],[tyyppihyvaksyntanro]]</f>
        <v/>
      </c>
      <c r="L95">
        <f>'Ajoneuvorekisteri-Parse Modern '!M171</f>
        <v>1735</v>
      </c>
      <c r="M95">
        <f t="shared" si="11"/>
        <v>0</v>
      </c>
      <c r="N95">
        <f t="shared" si="12"/>
        <v>1</v>
      </c>
      <c r="O95">
        <f t="shared" si="13"/>
        <v>1</v>
      </c>
      <c r="P95">
        <f t="shared" si="14"/>
        <v>0</v>
      </c>
      <c r="Q95">
        <f>IF(AND(Table3[[#This Row],[Coupe]]&lt;&gt;1, Table3[[#This Row],[Convertible]]&lt;&gt;1), 1, 0)</f>
        <v>0</v>
      </c>
      <c r="R95" t="str">
        <f t="shared" si="15"/>
        <v>Coupe</v>
      </c>
    </row>
    <row r="96" spans="1:18" x14ac:dyDescent="0.25">
      <c r="A96">
        <f>'Ajoneuvorekisteri-Parse Modern '!AO38</f>
        <v>1138992</v>
      </c>
      <c r="B96" t="str">
        <f>'Ajoneuvorekisteri-Parse Modern '!AN38</f>
        <v>SAJJGAED4A</v>
      </c>
      <c r="C96" t="str">
        <f t="shared" si="8"/>
        <v>X100_EARLY_NORMAL_AR (JDHT)</v>
      </c>
      <c r="D96" t="str">
        <f t="shared" si="9"/>
        <v>UNKNOWN: [5=G]</v>
      </c>
      <c r="E96" t="str">
        <f t="shared" si="10"/>
        <v>UNKNOWN</v>
      </c>
      <c r="F96" t="str" cm="1">
        <f t="array" ref="F96">_xlfn.LET(_xlpm.v,UPPER(SUBSTITUTE(CLEAN(TRIM(B96)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96" t="str" cm="1">
        <f t="array" ref="G96">_xlfn.LET(_xlpm.vin,SUBSTITUTE(CLEAN(TRIM(B96)),CHAR(160),""),_xlpm.rawDate,LEFT(TRIM(H96)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96">
        <f>'Ajoneuvorekisteri-Parse Modern '!G38</f>
        <v>19990528</v>
      </c>
      <c r="I96" t="str">
        <f>LEFT(Table3[[#This Row],[Käyttöönotto]],4)</f>
        <v>1999</v>
      </c>
      <c r="J96" t="str">
        <f>'Ajoneuvorekisteri-Parse Modern '!AA38</f>
        <v>COUPE XK8 4.0-AUTOMATIC-JGED/259</v>
      </c>
      <c r="K96" t="str">
        <f>Ajoneuvorekisteri_Parse_Modern_XK_Range_TieliikenneAvoinData_30_06_2026_csv[[#This Row],[tyyppihyvaksyntanro]]</f>
        <v/>
      </c>
      <c r="L96">
        <f>'Ajoneuvorekisteri-Parse Modern '!M38</f>
        <v>1720</v>
      </c>
      <c r="M96">
        <f t="shared" si="11"/>
        <v>1</v>
      </c>
      <c r="N96">
        <f t="shared" si="12"/>
        <v>0</v>
      </c>
      <c r="O96">
        <f t="shared" si="13"/>
        <v>1</v>
      </c>
      <c r="P96">
        <f t="shared" si="14"/>
        <v>0</v>
      </c>
      <c r="Q96">
        <f>IF(AND(Table3[[#This Row],[Coupe]]&lt;&gt;1, Table3[[#This Row],[Convertible]]&lt;&gt;1), 1, 0)</f>
        <v>0</v>
      </c>
      <c r="R96" t="str">
        <f t="shared" si="15"/>
        <v>Coupe</v>
      </c>
    </row>
    <row r="97" spans="1:18" x14ac:dyDescent="0.25">
      <c r="A97">
        <f>'Ajoneuvorekisteri-Parse Modern '!AO93</f>
        <v>2189637</v>
      </c>
      <c r="B97" t="str">
        <f>'Ajoneuvorekisteri-Parse Modern '!AN93</f>
        <v>SAJJGAED4A</v>
      </c>
      <c r="C97" t="str">
        <f t="shared" si="8"/>
        <v>X100_EARLY_NORMAL_AR (JDHT)</v>
      </c>
      <c r="D97" t="str">
        <f t="shared" si="9"/>
        <v>UNKNOWN: [5=G]</v>
      </c>
      <c r="E97" t="str">
        <f t="shared" si="10"/>
        <v>UNKNOWN</v>
      </c>
      <c r="F97" t="str" cm="1">
        <f t="array" ref="F97">_xlfn.LET(_xlpm.v,UPPER(SUBSTITUTE(CLEAN(TRIM(B97)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97" t="str" cm="1">
        <f t="array" ref="G97">_xlfn.LET(_xlpm.vin,SUBSTITUTE(CLEAN(TRIM(B97)),CHAR(160),""),_xlpm.rawDate,LEFT(TRIM(H97)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97">
        <f>'Ajoneuvorekisteri-Parse Modern '!G93</f>
        <v>19990531</v>
      </c>
      <c r="I97" t="str">
        <f>LEFT(Table3[[#This Row],[Käyttöönotto]],4)</f>
        <v>1999</v>
      </c>
      <c r="J97" t="str">
        <f>'Ajoneuvorekisteri-Parse Modern '!AA93</f>
        <v>XK8 COUPE Coup� (AD) 2ov 3996cm3</v>
      </c>
      <c r="K97" t="str">
        <f>Ajoneuvorekisteri_Parse_Modern_XK_Range_TieliikenneAvoinData_30_06_2026_csv[[#This Row],[tyyppihyvaksyntanro]]</f>
        <v>e11*95/54*0062*03</v>
      </c>
      <c r="L97">
        <f>'Ajoneuvorekisteri-Parse Modern '!M93</f>
        <v>1690</v>
      </c>
      <c r="M97">
        <f t="shared" si="11"/>
        <v>1</v>
      </c>
      <c r="N97">
        <f t="shared" si="12"/>
        <v>0</v>
      </c>
      <c r="O97">
        <f t="shared" si="13"/>
        <v>1</v>
      </c>
      <c r="P97">
        <f t="shared" si="14"/>
        <v>0</v>
      </c>
      <c r="Q97">
        <f>IF(AND(Table3[[#This Row],[Coupe]]&lt;&gt;1, Table3[[#This Row],[Convertible]]&lt;&gt;1), 1, 0)</f>
        <v>0</v>
      </c>
      <c r="R97" t="str">
        <f t="shared" si="15"/>
        <v>Coupe</v>
      </c>
    </row>
    <row r="98" spans="1:18" x14ac:dyDescent="0.25">
      <c r="A98">
        <f>'Ajoneuvorekisteri-Parse Modern '!AO167</f>
        <v>2895491</v>
      </c>
      <c r="B98" t="str">
        <f>'Ajoneuvorekisteri-Parse Modern '!AN167</f>
        <v>SAJJGAED4A</v>
      </c>
      <c r="C98" t="str">
        <f t="shared" si="8"/>
        <v>X100_EARLY_NORMAL_AR (JDHT)</v>
      </c>
      <c r="D98" t="str">
        <f t="shared" si="9"/>
        <v>UNKNOWN: [5=G]</v>
      </c>
      <c r="E98" t="str">
        <f t="shared" si="10"/>
        <v>UNKNOWN</v>
      </c>
      <c r="F98" t="str" cm="1">
        <f t="array" ref="F98">_xlfn.LET(_xlpm.v,UPPER(SUBSTITUTE(CLEAN(TRIM(B98)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98" t="str" cm="1">
        <f t="array" ref="G98">_xlfn.LET(_xlpm.vin,SUBSTITUTE(CLEAN(TRIM(B98)),CHAR(160),""),_xlpm.rawDate,LEFT(TRIM(H98)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98">
        <f>'Ajoneuvorekisteri-Parse Modern '!G167</f>
        <v>19990611</v>
      </c>
      <c r="I98" t="str">
        <f>LEFT(Table3[[#This Row],[Käyttöönotto]],4)</f>
        <v>1999</v>
      </c>
      <c r="J98" t="str">
        <f>'Ajoneuvorekisteri-Parse Modern '!AA167</f>
        <v>XK8 Coup� (AD) 2ov 3996cm3 A</v>
      </c>
      <c r="K98" t="str">
        <f>Ajoneuvorekisteri_Parse_Modern_XK_Range_TieliikenneAvoinData_30_06_2026_csv[[#This Row],[tyyppihyvaksyntanro]]</f>
        <v>e11*95/54*0061*04</v>
      </c>
      <c r="L98">
        <f>'Ajoneuvorekisteri-Parse Modern '!M167</f>
        <v>1720</v>
      </c>
      <c r="M98">
        <f t="shared" si="11"/>
        <v>1</v>
      </c>
      <c r="N98">
        <f t="shared" si="12"/>
        <v>0</v>
      </c>
      <c r="O98">
        <f t="shared" si="13"/>
        <v>1</v>
      </c>
      <c r="P98">
        <f t="shared" si="14"/>
        <v>0</v>
      </c>
      <c r="Q98">
        <f>IF(AND(Table3[[#This Row],[Coupe]]&lt;&gt;1, Table3[[#This Row],[Convertible]]&lt;&gt;1), 1, 0)</f>
        <v>0</v>
      </c>
      <c r="R98" t="str">
        <f t="shared" si="15"/>
        <v>Coupe</v>
      </c>
    </row>
    <row r="99" spans="1:18" x14ac:dyDescent="0.25">
      <c r="A99">
        <f>'Ajoneuvorekisteri-Parse Modern '!AO173</f>
        <v>2979132</v>
      </c>
      <c r="B99" t="str">
        <f>'Ajoneuvorekisteri-Parse Modern '!AN173</f>
        <v>SAJJGAFF4A</v>
      </c>
      <c r="C99" t="str">
        <f t="shared" si="8"/>
        <v>X100_EARLY_NORMAL_AR (JDHT)</v>
      </c>
      <c r="D99" t="str">
        <f t="shared" si="9"/>
        <v>UNKNOWN: [5=G]</v>
      </c>
      <c r="E99" t="str">
        <f t="shared" si="10"/>
        <v>UNKNOWN</v>
      </c>
      <c r="F99" t="str" cm="1">
        <f t="array" ref="F99">_xlfn.LET(_xlpm.v,UPPER(SUBSTITUTE(CLEAN(TRIM(B99)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99" t="str" cm="1">
        <f t="array" ref="G99">_xlfn.LET(_xlpm.vin,SUBSTITUTE(CLEAN(TRIM(B99)),CHAR(160),""),_xlpm.rawDate,LEFT(TRIM(H99)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99">
        <f>'Ajoneuvorekisteri-Parse Modern '!G173</f>
        <v>19990617</v>
      </c>
      <c r="I99" t="str">
        <f>LEFT(Table3[[#This Row],[Käyttöönotto]],4)</f>
        <v>1999</v>
      </c>
      <c r="J99" t="str">
        <f>'Ajoneuvorekisteri-Parse Modern '!AA173</f>
        <v>XKR  Avoauto (AE) 2ov 3996cm3 A</v>
      </c>
      <c r="K99" t="str">
        <f>Ajoneuvorekisteri_Parse_Modern_XK_Range_TieliikenneAvoinData_30_06_2026_csv[[#This Row],[tyyppihyvaksyntanro]]</f>
        <v/>
      </c>
      <c r="L99">
        <f>'Ajoneuvorekisteri-Parse Modern '!M173</f>
        <v>1825</v>
      </c>
      <c r="M99">
        <f t="shared" si="11"/>
        <v>0</v>
      </c>
      <c r="N99">
        <f t="shared" si="12"/>
        <v>1</v>
      </c>
      <c r="O99">
        <f t="shared" si="13"/>
        <v>0</v>
      </c>
      <c r="P99">
        <f t="shared" si="14"/>
        <v>1</v>
      </c>
      <c r="Q99">
        <f>IF(AND(Table3[[#This Row],[Coupe]]&lt;&gt;1, Table3[[#This Row],[Convertible]]&lt;&gt;1), 1, 0)</f>
        <v>0</v>
      </c>
      <c r="R99" t="str">
        <f t="shared" si="15"/>
        <v>Convertible</v>
      </c>
    </row>
    <row r="100" spans="1:18" x14ac:dyDescent="0.25">
      <c r="A100">
        <f>'Ajoneuvorekisteri-Parse Modern '!AO28</f>
        <v>957208</v>
      </c>
      <c r="B100" t="str">
        <f>'Ajoneuvorekisteri-Parse Modern '!AN28</f>
        <v>SAJJGAFD4A</v>
      </c>
      <c r="C100" t="str">
        <f t="shared" si="8"/>
        <v>X100_EARLY_NORMAL_AR (JDHT)</v>
      </c>
      <c r="D100" t="str">
        <f t="shared" si="9"/>
        <v>UNKNOWN: [5=G]</v>
      </c>
      <c r="E100" t="str">
        <f t="shared" si="10"/>
        <v>UNKNOWN</v>
      </c>
      <c r="F100" t="str" cm="1">
        <f t="array" ref="F100">_xlfn.LET(_xlpm.v,UPPER(SUBSTITUTE(CLEAN(TRIM(B100)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100" t="str" cm="1">
        <f t="array" ref="G100">_xlfn.LET(_xlpm.vin,SUBSTITUTE(CLEAN(TRIM(B100)),CHAR(160),""),_xlpm.rawDate,LEFT(TRIM(H100)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100">
        <f>'Ajoneuvorekisteri-Parse Modern '!G28</f>
        <v>19990621</v>
      </c>
      <c r="I100" t="str">
        <f>LEFT(Table3[[#This Row],[Käyttöönotto]],4)</f>
        <v>1999</v>
      </c>
      <c r="J100" t="str">
        <f>'Ajoneuvorekisteri-Parse Modern '!AA28</f>
        <v>2D CONVERTIBLE XK8 4.0-AUTOMATIC-JGFD/259</v>
      </c>
      <c r="K100" t="str">
        <f>Ajoneuvorekisteri_Parse_Modern_XK_Range_TieliikenneAvoinData_30_06_2026_csv[[#This Row],[tyyppihyvaksyntanro]]</f>
        <v/>
      </c>
      <c r="L100">
        <f>'Ajoneuvorekisteri-Parse Modern '!M28</f>
        <v>1810</v>
      </c>
      <c r="M100">
        <f t="shared" si="11"/>
        <v>1</v>
      </c>
      <c r="N100">
        <f t="shared" si="12"/>
        <v>0</v>
      </c>
      <c r="O100">
        <f t="shared" si="13"/>
        <v>0</v>
      </c>
      <c r="P100">
        <f t="shared" si="14"/>
        <v>1</v>
      </c>
      <c r="Q100">
        <f>IF(AND(Table3[[#This Row],[Coupe]]&lt;&gt;1, Table3[[#This Row],[Convertible]]&lt;&gt;1), 1, 0)</f>
        <v>0</v>
      </c>
      <c r="R100" t="str">
        <f t="shared" si="15"/>
        <v>Convertible</v>
      </c>
    </row>
    <row r="101" spans="1:18" x14ac:dyDescent="0.25">
      <c r="A101">
        <f>'Ajoneuvorekisteri-Parse Modern '!AO31</f>
        <v>989686</v>
      </c>
      <c r="B101" t="str">
        <f>'Ajoneuvorekisteri-Parse Modern '!AN31</f>
        <v>SAJJGAFF4A</v>
      </c>
      <c r="C101" t="str">
        <f t="shared" si="8"/>
        <v>X100_EARLY_NORMAL_AR (JDHT)</v>
      </c>
      <c r="D101" t="str">
        <f t="shared" si="9"/>
        <v>UNKNOWN: [5=G]</v>
      </c>
      <c r="E101" t="str">
        <f t="shared" si="10"/>
        <v>UNKNOWN</v>
      </c>
      <c r="F101" t="str" cm="1">
        <f t="array" ref="F101">_xlfn.LET(_xlpm.v,UPPER(SUBSTITUTE(CLEAN(TRIM(B101)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101" t="str" cm="1">
        <f t="array" ref="G101">_xlfn.LET(_xlpm.vin,SUBSTITUTE(CLEAN(TRIM(B101)),CHAR(160),""),_xlpm.rawDate,LEFT(TRIM(H101)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101">
        <f>'Ajoneuvorekisteri-Parse Modern '!G31</f>
        <v>19990628</v>
      </c>
      <c r="I101" t="str">
        <f>LEFT(Table3[[#This Row],[Käyttöönotto]],4)</f>
        <v>1999</v>
      </c>
      <c r="J101" t="str">
        <f>'Ajoneuvorekisteri-Parse Modern '!AA31</f>
        <v>2D CONVERTIBLE XKR 4.0-AUTOMATIC-JGFF/259</v>
      </c>
      <c r="K101" t="str">
        <f>Ajoneuvorekisteri_Parse_Modern_XK_Range_TieliikenneAvoinData_30_06_2026_csv[[#This Row],[tyyppihyvaksyntanro]]</f>
        <v/>
      </c>
      <c r="L101">
        <f>'Ajoneuvorekisteri-Parse Modern '!M31</f>
        <v>1845</v>
      </c>
      <c r="M101">
        <f t="shared" si="11"/>
        <v>0</v>
      </c>
      <c r="N101">
        <f t="shared" si="12"/>
        <v>1</v>
      </c>
      <c r="O101">
        <f t="shared" si="13"/>
        <v>0</v>
      </c>
      <c r="P101">
        <f t="shared" si="14"/>
        <v>1</v>
      </c>
      <c r="Q101">
        <f>IF(AND(Table3[[#This Row],[Coupe]]&lt;&gt;1, Table3[[#This Row],[Convertible]]&lt;&gt;1), 1, 0)</f>
        <v>0</v>
      </c>
      <c r="R101" t="str">
        <f t="shared" si="15"/>
        <v>Convertible</v>
      </c>
    </row>
    <row r="102" spans="1:18" x14ac:dyDescent="0.25">
      <c r="A102">
        <f>'Ajoneuvorekisteri-Parse Modern '!AO106</f>
        <v>2304342</v>
      </c>
      <c r="B102" t="str">
        <f>'Ajoneuvorekisteri-Parse Modern '!AN106</f>
        <v>SAJGX2043X</v>
      </c>
      <c r="C102" t="str">
        <f t="shared" si="8"/>
        <v>UNKNOWN: [7=0]</v>
      </c>
      <c r="D102" t="str">
        <f t="shared" si="9"/>
        <v>UNKNOWN: [5=X]</v>
      </c>
      <c r="E102" t="str">
        <f t="shared" si="10"/>
        <v>UNKNOWN</v>
      </c>
      <c r="F102" t="str" cm="1">
        <f t="array" ref="F102">_xlfn.LET(_xlpm.v,UPPER(SUBSTITUTE(CLEAN(TRIM(B102)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[7=0]</v>
      </c>
      <c r="G102" t="str" cm="1">
        <f t="array" ref="G102">_xlfn.LET(_xlpm.vin,SUBSTITUTE(CLEAN(TRIM(B102)),CHAR(160),""),_xlpm.rawDate,LEFT(TRIM(H102)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102">
        <f>'Ajoneuvorekisteri-Parse Modern '!G106</f>
        <v>19990701</v>
      </c>
      <c r="I102" t="str">
        <f>LEFT(Table3[[#This Row],[Käyttöönotto]],4)</f>
        <v>1999</v>
      </c>
      <c r="J102" t="str">
        <f>'Ajoneuvorekisteri-Parse Modern '!AA106</f>
        <v>XK8 CONVERTIBLE Avoauto (AE) 2ov 3990cm3 A</v>
      </c>
      <c r="K102" t="str">
        <f>Ajoneuvorekisteri_Parse_Modern_XK_Range_TieliikenneAvoinData_30_06_2026_csv[[#This Row],[tyyppihyvaksyntanro]]</f>
        <v>e11*95/54*0062*07</v>
      </c>
      <c r="L102">
        <f>'Ajoneuvorekisteri-Parse Modern '!M106</f>
        <v>1780</v>
      </c>
      <c r="M102">
        <f t="shared" si="11"/>
        <v>1</v>
      </c>
      <c r="N102">
        <f t="shared" si="12"/>
        <v>0</v>
      </c>
      <c r="O102">
        <f t="shared" si="13"/>
        <v>0</v>
      </c>
      <c r="P102">
        <f t="shared" si="14"/>
        <v>1</v>
      </c>
      <c r="Q102">
        <f>IF(AND(Table3[[#This Row],[Coupe]]&lt;&gt;1, Table3[[#This Row],[Convertible]]&lt;&gt;1), 1, 0)</f>
        <v>0</v>
      </c>
      <c r="R102" t="str">
        <f t="shared" si="15"/>
        <v>Convertible</v>
      </c>
    </row>
    <row r="103" spans="1:18" x14ac:dyDescent="0.25">
      <c r="A103">
        <f>'Ajoneuvorekisteri-Parse Modern '!AO112</f>
        <v>2353263</v>
      </c>
      <c r="B103" t="str">
        <f>'Ajoneuvorekisteri-Parse Modern '!AN112</f>
        <v>SAJJGXFE4X</v>
      </c>
      <c r="C103" t="str">
        <f t="shared" si="8"/>
        <v>UNKNOWN: [8=E]</v>
      </c>
      <c r="D103" t="str">
        <f t="shared" si="9"/>
        <v>UNKNOWN: [5=G]</v>
      </c>
      <c r="E103" t="str">
        <f t="shared" si="10"/>
        <v>UNKNOWN</v>
      </c>
      <c r="F103" t="str" cm="1">
        <f t="array" ref="F103">_xlfn.LET(_xlpm.v,UPPER(SUBSTITUTE(CLEAN(TRIM(B103)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[8=E]</v>
      </c>
      <c r="G103" t="str" cm="1">
        <f t="array" ref="G103">_xlfn.LET(_xlpm.vin,SUBSTITUTE(CLEAN(TRIM(B103)),CHAR(160),""),_xlpm.rawDate,LEFT(TRIM(H103)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103">
        <f>'Ajoneuvorekisteri-Parse Modern '!G112</f>
        <v>19990701</v>
      </c>
      <c r="I103" t="str">
        <f>LEFT(Table3[[#This Row],[Käyttöönotto]],4)</f>
        <v>1999</v>
      </c>
      <c r="J103" t="str">
        <f>'Ajoneuvorekisteri-Parse Modern '!AA112</f>
        <v>2D CONVERTIBLE XK8 Avoauto (AE) 2ov 3996cm3</v>
      </c>
      <c r="K103" t="str">
        <f>Ajoneuvorekisteri_Parse_Modern_XK_Range_TieliikenneAvoinData_30_06_2026_csv[[#This Row],[tyyppihyvaksyntanro]]</f>
        <v>e11*95/54*0061*03</v>
      </c>
      <c r="L103">
        <f>'Ajoneuvorekisteri-Parse Modern '!M112</f>
        <v>1780</v>
      </c>
      <c r="M103">
        <f t="shared" si="11"/>
        <v>1</v>
      </c>
      <c r="N103">
        <f t="shared" si="12"/>
        <v>0</v>
      </c>
      <c r="O103">
        <f t="shared" si="13"/>
        <v>0</v>
      </c>
      <c r="P103">
        <f t="shared" si="14"/>
        <v>1</v>
      </c>
      <c r="Q103">
        <f>IF(AND(Table3[[#This Row],[Coupe]]&lt;&gt;1, Table3[[#This Row],[Convertible]]&lt;&gt;1), 1, 0)</f>
        <v>0</v>
      </c>
      <c r="R103" t="str">
        <f t="shared" si="15"/>
        <v>Convertible</v>
      </c>
    </row>
    <row r="104" spans="1:18" x14ac:dyDescent="0.25">
      <c r="A104">
        <f>'Ajoneuvorekisteri-Parse Modern '!AO114</f>
        <v>2378320</v>
      </c>
      <c r="B104" t="str">
        <f>'Ajoneuvorekisteri-Parse Modern '!AN114</f>
        <v>SAJJGAFF4A</v>
      </c>
      <c r="C104" t="str">
        <f t="shared" si="8"/>
        <v>X100_EARLY_NORMAL_AR (JDHT)</v>
      </c>
      <c r="D104" t="str">
        <f t="shared" si="9"/>
        <v>UNKNOWN: [5=G]</v>
      </c>
      <c r="E104" t="str">
        <f t="shared" si="10"/>
        <v>UNKNOWN</v>
      </c>
      <c r="F104" t="str" cm="1">
        <f t="array" ref="F104">_xlfn.LET(_xlpm.v,UPPER(SUBSTITUTE(CLEAN(TRIM(B104)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104" t="str" cm="1">
        <f t="array" ref="G104">_xlfn.LET(_xlpm.vin,SUBSTITUTE(CLEAN(TRIM(B104)),CHAR(160),""),_xlpm.rawDate,LEFT(TRIM(H104)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104">
        <f>'Ajoneuvorekisteri-Parse Modern '!G114</f>
        <v>19990709</v>
      </c>
      <c r="I104" t="str">
        <f>LEFT(Table3[[#This Row],[Käyttöönotto]],4)</f>
        <v>1999</v>
      </c>
      <c r="J104" t="str">
        <f>'Ajoneuvorekisteri-Parse Modern '!AA114</f>
        <v>XK Avoauto (AE) 2ov 3990cm3</v>
      </c>
      <c r="K104" t="str">
        <f>Ajoneuvorekisteri_Parse_Modern_XK_Range_TieliikenneAvoinData_30_06_2026_csv[[#This Row],[tyyppihyvaksyntanro]]</f>
        <v/>
      </c>
      <c r="L104">
        <f>'Ajoneuvorekisteri-Parse Modern '!M114</f>
        <v>1845</v>
      </c>
      <c r="M104">
        <f t="shared" si="11"/>
        <v>1</v>
      </c>
      <c r="N104">
        <f t="shared" si="12"/>
        <v>0</v>
      </c>
      <c r="O104">
        <f t="shared" si="13"/>
        <v>0</v>
      </c>
      <c r="P104">
        <f t="shared" si="14"/>
        <v>1</v>
      </c>
      <c r="Q104">
        <f>IF(AND(Table3[[#This Row],[Coupe]]&lt;&gt;1, Table3[[#This Row],[Convertible]]&lt;&gt;1), 1, 0)</f>
        <v>0</v>
      </c>
      <c r="R104" t="str">
        <f t="shared" si="15"/>
        <v>Convertible</v>
      </c>
    </row>
    <row r="105" spans="1:18" x14ac:dyDescent="0.25">
      <c r="A105">
        <f>'Ajoneuvorekisteri-Parse Modern '!AO65</f>
        <v>1738693</v>
      </c>
      <c r="B105" t="str">
        <f>'Ajoneuvorekisteri-Parse Modern '!AN65</f>
        <v>SAJJGAED4A</v>
      </c>
      <c r="C105" t="str">
        <f t="shared" si="8"/>
        <v>X100_EARLY_NORMAL_AR (JDHT)</v>
      </c>
      <c r="D105" t="str">
        <f t="shared" si="9"/>
        <v>UNKNOWN: [5=G]</v>
      </c>
      <c r="E105" t="str">
        <f t="shared" si="10"/>
        <v>UNKNOWN</v>
      </c>
      <c r="F105" t="str" cm="1">
        <f t="array" ref="F105">_xlfn.LET(_xlpm.v,UPPER(SUBSTITUTE(CLEAN(TRIM(B105)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105" t="str" cm="1">
        <f t="array" ref="G105">_xlfn.LET(_xlpm.vin,SUBSTITUTE(CLEAN(TRIM(B105)),CHAR(160),""),_xlpm.rawDate,LEFT(TRIM(H105)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031303–036193</v>
      </c>
      <c r="H105">
        <f>'Ajoneuvorekisteri-Parse Modern '!G65</f>
        <v>19990716</v>
      </c>
      <c r="I105" t="str">
        <f>LEFT(Table3[[#This Row],[Käyttöönotto]],4)</f>
        <v>1999</v>
      </c>
      <c r="J105" t="str">
        <f>'Ajoneuvorekisteri-Parse Modern '!AA65</f>
        <v>COUPE XK8 4.0-AUTOMATIC-JGED/259</v>
      </c>
      <c r="K105" t="str">
        <f>Ajoneuvorekisteri_Parse_Modern_XK_Range_TieliikenneAvoinData_30_06_2026_csv[[#This Row],[tyyppihyvaksyntanro]]</f>
        <v>e11*2001/116*0272*00</v>
      </c>
      <c r="L105">
        <f>'Ajoneuvorekisteri-Parse Modern '!M65</f>
        <v>1720</v>
      </c>
      <c r="M105">
        <f t="shared" si="11"/>
        <v>1</v>
      </c>
      <c r="N105">
        <f t="shared" si="12"/>
        <v>0</v>
      </c>
      <c r="O105">
        <f t="shared" si="13"/>
        <v>1</v>
      </c>
      <c r="P105">
        <f t="shared" si="14"/>
        <v>0</v>
      </c>
      <c r="Q105">
        <f>IF(AND(Table3[[#This Row],[Coupe]]&lt;&gt;1, Table3[[#This Row],[Convertible]]&lt;&gt;1), 1, 0)</f>
        <v>0</v>
      </c>
      <c r="R105" t="str">
        <f t="shared" si="15"/>
        <v>Coupe</v>
      </c>
    </row>
    <row r="106" spans="1:18" x14ac:dyDescent="0.25">
      <c r="A106">
        <f>'Ajoneuvorekisteri-Parse Modern '!AO67</f>
        <v>1740752</v>
      </c>
      <c r="B106" t="str">
        <f>'Ajoneuvorekisteri-Parse Modern '!AN67</f>
        <v>SAJJGAEF4A</v>
      </c>
      <c r="C106" t="str">
        <f t="shared" si="8"/>
        <v>X100_EARLY_NORMAL_AR (JDHT)</v>
      </c>
      <c r="D106" t="str">
        <f t="shared" si="9"/>
        <v>UNKNOWN: [5=G]</v>
      </c>
      <c r="E106" t="str">
        <f t="shared" si="10"/>
        <v>UNKNOWN</v>
      </c>
      <c r="F106" t="str" cm="1">
        <f t="array" ref="F106">_xlfn.LET(_xlpm.v,UPPER(SUBSTITUTE(CLEAN(TRIM(B106)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106" t="str" cm="1">
        <f t="array" ref="G106">_xlfn.LET(_xlpm.vin,SUBSTITUTE(CLEAN(TRIM(B106)),CHAR(160),""),_xlpm.rawDate,LEFT(TRIM(H106)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106">
        <f>'Ajoneuvorekisteri-Parse Modern '!G67</f>
        <v>19990818</v>
      </c>
      <c r="I106" t="str">
        <f>LEFT(Table3[[#This Row],[Käyttöönotto]],4)</f>
        <v>1999</v>
      </c>
      <c r="J106" t="str">
        <f>'Ajoneuvorekisteri-Parse Modern '!AA67</f>
        <v>COUPE XKR 4.0-AUTOMATIC-JGEF/259</v>
      </c>
      <c r="K106" t="str">
        <f>Ajoneuvorekisteri_Parse_Modern_XK_Range_TieliikenneAvoinData_30_06_2026_csv[[#This Row],[tyyppihyvaksyntanro]]</f>
        <v/>
      </c>
      <c r="L106">
        <f>'Ajoneuvorekisteri-Parse Modern '!M67</f>
        <v>1735</v>
      </c>
      <c r="M106">
        <f t="shared" si="11"/>
        <v>0</v>
      </c>
      <c r="N106">
        <f t="shared" si="12"/>
        <v>1</v>
      </c>
      <c r="O106">
        <f t="shared" si="13"/>
        <v>1</v>
      </c>
      <c r="P106">
        <f t="shared" si="14"/>
        <v>0</v>
      </c>
      <c r="Q106">
        <f>IF(AND(Table3[[#This Row],[Coupe]]&lt;&gt;1, Table3[[#This Row],[Convertible]]&lt;&gt;1), 1, 0)</f>
        <v>0</v>
      </c>
      <c r="R106" t="str">
        <f t="shared" si="15"/>
        <v>Coupe</v>
      </c>
    </row>
    <row r="107" spans="1:18" x14ac:dyDescent="0.25">
      <c r="A107">
        <f>'Ajoneuvorekisteri-Parse Modern '!AO122</f>
        <v>2489995</v>
      </c>
      <c r="B107" t="str">
        <f>'Ajoneuvorekisteri-Parse Modern '!AN122</f>
        <v>SAJJGAFD4A</v>
      </c>
      <c r="C107" t="str">
        <f t="shared" si="8"/>
        <v>X100_EARLY_NORMAL_AR (JDHT)</v>
      </c>
      <c r="D107" t="str">
        <f t="shared" si="9"/>
        <v>UNKNOWN: [5=G]</v>
      </c>
      <c r="E107" t="str">
        <f t="shared" si="10"/>
        <v>UNKNOWN</v>
      </c>
      <c r="F107" t="str" cm="1">
        <f t="array" ref="F107">_xlfn.LET(_xlpm.v,UPPER(SUBSTITUTE(CLEAN(TRIM(B107)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107" t="str" cm="1">
        <f t="array" ref="G107">_xlfn.LET(_xlpm.vin,SUBSTITUTE(CLEAN(TRIM(B107)),CHAR(160),""),_xlpm.rawDate,LEFT(TRIM(H107)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107">
        <f>'Ajoneuvorekisteri-Parse Modern '!G122</f>
        <v>19990826</v>
      </c>
      <c r="I107" t="str">
        <f>LEFT(Table3[[#This Row],[Käyttöönotto]],4)</f>
        <v>1999</v>
      </c>
      <c r="J107" t="str">
        <f>'Ajoneuvorekisteri-Parse Modern '!AA122</f>
        <v>XK8 Avoauto (AE) 2ov 3990cm3 A</v>
      </c>
      <c r="K107" t="str">
        <f>Ajoneuvorekisteri_Parse_Modern_XK_Range_TieliikenneAvoinData_30_06_2026_csv[[#This Row],[tyyppihyvaksyntanro]]</f>
        <v>E11*2001/116*0272*03</v>
      </c>
      <c r="L107">
        <f>'Ajoneuvorekisteri-Parse Modern '!M122</f>
        <v>1810</v>
      </c>
      <c r="M107">
        <f t="shared" si="11"/>
        <v>1</v>
      </c>
      <c r="N107">
        <f t="shared" si="12"/>
        <v>0</v>
      </c>
      <c r="O107">
        <f t="shared" si="13"/>
        <v>0</v>
      </c>
      <c r="P107">
        <f t="shared" si="14"/>
        <v>1</v>
      </c>
      <c r="Q107">
        <f>IF(AND(Table3[[#This Row],[Coupe]]&lt;&gt;1, Table3[[#This Row],[Convertible]]&lt;&gt;1), 1, 0)</f>
        <v>0</v>
      </c>
      <c r="R107" t="str">
        <f t="shared" si="15"/>
        <v>Convertible</v>
      </c>
    </row>
    <row r="108" spans="1:18" x14ac:dyDescent="0.25">
      <c r="A108">
        <f>'Ajoneuvorekisteri-Parse Modern '!AO176</f>
        <v>3039527</v>
      </c>
      <c r="B108" t="str">
        <f>'Ajoneuvorekisteri-Parse Modern '!AN176</f>
        <v>SAJJA42C8Y</v>
      </c>
      <c r="C108" t="str">
        <f t="shared" si="8"/>
        <v>UNKNOWN: [prefix=SAJJA]</v>
      </c>
      <c r="D108" t="str">
        <f t="shared" si="9"/>
        <v>XK8-XKR_CONVERTIBLE_USA_AUTO_LHD_EMISSION_C_2000MY</v>
      </c>
      <c r="E108" t="str">
        <f t="shared" si="10"/>
        <v>UNKNOWN</v>
      </c>
      <c r="F108" t="str" cm="1">
        <f t="array" ref="F108">_xlfn.LET(_xlpm.v,UPPER(SUBSTITUTE(CLEAN(TRIM(B108)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XK8-XKR_CONVERTIBLE_USA_AUTO_LHD_EMISSION_C_2000MY</v>
      </c>
      <c r="G108" t="str" cm="1">
        <f t="array" ref="G108">_xlfn.LET(_xlpm.vin,SUBSTITUTE(CLEAN(TRIM(B108)),CHAR(160),""),_xlpm.rawDate,LEFT(TRIM(H108)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108">
        <f>'Ajoneuvorekisteri-Parse Modern '!G176</f>
        <v>19990901</v>
      </c>
      <c r="I108" t="str">
        <f>LEFT(Table3[[#This Row],[Käyttöönotto]],4)</f>
        <v>1999</v>
      </c>
      <c r="J108" t="str">
        <f>'Ajoneuvorekisteri-Parse Modern '!AA176</f>
        <v>XK8 Convertible Avoauto (AE) 2ov 3996cm3 A</v>
      </c>
      <c r="K108" t="str">
        <f>Ajoneuvorekisteri_Parse_Modern_XK_Range_TieliikenneAvoinData_30_06_2026_csv[[#This Row],[tyyppihyvaksyntanro]]</f>
        <v>E11*95/54*0061*02</v>
      </c>
      <c r="L108">
        <f>'Ajoneuvorekisteri-Parse Modern '!M176</f>
        <v>1825</v>
      </c>
      <c r="M108">
        <f t="shared" si="11"/>
        <v>1</v>
      </c>
      <c r="N108">
        <f t="shared" si="12"/>
        <v>0</v>
      </c>
      <c r="O108">
        <f t="shared" si="13"/>
        <v>0</v>
      </c>
      <c r="P108">
        <f t="shared" si="14"/>
        <v>1</v>
      </c>
      <c r="Q108">
        <f>IF(AND(Table3[[#This Row],[Coupe]]&lt;&gt;1, Table3[[#This Row],[Convertible]]&lt;&gt;1), 1, 0)</f>
        <v>0</v>
      </c>
      <c r="R108" t="str">
        <f t="shared" si="15"/>
        <v>Convertible</v>
      </c>
    </row>
    <row r="109" spans="1:18" x14ac:dyDescent="0.25">
      <c r="A109">
        <f>'Ajoneuvorekisteri-Parse Modern '!AO103</f>
        <v>2282295</v>
      </c>
      <c r="B109" t="str">
        <f>'Ajoneuvorekisteri-Parse Modern '!AN103</f>
        <v>SAJJGAEF4A</v>
      </c>
      <c r="C109" t="str">
        <f t="shared" si="8"/>
        <v>X100_EARLY_NORMAL_AR (JDHT)</v>
      </c>
      <c r="D109" t="str">
        <f t="shared" si="9"/>
        <v>UNKNOWN: [5=G]</v>
      </c>
      <c r="E109" t="str">
        <f t="shared" si="10"/>
        <v>UNKNOWN</v>
      </c>
      <c r="F109" t="str" cm="1">
        <f t="array" ref="F109">_xlfn.LET(_xlpm.v,UPPER(SUBSTITUTE(CLEAN(TRIM(B109)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109" t="str" cm="1">
        <f t="array" ref="G109">_xlfn.LET(_xlpm.vin,SUBSTITUTE(CLEAN(TRIM(B109)),CHAR(160),""),_xlpm.rawDate,LEFT(TRIM(H109)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109">
        <f>'Ajoneuvorekisteri-Parse Modern '!G103</f>
        <v>19990920</v>
      </c>
      <c r="I109" t="str">
        <f>LEFT(Table3[[#This Row],[Käyttöönotto]],4)</f>
        <v>1999</v>
      </c>
      <c r="J109" t="str">
        <f>'Ajoneuvorekisteri-Parse Modern '!AA103</f>
        <v>XK Coup� (AD) 2ov 3996cm3 A</v>
      </c>
      <c r="K109" t="str">
        <f>Ajoneuvorekisteri_Parse_Modern_XK_Range_TieliikenneAvoinData_30_06_2026_csv[[#This Row],[tyyppihyvaksyntanro]]</f>
        <v>e11*95/54*0061*05</v>
      </c>
      <c r="L109">
        <f>'Ajoneuvorekisteri-Parse Modern '!M103</f>
        <v>1715</v>
      </c>
      <c r="M109">
        <f t="shared" si="11"/>
        <v>1</v>
      </c>
      <c r="N109">
        <f t="shared" si="12"/>
        <v>0</v>
      </c>
      <c r="O109">
        <f t="shared" si="13"/>
        <v>1</v>
      </c>
      <c r="P109">
        <f t="shared" si="14"/>
        <v>0</v>
      </c>
      <c r="Q109">
        <f>IF(AND(Table3[[#This Row],[Coupe]]&lt;&gt;1, Table3[[#This Row],[Convertible]]&lt;&gt;1), 1, 0)</f>
        <v>0</v>
      </c>
      <c r="R109" t="str">
        <f t="shared" si="15"/>
        <v>Coupe</v>
      </c>
    </row>
    <row r="110" spans="1:18" x14ac:dyDescent="0.25">
      <c r="A110">
        <f>'Ajoneuvorekisteri-Parse Modern '!AO63</f>
        <v>1691274</v>
      </c>
      <c r="B110" t="str">
        <f>'Ajoneuvorekisteri-Parse Modern '!AN63</f>
        <v>SAJAA41J2Y</v>
      </c>
      <c r="C110" t="str">
        <f t="shared" si="8"/>
        <v>UNKNOWN: [prefix=SAJAA]</v>
      </c>
      <c r="D110" t="str">
        <f t="shared" si="9"/>
        <v>UNKNOWN: [4=A]</v>
      </c>
      <c r="E110" t="str">
        <f t="shared" si="10"/>
        <v>UNKNOWN</v>
      </c>
      <c r="F110" t="str" cm="1">
        <f t="array" ref="F110">_xlfn.LET(_xlpm.v,UPPER(SUBSTITUTE(CLEAN(TRIM(B110)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XK8-XKR_COUPE_MEXICO_AUTO_LHD_EMISSION_J_2000MY</v>
      </c>
      <c r="G110" t="str" cm="1">
        <f t="array" ref="G110">_xlfn.LET(_xlpm.vin,SUBSTITUTE(CLEAN(TRIM(B110)),CHAR(160),""),_xlpm.rawDate,LEFT(TRIM(H110)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110">
        <f>'Ajoneuvorekisteri-Parse Modern '!G63</f>
        <v>19990927</v>
      </c>
      <c r="I110" t="str">
        <f>LEFT(Table3[[#This Row],[Käyttöönotto]],4)</f>
        <v>1999</v>
      </c>
      <c r="J110" t="str">
        <f>'Ajoneuvorekisteri-Parse Modern '!AA63</f>
        <v>COUPE XKR 4.0-AUTOMATIC-41J/259</v>
      </c>
      <c r="K110" t="str">
        <f>Ajoneuvorekisteri_Parse_Modern_XK_Range_TieliikenneAvoinData_30_06_2026_csv[[#This Row],[tyyppihyvaksyntanro]]</f>
        <v>e11*2001/116*0272*07</v>
      </c>
      <c r="L110">
        <f>'Ajoneuvorekisteri-Parse Modern '!M63</f>
        <v>1735</v>
      </c>
      <c r="M110">
        <f t="shared" si="11"/>
        <v>0</v>
      </c>
      <c r="N110">
        <f t="shared" si="12"/>
        <v>1</v>
      </c>
      <c r="O110">
        <f t="shared" si="13"/>
        <v>1</v>
      </c>
      <c r="P110">
        <f t="shared" si="14"/>
        <v>0</v>
      </c>
      <c r="Q110">
        <f>IF(AND(Table3[[#This Row],[Coupe]]&lt;&gt;1, Table3[[#This Row],[Convertible]]&lt;&gt;1), 1, 0)</f>
        <v>0</v>
      </c>
      <c r="R110" t="str">
        <f t="shared" si="15"/>
        <v>Coupe</v>
      </c>
    </row>
    <row r="111" spans="1:18" x14ac:dyDescent="0.25">
      <c r="A111">
        <f>'Ajoneuvorekisteri-Parse Modern '!AO26</f>
        <v>906178</v>
      </c>
      <c r="B111" t="str">
        <f>'Ajoneuvorekisteri-Parse Modern '!AN26</f>
        <v>SAJJGAED4A</v>
      </c>
      <c r="C111" t="str">
        <f t="shared" si="8"/>
        <v>X100_EARLY_NORMAL_AR (JDHT)</v>
      </c>
      <c r="D111" t="str">
        <f t="shared" si="9"/>
        <v>UNKNOWN: [5=G]</v>
      </c>
      <c r="E111" t="str">
        <f t="shared" si="10"/>
        <v>UNKNOWN</v>
      </c>
      <c r="F111" t="str" cm="1">
        <f t="array" ref="F111">_xlfn.LET(_xlpm.v,UPPER(SUBSTITUTE(CLEAN(TRIM(B111)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X100_EARLY_NORMAL_AR (JDHT)</v>
      </c>
      <c r="G111" t="str" cm="1">
        <f t="array" ref="G111">_xlfn.LET(_xlpm.vin,SUBSTITUTE(CLEAN(TRIM(B111)),CHAR(160),""),_xlpm.rawDate,LEFT(TRIM(H111)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111">
        <f>'Ajoneuvorekisteri-Parse Modern '!G26</f>
        <v>19991018</v>
      </c>
      <c r="I111" t="str">
        <f>LEFT(Table3[[#This Row],[Käyttöönotto]],4)</f>
        <v>1999</v>
      </c>
      <c r="J111" t="str">
        <f>'Ajoneuvorekisteri-Parse Modern '!AA26</f>
        <v>COUPE XK8 4.0-AUTOMATIC-JGED/259</v>
      </c>
      <c r="K111" t="str">
        <f>Ajoneuvorekisteri_Parse_Modern_XK_Range_TieliikenneAvoinData_30_06_2026_csv[[#This Row],[tyyppihyvaksyntanro]]</f>
        <v/>
      </c>
      <c r="L111">
        <f>'Ajoneuvorekisteri-Parse Modern '!M26</f>
        <v>1690</v>
      </c>
      <c r="M111">
        <f t="shared" si="11"/>
        <v>1</v>
      </c>
      <c r="N111">
        <f t="shared" si="12"/>
        <v>0</v>
      </c>
      <c r="O111">
        <f t="shared" si="13"/>
        <v>1</v>
      </c>
      <c r="P111">
        <f t="shared" si="14"/>
        <v>0</v>
      </c>
      <c r="Q111">
        <f>IF(AND(Table3[[#This Row],[Coupe]]&lt;&gt;1, Table3[[#This Row],[Convertible]]&lt;&gt;1), 1, 0)</f>
        <v>0</v>
      </c>
      <c r="R111" t="str">
        <f t="shared" si="15"/>
        <v>Coupe</v>
      </c>
    </row>
    <row r="112" spans="1:18" x14ac:dyDescent="0.25">
      <c r="A112">
        <f>'Ajoneuvorekisteri-Parse Modern '!AO229</f>
        <v>3794414</v>
      </c>
      <c r="B112" t="str">
        <f>'Ajoneuvorekisteri-Parse Modern '!AN229</f>
        <v>SAJGX2049X</v>
      </c>
      <c r="C112" t="str">
        <f t="shared" si="8"/>
        <v>UNKNOWN: [7=0]</v>
      </c>
      <c r="D112" t="str">
        <f t="shared" si="9"/>
        <v>UNKNOWN: [5=X]</v>
      </c>
      <c r="E112" t="str">
        <f t="shared" si="10"/>
        <v>UNKNOWN</v>
      </c>
      <c r="F112" t="str" cm="1">
        <f t="array" ref="F112">_xlfn.LET(_xlpm.v,UPPER(SUBSTITUTE(CLEAN(TRIM(B112)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UNKNOWN: [7=0]</v>
      </c>
      <c r="G112" t="str" cm="1">
        <f t="array" ref="G112">_xlfn.LET(_xlpm.vin,SUBSTITUTE(CLEAN(TRIM(B112)),CHAR(160),""),_xlpm.rawDate,LEFT(TRIM(H112)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112">
        <f>'Ajoneuvorekisteri-Parse Modern '!G229</f>
        <v>19991231</v>
      </c>
      <c r="I112" t="str">
        <f>LEFT(Table3[[#This Row],[Käyttöönotto]],4)</f>
        <v>1999</v>
      </c>
      <c r="J112" t="str">
        <f>'Ajoneuvorekisteri-Parse Modern '!AA229</f>
        <v>XK Avoauto (AE) 2ov 3990cm3 A</v>
      </c>
      <c r="K112" t="str">
        <f>Ajoneuvorekisteri_Parse_Modern_XK_Range_TieliikenneAvoinData_30_06_2026_csv[[#This Row],[tyyppihyvaksyntanro]]</f>
        <v/>
      </c>
      <c r="L112">
        <f>'Ajoneuvorekisteri-Parse Modern '!M229</f>
        <v>1720</v>
      </c>
      <c r="M112">
        <f t="shared" si="11"/>
        <v>1</v>
      </c>
      <c r="N112">
        <f t="shared" si="12"/>
        <v>0</v>
      </c>
      <c r="O112">
        <f t="shared" si="13"/>
        <v>0</v>
      </c>
      <c r="P112">
        <f t="shared" si="14"/>
        <v>1</v>
      </c>
      <c r="Q112">
        <f>IF(AND(Table3[[#This Row],[Coupe]]&lt;&gt;1, Table3[[#This Row],[Convertible]]&lt;&gt;1), 1, 0)</f>
        <v>0</v>
      </c>
      <c r="R112" t="str">
        <f t="shared" si="15"/>
        <v>Convertible</v>
      </c>
    </row>
    <row r="113" spans="1:18" x14ac:dyDescent="0.25">
      <c r="A113">
        <f>'Ajoneuvorekisteri-Parse Modern '!AO233</f>
        <v>4008992</v>
      </c>
      <c r="B113" t="str">
        <f>'Ajoneuvorekisteri-Parse Modern '!AN233</f>
        <v>SAJJA42CXY</v>
      </c>
      <c r="C113" t="str">
        <f t="shared" si="8"/>
        <v>UNKNOWN: [prefix=SAJJA]</v>
      </c>
      <c r="D113" t="str">
        <f t="shared" si="9"/>
        <v>XK8-XKR_CONVERTIBLE_USA_AUTO_LHD_EMISSION_C_2000MY</v>
      </c>
      <c r="E113" t="str">
        <f t="shared" si="10"/>
        <v>UNKNOWN</v>
      </c>
      <c r="F113" t="str" cm="1">
        <f t="array" ref="F113">_xlfn.LET(_xlpm.v,UPPER(SUBSTITUTE(CLEAN(TRIM(B113)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XK8-XKR_CONVERTIBLE_USA_AUTO_LHD_EMISSION_C_2000MY</v>
      </c>
      <c r="G113" t="str" cm="1">
        <f t="array" ref="G113">_xlfn.LET(_xlpm.vin,SUBSTITUTE(CLEAN(TRIM(B113)),CHAR(160),""),_xlpm.rawDate,LEFT(TRIM(H113)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113">
        <f>'Ajoneuvorekisteri-Parse Modern '!G233</f>
        <v>20000000</v>
      </c>
      <c r="I113" t="str">
        <f>LEFT(Table3[[#This Row],[Käyttöönotto]],4)</f>
        <v>2000</v>
      </c>
      <c r="J113" t="str">
        <f>'Ajoneuvorekisteri-Parse Modern '!AA233</f>
        <v>XK Avoauto (AE) 2ov 3990cm3 A</v>
      </c>
      <c r="K113" t="str">
        <f>Ajoneuvorekisteri_Parse_Modern_XK_Range_TieliikenneAvoinData_30_06_2026_csv[[#This Row],[tyyppihyvaksyntanro]]</f>
        <v>e11*95/54*0061*05</v>
      </c>
      <c r="L113">
        <f>'Ajoneuvorekisteri-Parse Modern '!M233</f>
        <v>1780</v>
      </c>
      <c r="M113">
        <f t="shared" si="11"/>
        <v>1</v>
      </c>
      <c r="N113">
        <f t="shared" si="12"/>
        <v>0</v>
      </c>
      <c r="O113">
        <f t="shared" si="13"/>
        <v>0</v>
      </c>
      <c r="P113">
        <f t="shared" si="14"/>
        <v>1</v>
      </c>
      <c r="Q113">
        <f>IF(AND(Table3[[#This Row],[Coupe]]&lt;&gt;1, Table3[[#This Row],[Convertible]]&lt;&gt;1), 1, 0)</f>
        <v>0</v>
      </c>
      <c r="R113" t="str">
        <f t="shared" si="15"/>
        <v>Convertible</v>
      </c>
    </row>
    <row r="114" spans="1:18" x14ac:dyDescent="0.25">
      <c r="A114">
        <f>'Ajoneuvorekisteri-Parse Modern '!AO131</f>
        <v>2540915</v>
      </c>
      <c r="B114" t="str">
        <f>'Ajoneuvorekisteri-Parse Modern '!AN131</f>
        <v>SAJJA42C9Y</v>
      </c>
      <c r="C114" t="str">
        <f t="shared" si="8"/>
        <v>UNKNOWN: [prefix=SAJJA]</v>
      </c>
      <c r="D114" t="str">
        <f t="shared" si="9"/>
        <v>XK8-XKR_CONVERTIBLE_USA_AUTO_LHD_EMISSION_C_2000MY</v>
      </c>
      <c r="E114" t="str">
        <f t="shared" si="10"/>
        <v>UNKNOWN</v>
      </c>
      <c r="F114" t="str" cm="1">
        <f t="array" ref="F114">_xlfn.LET(_xlpm.v,UPPER(SUBSTITUTE(CLEAN(TRIM(B114)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XK8-XKR_CONVERTIBLE_USA_AUTO_LHD_EMISSION_C_2000MY</v>
      </c>
      <c r="G114" t="str" cm="1">
        <f t="array" ref="G114">_xlfn.LET(_xlpm.vin,SUBSTITUTE(CLEAN(TRIM(B114)),CHAR(160),""),_xlpm.rawDate,LEFT(TRIM(H114)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114">
        <f>'Ajoneuvorekisteri-Parse Modern '!G131</f>
        <v>20000101</v>
      </c>
      <c r="I114" t="str">
        <f>LEFT(Table3[[#This Row],[Käyttöönotto]],4)</f>
        <v>2000</v>
      </c>
      <c r="J114" t="str">
        <f>'Ajoneuvorekisteri-Parse Modern '!AA131</f>
        <v>XK Avoauto (AE) 2ov 3996cm3 A</v>
      </c>
      <c r="K114" t="str">
        <f>Ajoneuvorekisteri_Parse_Modern_XK_Range_TieliikenneAvoinData_30_06_2026_csv[[#This Row],[tyyppihyvaksyntanro]]</f>
        <v/>
      </c>
      <c r="L114">
        <f>'Ajoneuvorekisteri-Parse Modern '!M131</f>
        <v>1780</v>
      </c>
      <c r="M114">
        <f t="shared" si="11"/>
        <v>1</v>
      </c>
      <c r="N114">
        <f t="shared" si="12"/>
        <v>0</v>
      </c>
      <c r="O114">
        <f t="shared" si="13"/>
        <v>0</v>
      </c>
      <c r="P114">
        <f t="shared" si="14"/>
        <v>1</v>
      </c>
      <c r="Q114">
        <f>IF(AND(Table3[[#This Row],[Coupe]]&lt;&gt;1, Table3[[#This Row],[Convertible]]&lt;&gt;1), 1, 0)</f>
        <v>0</v>
      </c>
      <c r="R114" t="str">
        <f t="shared" si="15"/>
        <v>Convertible</v>
      </c>
    </row>
    <row r="115" spans="1:18" x14ac:dyDescent="0.25">
      <c r="A115">
        <f>'Ajoneuvorekisteri-Parse Modern '!AO140</f>
        <v>2644851</v>
      </c>
      <c r="B115" t="str">
        <f>'Ajoneuvorekisteri-Parse Modern '!AN140</f>
        <v>SAJJA42B8Y</v>
      </c>
      <c r="C115" t="str">
        <f t="shared" si="8"/>
        <v>UNKNOWN: [prefix=SAJJA]</v>
      </c>
      <c r="D115" t="str">
        <f t="shared" si="9"/>
        <v>XK8-XKR_CONVERTIBLE_USA_AUTO_LHD_EMISSION_B_2000MY</v>
      </c>
      <c r="E115" t="str">
        <f t="shared" si="10"/>
        <v>UNKNOWN</v>
      </c>
      <c r="F115" t="str" cm="1">
        <f t="array" ref="F115">_xlfn.LET(_xlpm.v,UPPER(SUBSTITUTE(CLEAN(TRIM(B115)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XK8-XKR_CONVERTIBLE_USA_AUTO_LHD_EMISSION_B_2000MY</v>
      </c>
      <c r="G115" t="str" cm="1">
        <f t="array" ref="G115">_xlfn.LET(_xlpm.vin,SUBSTITUTE(CLEAN(TRIM(B115)),CHAR(160),""),_xlpm.rawDate,LEFT(TRIM(H115)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115">
        <f>'Ajoneuvorekisteri-Parse Modern '!G140</f>
        <v>20000104</v>
      </c>
      <c r="I115" t="str">
        <f>LEFT(Table3[[#This Row],[Käyttöönotto]],4)</f>
        <v>2000</v>
      </c>
      <c r="J115" t="str">
        <f>'Ajoneuvorekisteri-Parse Modern '!AA140</f>
        <v>2D CONVERTIBLE XKR 4.0-AUTOMATIC-42B/259 Avoauto (AE) 2ov 3990cm3 A</v>
      </c>
      <c r="K115" t="str">
        <f>Ajoneuvorekisteri_Parse_Modern_XK_Range_TieliikenneAvoinData_30_06_2026_csv[[#This Row],[tyyppihyvaksyntanro]]</f>
        <v/>
      </c>
      <c r="L115">
        <f>'Ajoneuvorekisteri-Parse Modern '!M140</f>
        <v>1825</v>
      </c>
      <c r="M115">
        <f t="shared" si="11"/>
        <v>0</v>
      </c>
      <c r="N115">
        <f t="shared" si="12"/>
        <v>1</v>
      </c>
      <c r="O115">
        <f t="shared" si="13"/>
        <v>0</v>
      </c>
      <c r="P115">
        <f t="shared" si="14"/>
        <v>1</v>
      </c>
      <c r="Q115">
        <f>IF(AND(Table3[[#This Row],[Coupe]]&lt;&gt;1, Table3[[#This Row],[Convertible]]&lt;&gt;1), 1, 0)</f>
        <v>0</v>
      </c>
      <c r="R115" t="str">
        <f t="shared" si="15"/>
        <v>Convertible</v>
      </c>
    </row>
    <row r="116" spans="1:18" x14ac:dyDescent="0.25">
      <c r="A116">
        <f>'Ajoneuvorekisteri-Parse Modern '!AO39</f>
        <v>1227207</v>
      </c>
      <c r="B116" t="str">
        <f>'Ajoneuvorekisteri-Parse Modern '!AN39</f>
        <v>SAJAA42J7Y</v>
      </c>
      <c r="C116" t="str">
        <f t="shared" si="8"/>
        <v>UNKNOWN: [prefix=SAJAA]</v>
      </c>
      <c r="D116" t="str">
        <f t="shared" si="9"/>
        <v>UNKNOWN: [4=A]</v>
      </c>
      <c r="E116" t="str">
        <f t="shared" si="10"/>
        <v>UNKNOWN</v>
      </c>
      <c r="F116" t="str" cm="1">
        <f t="array" ref="F116">_xlfn.LET(_xlpm.v,UPPER(SUBSTITUTE(CLEAN(TRIM(B116)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XK8-XKR_CONVERTIBLE_MEXICO_AUTO_LHD_EMISSION_J_2000MY</v>
      </c>
      <c r="G116" t="str" cm="1">
        <f t="array" ref="G116">_xlfn.LET(_xlpm.vin,SUBSTITUTE(CLEAN(TRIM(B116)),CHAR(160),""),_xlpm.rawDate,LEFT(TRIM(H116)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116">
        <f>'Ajoneuvorekisteri-Parse Modern '!G39</f>
        <v>20000105</v>
      </c>
      <c r="I116" t="str">
        <f>LEFT(Table3[[#This Row],[Käyttöönotto]],4)</f>
        <v>2000</v>
      </c>
      <c r="J116" t="str">
        <f>'Ajoneuvorekisteri-Parse Modern '!AA39</f>
        <v>2D CONVERTIBLE XKR 4.0-AUTOMATIC-JGFF/259</v>
      </c>
      <c r="K116" t="str">
        <f>Ajoneuvorekisteri_Parse_Modern_XK_Range_TieliikenneAvoinData_30_06_2026_csv[[#This Row],[tyyppihyvaksyntanro]]</f>
        <v/>
      </c>
      <c r="L116">
        <f>'Ajoneuvorekisteri-Parse Modern '!M39</f>
        <v>1845</v>
      </c>
      <c r="M116">
        <f t="shared" si="11"/>
        <v>0</v>
      </c>
      <c r="N116">
        <f t="shared" si="12"/>
        <v>1</v>
      </c>
      <c r="O116">
        <f t="shared" si="13"/>
        <v>0</v>
      </c>
      <c r="P116">
        <f t="shared" si="14"/>
        <v>1</v>
      </c>
      <c r="Q116">
        <f>IF(AND(Table3[[#This Row],[Coupe]]&lt;&gt;1, Table3[[#This Row],[Convertible]]&lt;&gt;1), 1, 0)</f>
        <v>0</v>
      </c>
      <c r="R116" t="str">
        <f t="shared" si="15"/>
        <v>Convertible</v>
      </c>
    </row>
    <row r="117" spans="1:18" x14ac:dyDescent="0.25">
      <c r="A117">
        <f>'Ajoneuvorekisteri-Parse Modern '!AO45</f>
        <v>1300025</v>
      </c>
      <c r="B117" t="str">
        <f>'Ajoneuvorekisteri-Parse Modern '!AN45</f>
        <v>SAJAA41J5Y</v>
      </c>
      <c r="C117" t="str">
        <f t="shared" si="8"/>
        <v>UNKNOWN: [prefix=SAJAA]</v>
      </c>
      <c r="D117" t="str">
        <f t="shared" si="9"/>
        <v>UNKNOWN: [4=A]</v>
      </c>
      <c r="E117" t="str">
        <f t="shared" si="10"/>
        <v>UNKNOWN</v>
      </c>
      <c r="F117" t="str" cm="1">
        <f t="array" ref="F117">_xlfn.LET(_xlpm.v,UPPER(SUBSTITUTE(CLEAN(TRIM(B117)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XK8-XKR_COUPE_MEXICO_AUTO_LHD_EMISSION_J_2000MY</v>
      </c>
      <c r="G117" t="str" cm="1">
        <f t="array" ref="G117">_xlfn.LET(_xlpm.vin,SUBSTITUTE(CLEAN(TRIM(B117)),CHAR(160),""),_xlpm.rawDate,LEFT(TRIM(H117)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117">
        <f>'Ajoneuvorekisteri-Parse Modern '!G45</f>
        <v>20000106</v>
      </c>
      <c r="I117" t="str">
        <f>LEFT(Table3[[#This Row],[Käyttöönotto]],4)</f>
        <v>2000</v>
      </c>
      <c r="J117" t="str">
        <f>'Ajoneuvorekisteri-Parse Modern '!AA45</f>
        <v>COUPE XKR 4.0-AUTOMATIC-AA1J/259</v>
      </c>
      <c r="K117" t="str">
        <f>Ajoneuvorekisteri_Parse_Modern_XK_Range_TieliikenneAvoinData_30_06_2026_csv[[#This Row],[tyyppihyvaksyntanro]]</f>
        <v/>
      </c>
      <c r="L117">
        <f>'Ajoneuvorekisteri-Parse Modern '!M45</f>
        <v>1735</v>
      </c>
      <c r="M117">
        <f t="shared" si="11"/>
        <v>0</v>
      </c>
      <c r="N117">
        <f t="shared" si="12"/>
        <v>1</v>
      </c>
      <c r="O117">
        <f t="shared" si="13"/>
        <v>1</v>
      </c>
      <c r="P117">
        <f t="shared" si="14"/>
        <v>0</v>
      </c>
      <c r="Q117">
        <f>IF(AND(Table3[[#This Row],[Coupe]]&lt;&gt;1, Table3[[#This Row],[Convertible]]&lt;&gt;1), 1, 0)</f>
        <v>0</v>
      </c>
      <c r="R117" t="str">
        <f t="shared" si="15"/>
        <v>Coupe</v>
      </c>
    </row>
    <row r="118" spans="1:18" x14ac:dyDescent="0.25">
      <c r="A118">
        <f>'Ajoneuvorekisteri-Parse Modern '!AO76</f>
        <v>1974202</v>
      </c>
      <c r="B118" t="str">
        <f>'Ajoneuvorekisteri-Parse Modern '!AN76</f>
        <v>SAJAA41E2Y</v>
      </c>
      <c r="C118" t="str">
        <f t="shared" si="8"/>
        <v>UNKNOWN: [prefix=SAJAA]</v>
      </c>
      <c r="D118" t="str">
        <f t="shared" si="9"/>
        <v>UNKNOWN: [4=A]</v>
      </c>
      <c r="E118" t="str">
        <f t="shared" si="10"/>
        <v>UNKNOWN</v>
      </c>
      <c r="F118" t="str" cm="1">
        <f t="array" ref="F118">_xlfn.LET(_xlpm.v,UPPER(SUBSTITUTE(CLEAN(TRIM(B118)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XK8-XKR_COUPE_MEXICO_AUTO_LHD_EMISSION_E_2000MY</v>
      </c>
      <c r="G118" t="str" cm="1">
        <f t="array" ref="G118">_xlfn.LET(_xlpm.vin,SUBSTITUTE(CLEAN(TRIM(B118)),CHAR(160),""),_xlpm.rawDate,LEFT(TRIM(H118)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118">
        <f>'Ajoneuvorekisteri-Parse Modern '!G76</f>
        <v>20000107</v>
      </c>
      <c r="I118" t="str">
        <f>LEFT(Table3[[#This Row],[Käyttöönotto]],4)</f>
        <v>2000</v>
      </c>
      <c r="J118" t="str">
        <f>'Ajoneuvorekisteri-Parse Modern '!AA76</f>
        <v>XK8 Coup� (AD) 2ov 3996cm3</v>
      </c>
      <c r="K118" t="str">
        <f>Ajoneuvorekisteri_Parse_Modern_XK_Range_TieliikenneAvoinData_30_06_2026_csv[[#This Row],[tyyppihyvaksyntanro]]</f>
        <v/>
      </c>
      <c r="L118">
        <f>'Ajoneuvorekisteri-Parse Modern '!M76</f>
        <v>1690</v>
      </c>
      <c r="M118">
        <f t="shared" si="11"/>
        <v>1</v>
      </c>
      <c r="N118">
        <f t="shared" si="12"/>
        <v>0</v>
      </c>
      <c r="O118">
        <f t="shared" si="13"/>
        <v>1</v>
      </c>
      <c r="P118">
        <f t="shared" si="14"/>
        <v>0</v>
      </c>
      <c r="Q118">
        <f>IF(AND(Table3[[#This Row],[Coupe]]&lt;&gt;1, Table3[[#This Row],[Convertible]]&lt;&gt;1), 1, 0)</f>
        <v>0</v>
      </c>
      <c r="R118" t="str">
        <f t="shared" si="15"/>
        <v>Coupe</v>
      </c>
    </row>
    <row r="119" spans="1:18" x14ac:dyDescent="0.25">
      <c r="A119">
        <f>'Ajoneuvorekisteri-Parse Modern '!AO8</f>
        <v>155675</v>
      </c>
      <c r="B119" t="str">
        <f>'Ajoneuvorekisteri-Parse Modern '!AN8</f>
        <v>SAJAA41J1Y</v>
      </c>
      <c r="C119" t="str">
        <f t="shared" si="8"/>
        <v>UNKNOWN: [prefix=SAJAA]</v>
      </c>
      <c r="D119" t="str">
        <f t="shared" si="9"/>
        <v>UNKNOWN: [4=A]</v>
      </c>
      <c r="E119" t="str">
        <f t="shared" si="10"/>
        <v>UNKNOWN</v>
      </c>
      <c r="F119" t="str" cm="1">
        <f t="array" ref="F119">_xlfn.LET(_xlpm.v,UPPER(SUBSTITUTE(CLEAN(TRIM(B119)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XK8-XKR_COUPE_MEXICO_AUTO_LHD_EMISSION_J_2000MY</v>
      </c>
      <c r="G119" t="str" cm="1">
        <f t="array" ref="G119">_xlfn.LET(_xlpm.vin,SUBSTITUTE(CLEAN(TRIM(B119)),CHAR(160),""),_xlpm.rawDate,LEFT(TRIM(H119)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119">
        <f>'Ajoneuvorekisteri-Parse Modern '!G8</f>
        <v>20000111</v>
      </c>
      <c r="I119" t="str">
        <f>LEFT(Table3[[#This Row],[Käyttöönotto]],4)</f>
        <v>2000</v>
      </c>
      <c r="J119" t="str">
        <f>'Ajoneuvorekisteri-Parse Modern '!AA8</f>
        <v>COUPE XKR 4.0-AUTOMATIC-JGEF/259</v>
      </c>
      <c r="K119" t="str">
        <f>Ajoneuvorekisteri_Parse_Modern_XK_Range_TieliikenneAvoinData_30_06_2026_csv[[#This Row],[tyyppihyvaksyntanro]]</f>
        <v/>
      </c>
      <c r="L119">
        <f>'Ajoneuvorekisteri-Parse Modern '!M8</f>
        <v>1735</v>
      </c>
      <c r="M119">
        <f t="shared" si="11"/>
        <v>0</v>
      </c>
      <c r="N119">
        <f t="shared" si="12"/>
        <v>1</v>
      </c>
      <c r="O119">
        <f t="shared" si="13"/>
        <v>1</v>
      </c>
      <c r="P119">
        <f t="shared" si="14"/>
        <v>0</v>
      </c>
      <c r="Q119">
        <f>IF(AND(Table3[[#This Row],[Coupe]]&lt;&gt;1, Table3[[#This Row],[Convertible]]&lt;&gt;1), 1, 0)</f>
        <v>0</v>
      </c>
      <c r="R119" t="str">
        <f t="shared" si="15"/>
        <v>Coupe</v>
      </c>
    </row>
    <row r="120" spans="1:18" x14ac:dyDescent="0.25">
      <c r="A120">
        <f>'Ajoneuvorekisteri-Parse Modern '!AO14</f>
        <v>471735</v>
      </c>
      <c r="B120" t="str">
        <f>'Ajoneuvorekisteri-Parse Modern '!AN14</f>
        <v>SAJAA42EXY</v>
      </c>
      <c r="C120" t="str">
        <f t="shared" si="8"/>
        <v>UNKNOWN: [prefix=SAJAA]</v>
      </c>
      <c r="D120" t="str">
        <f t="shared" si="9"/>
        <v>UNKNOWN: [4=A]</v>
      </c>
      <c r="E120" t="str">
        <f t="shared" si="10"/>
        <v>UNKNOWN</v>
      </c>
      <c r="F120" t="str" cm="1">
        <f t="array" ref="F120">_xlfn.LET(_xlpm.v,UPPER(SUBSTITUTE(CLEAN(TRIM(B120)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XK8-XKR_CONVERTIBLE_MEXICO_AUTO_LHD_EMISSION_E_2000MY</v>
      </c>
      <c r="G120" t="str" cm="1">
        <f t="array" ref="G120">_xlfn.LET(_xlpm.vin,SUBSTITUTE(CLEAN(TRIM(B120)),CHAR(160),""),_xlpm.rawDate,LEFT(TRIM(H120)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120">
        <f>'Ajoneuvorekisteri-Parse Modern '!G14</f>
        <v>20000111</v>
      </c>
      <c r="I120" t="str">
        <f>LEFT(Table3[[#This Row],[Käyttöönotto]],4)</f>
        <v>2000</v>
      </c>
      <c r="J120" t="str">
        <f>'Ajoneuvorekisteri-Parse Modern '!AA14</f>
        <v>2D CONVERTIBLE XK8 4.0-AUTOMATIC-AA2E/259</v>
      </c>
      <c r="K120" t="str">
        <f>Ajoneuvorekisteri_Parse_Modern_XK_Range_TieliikenneAvoinData_30_06_2026_csv[[#This Row],[tyyppihyvaksyntanro]]</f>
        <v>e11*95/54*0062*06</v>
      </c>
      <c r="L120">
        <f>'Ajoneuvorekisteri-Parse Modern '!M14</f>
        <v>1780</v>
      </c>
      <c r="M120">
        <f t="shared" si="11"/>
        <v>1</v>
      </c>
      <c r="N120">
        <f t="shared" si="12"/>
        <v>0</v>
      </c>
      <c r="O120">
        <f t="shared" si="13"/>
        <v>0</v>
      </c>
      <c r="P120">
        <f t="shared" si="14"/>
        <v>1</v>
      </c>
      <c r="Q120">
        <f>IF(AND(Table3[[#This Row],[Coupe]]&lt;&gt;1, Table3[[#This Row],[Convertible]]&lt;&gt;1), 1, 0)</f>
        <v>0</v>
      </c>
      <c r="R120" t="str">
        <f t="shared" si="15"/>
        <v>Convertible</v>
      </c>
    </row>
    <row r="121" spans="1:18" x14ac:dyDescent="0.25">
      <c r="A121">
        <f>'Ajoneuvorekisteri-Parse Modern '!AO144</f>
        <v>2668635</v>
      </c>
      <c r="B121" t="str">
        <f>'Ajoneuvorekisteri-Parse Modern '!AN144</f>
        <v>SAJJA41C8Y</v>
      </c>
      <c r="C121" t="str">
        <f t="shared" si="8"/>
        <v>UNKNOWN: [prefix=SAJJA]</v>
      </c>
      <c r="D121" t="str">
        <f t="shared" si="9"/>
        <v>XK8-XKR_COUPE_USA_AUTO_LHD_EMISSION_C_2000MY</v>
      </c>
      <c r="E121" t="str">
        <f t="shared" si="10"/>
        <v>UNKNOWN</v>
      </c>
      <c r="F121" t="str" cm="1">
        <f t="array" ref="F121">_xlfn.LET(_xlpm.v,UPPER(SUBSTITUTE(CLEAN(TRIM(B121)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XK8-XKR_COUPE_USA_AUTO_LHD_EMISSION_C_2000MY</v>
      </c>
      <c r="G121" t="str" cm="1">
        <f t="array" ref="G121">_xlfn.LET(_xlpm.vin,SUBSTITUTE(CLEAN(TRIM(B121)),CHAR(160),""),_xlpm.rawDate,LEFT(TRIM(H121)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121">
        <f>'Ajoneuvorekisteri-Parse Modern '!G144</f>
        <v>20000127</v>
      </c>
      <c r="I121" t="str">
        <f>LEFT(Table3[[#This Row],[Käyttöönotto]],4)</f>
        <v>2000</v>
      </c>
      <c r="J121" t="str">
        <f>'Ajoneuvorekisteri-Parse Modern '!AA144</f>
        <v>XK Coup� (AD) 2ov 3996cm3 A</v>
      </c>
      <c r="K121" t="str">
        <f>Ajoneuvorekisteri_Parse_Modern_XK_Range_TieliikenneAvoinData_30_06_2026_csv[[#This Row],[tyyppihyvaksyntanro]]</f>
        <v>e11*2001/116*0272*01</v>
      </c>
      <c r="L121">
        <f>'Ajoneuvorekisteri-Parse Modern '!M144</f>
        <v>1690</v>
      </c>
      <c r="M121">
        <f t="shared" si="11"/>
        <v>1</v>
      </c>
      <c r="N121">
        <f t="shared" si="12"/>
        <v>0</v>
      </c>
      <c r="O121">
        <f t="shared" si="13"/>
        <v>1</v>
      </c>
      <c r="P121">
        <f t="shared" si="14"/>
        <v>0</v>
      </c>
      <c r="Q121">
        <f>IF(AND(Table3[[#This Row],[Coupe]]&lt;&gt;1, Table3[[#This Row],[Convertible]]&lt;&gt;1), 1, 0)</f>
        <v>0</v>
      </c>
      <c r="R121" t="str">
        <f t="shared" si="15"/>
        <v>Coupe</v>
      </c>
    </row>
    <row r="122" spans="1:18" x14ac:dyDescent="0.25">
      <c r="A122">
        <f>'Ajoneuvorekisteri-Parse Modern '!AO146</f>
        <v>2683121</v>
      </c>
      <c r="B122" t="str">
        <f>'Ajoneuvorekisteri-Parse Modern '!AN146</f>
        <v>SAJAA41E3Y</v>
      </c>
      <c r="C122" t="str">
        <f t="shared" si="8"/>
        <v>UNKNOWN: [prefix=SAJAA]</v>
      </c>
      <c r="D122" t="str">
        <f t="shared" si="9"/>
        <v>UNKNOWN: [4=A]</v>
      </c>
      <c r="E122" t="str">
        <f t="shared" si="10"/>
        <v>UNKNOWN</v>
      </c>
      <c r="F122" t="str" cm="1">
        <f t="array" ref="F122">_xlfn.LET(_xlpm.v,UPPER(SUBSTITUTE(CLEAN(TRIM(B122)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XK8-XKR_COUPE_MEXICO_AUTO_LHD_EMISSION_E_2000MY</v>
      </c>
      <c r="G122" t="str" cm="1">
        <f t="array" ref="G122">_xlfn.LET(_xlpm.vin,SUBSTITUTE(CLEAN(TRIM(B122)),CHAR(160),""),_xlpm.rawDate,LEFT(TRIM(H122)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122">
        <f>'Ajoneuvorekisteri-Parse Modern '!G146</f>
        <v>20000222</v>
      </c>
      <c r="I122" t="str">
        <f>LEFT(Table3[[#This Row],[Käyttöönotto]],4)</f>
        <v>2000</v>
      </c>
      <c r="J122" t="str">
        <f>'Ajoneuvorekisteri-Parse Modern '!AA146</f>
        <v>XK8 Coup� (AD) 2ov 3996cm3 A</v>
      </c>
      <c r="K122" t="str">
        <f>Ajoneuvorekisteri_Parse_Modern_XK_Range_TieliikenneAvoinData_30_06_2026_csv[[#This Row],[tyyppihyvaksyntanro]]</f>
        <v>e11*95/54*0062*03</v>
      </c>
      <c r="L122">
        <f>'Ajoneuvorekisteri-Parse Modern '!M146</f>
        <v>1630</v>
      </c>
      <c r="M122">
        <f t="shared" si="11"/>
        <v>1</v>
      </c>
      <c r="N122">
        <f t="shared" si="12"/>
        <v>0</v>
      </c>
      <c r="O122">
        <f t="shared" si="13"/>
        <v>1</v>
      </c>
      <c r="P122">
        <f t="shared" si="14"/>
        <v>0</v>
      </c>
      <c r="Q122">
        <f>IF(AND(Table3[[#This Row],[Coupe]]&lt;&gt;1, Table3[[#This Row],[Convertible]]&lt;&gt;1), 1, 0)</f>
        <v>0</v>
      </c>
      <c r="R122" t="str">
        <f t="shared" si="15"/>
        <v>Coupe</v>
      </c>
    </row>
    <row r="123" spans="1:18" x14ac:dyDescent="0.25">
      <c r="A123">
        <f>'Ajoneuvorekisteri-Parse Modern '!AO244</f>
        <v>4250103</v>
      </c>
      <c r="B123" t="str">
        <f>'Ajoneuvorekisteri-Parse Modern '!AN244</f>
        <v>SAJAA41J5Y</v>
      </c>
      <c r="C123" t="str">
        <f t="shared" si="8"/>
        <v>UNKNOWN: [prefix=SAJAA]</v>
      </c>
      <c r="D123" t="str">
        <f t="shared" si="9"/>
        <v>UNKNOWN: [4=A]</v>
      </c>
      <c r="E123" t="str">
        <f t="shared" si="10"/>
        <v>UNKNOWN</v>
      </c>
      <c r="F123" t="str" cm="1">
        <f t="array" ref="F123">_xlfn.LET(_xlpm.v,UPPER(SUBSTITUTE(CLEAN(TRIM(B123)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XK8-XKR_COUPE_MEXICO_AUTO_LHD_EMISSION_J_2000MY</v>
      </c>
      <c r="G123" t="str" cm="1">
        <f t="array" ref="G123">_xlfn.LET(_xlpm.vin,SUBSTITUTE(CLEAN(TRIM(B123)),CHAR(160),""),_xlpm.rawDate,LEFT(TRIM(H123)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123">
        <f>'Ajoneuvorekisteri-Parse Modern '!G244</f>
        <v>20000316</v>
      </c>
      <c r="I123" t="str">
        <f>LEFT(Table3[[#This Row],[Käyttöönotto]],4)</f>
        <v>2000</v>
      </c>
      <c r="J123" t="str">
        <f>'Ajoneuvorekisteri-Parse Modern '!AA244</f>
        <v>XKR Coupe Coup� (AD) 2ov 3990cm3 A</v>
      </c>
      <c r="K123" t="str">
        <f>Ajoneuvorekisteri_Parse_Modern_XK_Range_TieliikenneAvoinData_30_06_2026_csv[[#This Row],[tyyppihyvaksyntanro]]</f>
        <v/>
      </c>
      <c r="L123">
        <f>'Ajoneuvorekisteri-Parse Modern '!M244</f>
        <v>1740</v>
      </c>
      <c r="M123">
        <f t="shared" si="11"/>
        <v>0</v>
      </c>
      <c r="N123">
        <f t="shared" si="12"/>
        <v>1</v>
      </c>
      <c r="O123">
        <f t="shared" si="13"/>
        <v>1</v>
      </c>
      <c r="P123">
        <f t="shared" si="14"/>
        <v>0</v>
      </c>
      <c r="Q123">
        <f>IF(AND(Table3[[#This Row],[Coupe]]&lt;&gt;1, Table3[[#This Row],[Convertible]]&lt;&gt;1), 1, 0)</f>
        <v>0</v>
      </c>
      <c r="R123" t="str">
        <f t="shared" si="15"/>
        <v>Coupe</v>
      </c>
    </row>
    <row r="124" spans="1:18" x14ac:dyDescent="0.25">
      <c r="A124">
        <f>'Ajoneuvorekisteri-Parse Modern '!AO248</f>
        <v>4509882</v>
      </c>
      <c r="B124" t="str">
        <f>'Ajoneuvorekisteri-Parse Modern '!AN248</f>
        <v>SAJAA41J0Y</v>
      </c>
      <c r="C124" t="str">
        <f t="shared" si="8"/>
        <v>UNKNOWN: [prefix=SAJAA]</v>
      </c>
      <c r="D124" t="str">
        <f t="shared" si="9"/>
        <v>UNKNOWN: [4=A]</v>
      </c>
      <c r="E124" t="str">
        <f t="shared" si="10"/>
        <v>UNKNOWN</v>
      </c>
      <c r="F124" t="str" cm="1">
        <f t="array" ref="F124">_xlfn.LET(_xlpm.v,UPPER(SUBSTITUTE(CLEAN(TRIM(B124)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XK8-XKR_COUPE_MEXICO_AUTO_LHD_EMISSION_J_2000MY</v>
      </c>
      <c r="G124" t="str" cm="1">
        <f t="array" ref="G124">_xlfn.LET(_xlpm.vin,SUBSTITUTE(CLEAN(TRIM(B124)),CHAR(160),""),_xlpm.rawDate,LEFT(TRIM(H124)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124">
        <f>'Ajoneuvorekisteri-Parse Modern '!G248</f>
        <v>20000427</v>
      </c>
      <c r="I124" t="str">
        <f>LEFT(Table3[[#This Row],[Käyttöönotto]],4)</f>
        <v>2000</v>
      </c>
      <c r="J124" t="str">
        <f>'Ajoneuvorekisteri-Parse Modern '!AA248</f>
        <v>XKR 2 Dr. Sport Coupe Coup� (AD) 2ov 3996cm3 A</v>
      </c>
      <c r="K124" t="str">
        <f>Ajoneuvorekisteri_Parse_Modern_XK_Range_TieliikenneAvoinData_30_06_2026_csv[[#This Row],[tyyppihyvaksyntanro]]</f>
        <v/>
      </c>
      <c r="L124">
        <f>'Ajoneuvorekisteri-Parse Modern '!M248</f>
        <v>1570</v>
      </c>
      <c r="M124">
        <f t="shared" si="11"/>
        <v>0</v>
      </c>
      <c r="N124">
        <f t="shared" si="12"/>
        <v>1</v>
      </c>
      <c r="O124">
        <f t="shared" si="13"/>
        <v>1</v>
      </c>
      <c r="P124">
        <f t="shared" si="14"/>
        <v>0</v>
      </c>
      <c r="Q124">
        <f>IF(AND(Table3[[#This Row],[Coupe]]&lt;&gt;1, Table3[[#This Row],[Convertible]]&lt;&gt;1), 1, 0)</f>
        <v>0</v>
      </c>
      <c r="R124" t="str">
        <f t="shared" si="15"/>
        <v>Coupe</v>
      </c>
    </row>
    <row r="125" spans="1:18" x14ac:dyDescent="0.25">
      <c r="A125">
        <f>'Ajoneuvorekisteri-Parse Modern '!AO139</f>
        <v>2601464</v>
      </c>
      <c r="B125" t="str">
        <f>'Ajoneuvorekisteri-Parse Modern '!AN139</f>
        <v>SAJAA41J1Y</v>
      </c>
      <c r="C125" t="str">
        <f t="shared" si="8"/>
        <v>UNKNOWN: [prefix=SAJAA]</v>
      </c>
      <c r="D125" t="str">
        <f t="shared" si="9"/>
        <v>UNKNOWN: [4=A]</v>
      </c>
      <c r="E125" t="str">
        <f t="shared" si="10"/>
        <v>UNKNOWN</v>
      </c>
      <c r="F125" t="str" cm="1">
        <f t="array" ref="F125">_xlfn.LET(_xlpm.v,UPPER(SUBSTITUTE(CLEAN(TRIM(B125)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XK8-XKR_COUPE_MEXICO_AUTO_LHD_EMISSION_J_2000MY</v>
      </c>
      <c r="G125" t="str" cm="1">
        <f t="array" ref="G125">_xlfn.LET(_xlpm.vin,SUBSTITUTE(CLEAN(TRIM(B125)),CHAR(160),""),_xlpm.rawDate,LEFT(TRIM(H125)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125">
        <f>'Ajoneuvorekisteri-Parse Modern '!G139</f>
        <v>20000502</v>
      </c>
      <c r="I125" t="str">
        <f>LEFT(Table3[[#This Row],[Käyttöönotto]],4)</f>
        <v>2000</v>
      </c>
      <c r="J125" t="str">
        <f>'Ajoneuvorekisteri-Parse Modern '!AA139</f>
        <v>XKR Coup� (AD) 2ov 3996cm3 A</v>
      </c>
      <c r="K125" t="str">
        <f>Ajoneuvorekisteri_Parse_Modern_XK_Range_TieliikenneAvoinData_30_06_2026_csv[[#This Row],[tyyppihyvaksyntanro]]</f>
        <v/>
      </c>
      <c r="L125">
        <f>'Ajoneuvorekisteri-Parse Modern '!M139</f>
        <v>1715</v>
      </c>
      <c r="M125">
        <f t="shared" si="11"/>
        <v>0</v>
      </c>
      <c r="N125">
        <f t="shared" si="12"/>
        <v>1</v>
      </c>
      <c r="O125">
        <f t="shared" si="13"/>
        <v>1</v>
      </c>
      <c r="P125">
        <f t="shared" si="14"/>
        <v>0</v>
      </c>
      <c r="Q125">
        <f>IF(AND(Table3[[#This Row],[Coupe]]&lt;&gt;1, Table3[[#This Row],[Convertible]]&lt;&gt;1), 1, 0)</f>
        <v>0</v>
      </c>
      <c r="R125" t="str">
        <f t="shared" si="15"/>
        <v>Coupe</v>
      </c>
    </row>
    <row r="126" spans="1:18" x14ac:dyDescent="0.25">
      <c r="A126">
        <f>'Ajoneuvorekisteri-Parse Modern '!AO66</f>
        <v>1739317</v>
      </c>
      <c r="B126" t="str">
        <f>'Ajoneuvorekisteri-Parse Modern '!AN66</f>
        <v>SAJAA41JXY</v>
      </c>
      <c r="C126" t="str">
        <f t="shared" si="8"/>
        <v>UNKNOWN: [prefix=SAJAA]</v>
      </c>
      <c r="D126" t="str">
        <f t="shared" si="9"/>
        <v>UNKNOWN: [4=A]</v>
      </c>
      <c r="E126" t="str">
        <f t="shared" si="10"/>
        <v>UNKNOWN</v>
      </c>
      <c r="F126" t="str" cm="1">
        <f t="array" ref="F126">_xlfn.LET(_xlpm.v,UPPER(SUBSTITUTE(CLEAN(TRIM(B126)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XK8-XKR_COUPE_MEXICO_AUTO_LHD_EMISSION_J_2000MY</v>
      </c>
      <c r="G126" t="str" cm="1">
        <f t="array" ref="G126">_xlfn.LET(_xlpm.vin,SUBSTITUTE(CLEAN(TRIM(B126)),CHAR(160),""),_xlpm.rawDate,LEFT(TRIM(H126)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126">
        <f>'Ajoneuvorekisteri-Parse Modern '!G66</f>
        <v>20000511</v>
      </c>
      <c r="I126" t="str">
        <f>LEFT(Table3[[#This Row],[Käyttöönotto]],4)</f>
        <v>2000</v>
      </c>
      <c r="J126" t="str">
        <f>'Ajoneuvorekisteri-Parse Modern '!AA66</f>
        <v>COUPE XKR 4.0 AUTOMATIC-41P/259</v>
      </c>
      <c r="K126" t="str">
        <f>Ajoneuvorekisteri_Parse_Modern_XK_Range_TieliikenneAvoinData_30_06_2026_csv[[#This Row],[tyyppihyvaksyntanro]]</f>
        <v/>
      </c>
      <c r="L126">
        <f>'Ajoneuvorekisteri-Parse Modern '!M66</f>
        <v>1715</v>
      </c>
      <c r="M126">
        <f t="shared" si="11"/>
        <v>0</v>
      </c>
      <c r="N126">
        <f t="shared" si="12"/>
        <v>1</v>
      </c>
      <c r="O126">
        <f t="shared" si="13"/>
        <v>1</v>
      </c>
      <c r="P126">
        <f t="shared" si="14"/>
        <v>0</v>
      </c>
      <c r="Q126">
        <f>IF(AND(Table3[[#This Row],[Coupe]]&lt;&gt;1, Table3[[#This Row],[Convertible]]&lt;&gt;1), 1, 0)</f>
        <v>0</v>
      </c>
      <c r="R126" t="str">
        <f t="shared" si="15"/>
        <v>Coupe</v>
      </c>
    </row>
    <row r="127" spans="1:18" x14ac:dyDescent="0.25">
      <c r="A127">
        <f>'Ajoneuvorekisteri-Parse Modern '!AO132</f>
        <v>2541443</v>
      </c>
      <c r="B127" t="str">
        <f>'Ajoneuvorekisteri-Parse Modern '!AN132</f>
        <v>SAJAA41E9Y</v>
      </c>
      <c r="C127" t="str">
        <f t="shared" si="8"/>
        <v>UNKNOWN: [prefix=SAJAA]</v>
      </c>
      <c r="D127" t="str">
        <f t="shared" si="9"/>
        <v>UNKNOWN: [4=A]</v>
      </c>
      <c r="E127" t="str">
        <f t="shared" si="10"/>
        <v>UNKNOWN</v>
      </c>
      <c r="F127" t="str" cm="1">
        <f t="array" ref="F127">_xlfn.LET(_xlpm.v,UPPER(SUBSTITUTE(CLEAN(TRIM(B127)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XK8-XKR_COUPE_MEXICO_AUTO_LHD_EMISSION_E_2000MY</v>
      </c>
      <c r="G127" t="str" cm="1">
        <f t="array" ref="G127">_xlfn.LET(_xlpm.vin,SUBSTITUTE(CLEAN(TRIM(B127)),CHAR(160),""),_xlpm.rawDate,LEFT(TRIM(H127)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127">
        <f>'Ajoneuvorekisteri-Parse Modern '!G132</f>
        <v>20000607</v>
      </c>
      <c r="I127" t="str">
        <f>LEFT(Table3[[#This Row],[Käyttöönotto]],4)</f>
        <v>2000</v>
      </c>
      <c r="J127" t="str">
        <f>'Ajoneuvorekisteri-Parse Modern '!AA132</f>
        <v>XK Coup� (AD) 2ov 3996cm3 A</v>
      </c>
      <c r="K127" t="str">
        <f>Ajoneuvorekisteri_Parse_Modern_XK_Range_TieliikenneAvoinData_30_06_2026_csv[[#This Row],[tyyppihyvaksyntanro]]</f>
        <v/>
      </c>
      <c r="L127">
        <f>'Ajoneuvorekisteri-Parse Modern '!M132</f>
        <v>1720</v>
      </c>
      <c r="M127">
        <f t="shared" si="11"/>
        <v>1</v>
      </c>
      <c r="N127">
        <f t="shared" si="12"/>
        <v>0</v>
      </c>
      <c r="O127">
        <f t="shared" si="13"/>
        <v>1</v>
      </c>
      <c r="P127">
        <f t="shared" si="14"/>
        <v>0</v>
      </c>
      <c r="Q127">
        <f>IF(AND(Table3[[#This Row],[Coupe]]&lt;&gt;1, Table3[[#This Row],[Convertible]]&lt;&gt;1), 1, 0)</f>
        <v>0</v>
      </c>
      <c r="R127" t="str">
        <f t="shared" si="15"/>
        <v>Coupe</v>
      </c>
    </row>
    <row r="128" spans="1:18" x14ac:dyDescent="0.25">
      <c r="A128">
        <f>'Ajoneuvorekisteri-Parse Modern '!AO98</f>
        <v>2192254</v>
      </c>
      <c r="B128" t="str">
        <f>'Ajoneuvorekisteri-Parse Modern '!AN98</f>
        <v>SAJAA41E0Y</v>
      </c>
      <c r="C128" t="str">
        <f t="shared" si="8"/>
        <v>UNKNOWN: [prefix=SAJAA]</v>
      </c>
      <c r="D128" t="str">
        <f t="shared" si="9"/>
        <v>UNKNOWN: [4=A]</v>
      </c>
      <c r="E128" t="str">
        <f t="shared" si="10"/>
        <v>UNKNOWN</v>
      </c>
      <c r="F128" t="str" cm="1">
        <f t="array" ref="F128">_xlfn.LET(_xlpm.v,UPPER(SUBSTITUTE(CLEAN(TRIM(B128)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XK8-XKR_COUPE_MEXICO_AUTO_LHD_EMISSION_E_2000MY</v>
      </c>
      <c r="G128" t="str" cm="1">
        <f t="array" ref="G128">_xlfn.LET(_xlpm.vin,SUBSTITUTE(CLEAN(TRIM(B128)),CHAR(160),""),_xlpm.rawDate,LEFT(TRIM(H128)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128">
        <f>'Ajoneuvorekisteri-Parse Modern '!G98</f>
        <v>20000621</v>
      </c>
      <c r="I128" t="str">
        <f>LEFT(Table3[[#This Row],[Käyttöönotto]],4)</f>
        <v>2000</v>
      </c>
      <c r="J128" t="str">
        <f>'Ajoneuvorekisteri-Parse Modern '!AA98</f>
        <v>XK  Coup� (AD) 2ov 3996cm3 A</v>
      </c>
      <c r="K128" t="str">
        <f>Ajoneuvorekisteri_Parse_Modern_XK_Range_TieliikenneAvoinData_30_06_2026_csv[[#This Row],[tyyppihyvaksyntanro]]</f>
        <v/>
      </c>
      <c r="L128">
        <f>'Ajoneuvorekisteri-Parse Modern '!M98</f>
        <v>1715</v>
      </c>
      <c r="M128">
        <f t="shared" si="11"/>
        <v>1</v>
      </c>
      <c r="N128">
        <f t="shared" si="12"/>
        <v>0</v>
      </c>
      <c r="O128">
        <f t="shared" si="13"/>
        <v>1</v>
      </c>
      <c r="P128">
        <f t="shared" si="14"/>
        <v>0</v>
      </c>
      <c r="Q128">
        <f>IF(AND(Table3[[#This Row],[Coupe]]&lt;&gt;1, Table3[[#This Row],[Convertible]]&lt;&gt;1), 1, 0)</f>
        <v>0</v>
      </c>
      <c r="R128" t="str">
        <f t="shared" si="15"/>
        <v>Coupe</v>
      </c>
    </row>
    <row r="129" spans="1:18" x14ac:dyDescent="0.25">
      <c r="A129">
        <f>'Ajoneuvorekisteri-Parse Modern '!AO184</f>
        <v>3180599</v>
      </c>
      <c r="B129" t="str">
        <f>'Ajoneuvorekisteri-Parse Modern '!AN184</f>
        <v>SAJAA41J0Y</v>
      </c>
      <c r="C129" t="str">
        <f t="shared" si="8"/>
        <v>UNKNOWN: [prefix=SAJAA]</v>
      </c>
      <c r="D129" t="str">
        <f t="shared" si="9"/>
        <v>UNKNOWN: [4=A]</v>
      </c>
      <c r="E129" t="str">
        <f t="shared" si="10"/>
        <v>UNKNOWN</v>
      </c>
      <c r="F129" t="str" cm="1">
        <f t="array" ref="F129">_xlfn.LET(_xlpm.v,UPPER(SUBSTITUTE(CLEAN(TRIM(B129)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XK8-XKR_COUPE_MEXICO_AUTO_LHD_EMISSION_J_2000MY</v>
      </c>
      <c r="G129" t="str" cm="1">
        <f t="array" ref="G129">_xlfn.LET(_xlpm.vin,SUBSTITUTE(CLEAN(TRIM(B129)),CHAR(160),""),_xlpm.rawDate,LEFT(TRIM(H129)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129">
        <f>'Ajoneuvorekisteri-Parse Modern '!G184</f>
        <v>20000621</v>
      </c>
      <c r="I129" t="str">
        <f>LEFT(Table3[[#This Row],[Käyttöönotto]],4)</f>
        <v>2000</v>
      </c>
      <c r="J129" t="str">
        <f>'Ajoneuvorekisteri-Parse Modern '!AA184</f>
        <v>JAGUAR XKR COUPE  2ov 3990cm3 A</v>
      </c>
      <c r="K129" t="str">
        <f>Ajoneuvorekisteri_Parse_Modern_XK_Range_TieliikenneAvoinData_30_06_2026_csv[[#This Row],[tyyppihyvaksyntanro]]</f>
        <v>e11*2001/116*0272*00</v>
      </c>
      <c r="L129">
        <f>'Ajoneuvorekisteri-Parse Modern '!M184</f>
        <v>1715</v>
      </c>
      <c r="M129">
        <f t="shared" si="11"/>
        <v>0</v>
      </c>
      <c r="N129">
        <f t="shared" si="12"/>
        <v>1</v>
      </c>
      <c r="O129">
        <f t="shared" si="13"/>
        <v>1</v>
      </c>
      <c r="P129">
        <f t="shared" si="14"/>
        <v>0</v>
      </c>
      <c r="Q129">
        <f>IF(AND(Table3[[#This Row],[Coupe]]&lt;&gt;1, Table3[[#This Row],[Convertible]]&lt;&gt;1), 1, 0)</f>
        <v>0</v>
      </c>
      <c r="R129" t="str">
        <f t="shared" si="15"/>
        <v>Coupe</v>
      </c>
    </row>
    <row r="130" spans="1:18" x14ac:dyDescent="0.25">
      <c r="A130">
        <f>'Ajoneuvorekisteri-Parse Modern '!AO219</f>
        <v>3621981</v>
      </c>
      <c r="B130" t="str">
        <f>'Ajoneuvorekisteri-Parse Modern '!AN219</f>
        <v>SAJAA42N11</v>
      </c>
      <c r="C130" t="str">
        <f t="shared" ref="C130:C193" si="16">_xlfn.LET(_xlpm.v,SUBSTITUTE(CLEAN(TRIM(B130)),CHAR(160),""),IF(AND(LEN(_xlpm.v)=10,LEFT(_xlpm.v,5)="SAJJG",OR(MID(_xlpm.v,7,1)="E",MID(_xlpm.v,7,1)="F"),OR(MID(_xlpm.v,8,1)="D",MID(_xlpm.v,8,1)="F"),OR(MID(_xlpm.v,9,1)="3",MID(_xlpm.v,9,1)="4"),MID(_xlpm.v,10,1)="A"),"X100_EARLY_NORMAL_AR (JDHT)",IF(AND(LEN(_xlpm.v)=10,LEFT(_xlpm.v,5)="SAJJG",MID(_xlpm.v,6,1)="A",OR(MID(_xlpm.v,7,1)="E",MID(_xlpm.v,7,1)="F"),MID(_xlpm.v,8,1)="D",OR(MID(_xlpm.v,9,1)="3",MID(_xlpm.v,9,1)="4"),OR(MID(_xlpm.v,10,1)="V",MID(_xlpm.v,10,1)="W",MID(_xlpm.v,10,1)="X")),"X100_NORMAL (JDHT)",IF(AND(LEN(_xlpm.v)=10,LEFT(_xlpm.v,5)="SAJJG",OR(MID(_xlpm.v,6,1)="A",MID(_xlpm.v,6,1)="K",MID(_xlpm.v,6,1)="N",MID(_xlpm.v,6,1)="X"),OR(MID(_xlpm.v,7,1)="E",MID(_xlpm.v,7,1)="F"),OR(MID(_xlpm.v,8,1)="D",MID(_xlpm.v,8,1)="F"),OR(MID(_xlpm.v,9,1)="3",MID(_xlpm.v,9,1)="4"),OR(MID(_xlpm.v,10,1)="V",MID(_xlpm.v,10,1)="W",MID(_xlpm.v,10,1)="X")),"X100_JLM20300",IF(AND(LEN(_xlpm.v)=10,LEFT(_xlpm.v,5)="SAJJG",OR(MID(_xlpm.v,6,1)="N",MID(_xlpm.v,6,1)="S",MID(_xlpm.v,6,1)="X"),OR(MID(_xlpm.v,7,1)="E",MID(_xlpm.v,7,1)="F"),OR(MID(_xlpm.v,8,1)="D",MID(_xlpm.v,8,1)="F"),OR(MID(_xlpm.v,9,1)="3",MID(_xlpm.v,9,1)="4"),OR(MID(_xlpm.v,10,1)="V",MID(_xlpm.v,10,1)="W",MID(_xlpm.v,10,1)="X")),"X100_JLM20301",IF(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(JLM20301_unique)","UNKNOWN: ["&amp;IF(LEN(_xlpm.v)&lt;&gt;10,"length="&amp;LEN(_xlpm.v),"")&amp;IF(AND(LEN(_xlpm.v)=10,LEFT(_xlpm.v,5)&lt;&gt;"SAJJG",LEFT(_xlpm.v,5)&lt;&gt;"SAJGX"),"prefix="&amp;LEFT(_xlpm.v,5),"")&amp;IF(AND(LEN(_xlpm.v)=10,LEFT(_xlpm.v,5)="SAJJG",NOT(OR(MID(_xlpm.v,7,1)="E",MID(_xlpm.v,7,1)="F"))),"7="&amp;MID(_xlpm.v,7,1),"")&amp;IF(AND(LEN(_xlpm.v)=10,LEFT(_xlpm.v,5)="SAJJG",NOT(OR(MID(_xlpm.v,8,1)="D",MID(_xlpm.v,8,1)="F"))),"8="&amp;MID(_xlpm.v,8,1),"")&amp;IF(AND(LEN(_xlpm.v)=10,LEFT(_xlpm.v,5)="SAJJG",NOT(OR(MID(_xlpm.v,9,1)="3",MID(_xlpm.v,9,1)="4"))),"9="&amp;MID(_xlpm.v,9,1),"")&amp;IF(AND(LEN(_xlpm.v)=10,LEFT(_xlpm.v,5)="SAJJG",NOT(OR(MID(_xlpm.v,10,1)="A",MID(_xlpm.v,10,1)="V",MID(_xlpm.v,10,1)="W",MID(_xlpm.v,10,1)="X"))),"10="&amp;MID(_xlpm.v,10,1),"")&amp;IF(AND(LEN(_xlpm.v)=10,LEFT(_xlpm.v,5)="SAJGX",NOT(OR(MID(_xlpm.v,6,1)="2",MID(_xlpm.v,6,1)="5"))),"6="&amp;MID(_xlpm.v,6,1),"")&amp;IF(AND(LEN(_xlpm.v)=10,LEFT(_xlpm.v,5)="SAJGX",NOT(OR(MID(_xlpm.v,7,1)="1",MID(_xlpm.v,7,1)="2",MID(_xlpm.v,7,1)="7"))),"7="&amp;MID(_xlpm.v,7,1),"")&amp;IF(AND(LEN(_xlpm.v)=10,LEFT(_xlpm.v,5)="SAJGX",OR(MID(_xlpm.v,7,1)="1",MID(_xlpm.v,7,1)="2",MID(_xlpm.v,7,1)="7"),MID(_xlpm.v,8,1)&lt;&gt;"4"),"8="&amp;MID(_xlpm.v,8,1),"")&amp;"]"))))))</f>
        <v>UNKNOWN: [prefix=SAJAA]</v>
      </c>
      <c r="D130" t="str">
        <f t="shared" ref="D130:D193" si="17">_xlfn.LET(_xlpm.vinx,SUBSTITUTE(CLEAN(TRIM(B130)),CHAR(160),""),_xlpm.mkt,MID(_xlpm.vinx,4,1),_xlpm.trans,MID(_xlpm.vinx,5,1),_xlpm.body,MID(_xlpm.vinx,6,2),_xlpm.emis,MID(_xlpm.vinx,8,1),_xlpm.my,MID(_xlpm.vinx,10,1),IF(LEN(_xlpm.vinx)&lt;&gt;10,"UNKNOWN: [length="&amp;LEN(_xlpm.vinx)&amp;"]",IF(LEFT(_xlpm.vinx,3)&lt;&gt;"SAJ","UNKNOWN: [prefix="&amp;LEFT(_xlpm.vinx,3)&amp;"]",IF(NOT(ISNUMBER(FIND(_xlpm.mkt,"BFGXPRTYDEJW"))),"UNKNOWN: [4="&amp;_xlpm.mkt&amp;"]",IF(NOT(OR(_xlpm.trans="A",_xlpm.trans="B")),"UNKNOWN: [5="&amp;_xlpm.trans&amp;"]",IF(NOT(OR(_xlpm.body="41",_xlpm.body="42")),"UNKNOWN: [6-7="&amp;_xlpm.body&amp;"]",IF(OR(CODE(_xlpm.emis)&lt;65,CODE(_xlpm.emis)&gt;88),"UNKNOWN: [8="&amp;_xlpm.emis&amp;"]",IF(NOT(OR(_xlpm.my="X",_xlpm.my="Y",_xlpm.my="1",_xlpm.my="2",_xlpm.my="3",_xlpm.my="4",_xlpm.my="5",_xlpm.my="6",_xlpm.my="7",_xlpm.my="8",_xlpm.my="9")),"UNKNOWN: [10="&amp;_xlpm.my&amp;"]","XK8-XKR_"&amp;IF(_xlpm.body="41","COUPE","CONVERTIBLE")&amp;"_"&amp;IF(ISNUMBER(FIND(_xlpm.mkt,"DEJW")),"USA",IF(ISNUMBER(FIND(_xlpm.mkt,"BFGX")),"CANADA","MEXICO"))&amp;"_"&amp;IF(_xlpm.trans="A","AUTO_LHD","MANUAL_LHD")&amp;"_EMISSION_"&amp;_xlpm.emis&amp;"_"&amp;IF(_xlpm.my="X","1999",IF(_xlpm.my="Y","2000","20"&amp;_xlpm.my))&amp;"MY"))))))))</f>
        <v>UNKNOWN: [4=A]</v>
      </c>
      <c r="E130" t="str">
        <f t="shared" ref="E130:E193" si="18">_xlfn.LET(_xlpm.vin,UPPER(SUBSTITUTE(CLEAN(TRIM(B130)),CHAR(160),"")),_xlpm.mkt,MID(_xlpm.vin,4,1),_xlpm.trn,MID(_xlpm.vin,5,1),_xlpm.body,MID(_xlpm.vin,6,2),_xlpm.ems,MID(_xlpm.vin,8,1),_xlpm.myc,MID(_xlpm.vin,10,1),IF(AND(LEN(_xlpm.vin)=10,LEFT(_xlpm.vin,3)="SAJ",OR(_xlpm.mkt="A",_xlpm.mkt="B",_xlpm.mkt="D",_xlpm.mkt="E",_xlpm.mkt="F",_xlpm.mkt="J",_xlpm.mkt="K",_xlpm.mkt="P",_xlpm.mkt="R",_xlpm.mkt="W",_xlpm.mkt="X",_xlpm.mkt="Y"),OR(_xlpm.trn="A",_xlpm.trn="C"),OR(_xlpm.body="43",_xlpm.body="4D",_xlpm.body="44",_xlpm.body="4E",_xlpm.body="45",_xlpm.body="4F",_xlpm.body="46",_xlpm.body="4G",_xlpm.body="47"),OR(_xlpm.ems="A",_xlpm.ems="B",_xlpm.ems="C",_xlpm.ems="D",_xlpm.ems="E",_xlpm.ems="F",_xlpm.ems="G",_xlpm.ems="K",_xlpm.ems="N",_xlpm.ems="P",_xlpm.ems="R",_xlpm.ems="S",_xlpm.ems="T",_xlpm.ems="U",_xlpm.ems="V",_xlpm.ems="W",_xlpm.ems="X",_xlpm.ems="Y",_xlpm.ems="1",_xlpm.ems="2",_xlpm.ems="3",_xlpm.ems="4"),OR(_xlpm.myc="7",_xlpm.myc="8",_xlpm.myc="9",_xlpm.myc="A",_xlpm.myc="B",_xlpm.myc="C",_xlpm.myc="D",_xlpm.myc="E")),"X150_"&amp;IF(_xlpm.myc="7","2007MY",IF(_xlpm.myc="8","2008MY",IF(_xlpm.myc="9","2009MY",IF(_xlpm.myc="A","2010MY",IF(_xlpm.myc="B","2011MY",IF(_xlpm.myc="C","2012MY",IF(_xlpm.myc="D","2013MY",IF(_xlpm.myc="E","2014MY","UNKNOWN")))))))),"UNKNOWN"))</f>
        <v>UNKNOWN</v>
      </c>
      <c r="F130" t="str" cm="1">
        <f t="array" ref="F130">_xlfn.LET(_xlpm.v,UPPER(SUBSTITUTE(CLEAN(TRIM(B130)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XK8-XKR_CONVERTIBLE_MEXICO_AUTO_LHD_EMISSION_N_2001MY</v>
      </c>
      <c r="G130" t="str" cm="1">
        <f t="array" ref="G130">_xlfn.LET(_xlpm.vin,SUBSTITUTE(CLEAN(TRIM(B130)),CHAR(160),""),_xlpm.rawDate,LEFT(TRIM(H130)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130">
        <f>'Ajoneuvorekisteri-Parse Modern '!G219</f>
        <v>20000911</v>
      </c>
      <c r="I130" t="str">
        <f>LEFT(Table3[[#This Row],[Käyttöönotto]],4)</f>
        <v>2000</v>
      </c>
      <c r="J130" t="str">
        <f>'Ajoneuvorekisteri-Parse Modern '!AA219</f>
        <v>XKR Avoauto (AE) 2ov 3996cm3 A</v>
      </c>
      <c r="K130" t="str">
        <f>Ajoneuvorekisteri_Parse_Modern_XK_Range_TieliikenneAvoinData_30_06_2026_csv[[#This Row],[tyyppihyvaksyntanro]]</f>
        <v/>
      </c>
      <c r="L130">
        <f>'Ajoneuvorekisteri-Parse Modern '!M219</f>
        <v>1825</v>
      </c>
      <c r="M130">
        <f t="shared" ref="M130:M193" si="19">IF(AND(
    OR(
        ISNUMBER(SEARCH("XK ", J130)),
        ISNUMBER(SEARCH("XK8", J130))
    ),
    I130 &gt; 2005
), 1, 0)</f>
        <v>0</v>
      </c>
      <c r="N130">
        <f t="shared" ref="N130:N193" si="20">IF(OR(
    ISNUMBER(SEARCH("XKR", J130)),
), 1, 0)</f>
        <v>1</v>
      </c>
      <c r="O130">
        <f t="shared" ref="O130:O193" si="21">IF(OR(
    ISNUMBER(SEARCH("COUPE", J130)),
    ISNUMBER(SEARCH("COUPÉ", J130)),
    ISNUMBER(SEARCH("COUP�", J130))
), 1, 0)</f>
        <v>0</v>
      </c>
      <c r="P130">
        <f t="shared" ref="P130:P193" si="22">IF(OR(
    ISNUMBER(SEARCH("CONVERTIBLE",J130)),
    ISNUMBER(SEARCH("AVOAUTO",J130)),
    ISNUMBER(SEARCH("AVO",J130)),
    ISNUMBER(SEARCH("CABRIO",J130))
),1,0)</f>
        <v>1</v>
      </c>
      <c r="Q130">
        <f>IF(AND(Table3[[#This Row],[Coupe]]&lt;&gt;1, Table3[[#This Row],[Convertible]]&lt;&gt;1), 1, 0)</f>
        <v>0</v>
      </c>
      <c r="R130" t="str">
        <f t="shared" ref="R130:R193" si="23">IF(O130=1, "Coupe", IF(P130=1, "Convertible", "Unknown"))</f>
        <v>Convertible</v>
      </c>
    </row>
    <row r="131" spans="1:18" x14ac:dyDescent="0.25">
      <c r="A131">
        <f>'Ajoneuvorekisteri-Parse Modern '!AO198</f>
        <v>3353723</v>
      </c>
      <c r="B131" t="str">
        <f>'Ajoneuvorekisteri-Parse Modern '!AN198</f>
        <v>SAJAA42N41</v>
      </c>
      <c r="C131" t="str">
        <f t="shared" si="16"/>
        <v>UNKNOWN: [prefix=SAJAA]</v>
      </c>
      <c r="D131" t="str">
        <f t="shared" si="17"/>
        <v>UNKNOWN: [4=A]</v>
      </c>
      <c r="E131" t="str">
        <f t="shared" si="18"/>
        <v>UNKNOWN</v>
      </c>
      <c r="F131" t="str" cm="1">
        <f t="array" ref="F131">_xlfn.LET(_xlpm.v,UPPER(SUBSTITUTE(CLEAN(TRIM(B131)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XK8-XKR_CONVERTIBLE_MEXICO_AUTO_LHD_EMISSION_N_2001MY</v>
      </c>
      <c r="G131" t="str" cm="1">
        <f t="array" ref="G131">_xlfn.LET(_xlpm.vin,SUBSTITUTE(CLEAN(TRIM(B131)),CHAR(160),""),_xlpm.rawDate,LEFT(TRIM(H131)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036194–042775</v>
      </c>
      <c r="H131">
        <f>'Ajoneuvorekisteri-Parse Modern '!G198</f>
        <v>20001228</v>
      </c>
      <c r="I131" t="str">
        <f>LEFT(Table3[[#This Row],[Käyttöönotto]],4)</f>
        <v>2000</v>
      </c>
      <c r="J131" t="str">
        <f>'Ajoneuvorekisteri-Parse Modern '!AA198</f>
        <v>XKR Convertible Avoauto (AE) 2ov 3996cm3 A</v>
      </c>
      <c r="K131" t="str">
        <f>Ajoneuvorekisteri_Parse_Modern_XK_Range_TieliikenneAvoinData_30_06_2026_csv[[#This Row],[tyyppihyvaksyntanro]]</f>
        <v/>
      </c>
      <c r="L131">
        <f>'Ajoneuvorekisteri-Parse Modern '!M198</f>
        <v>1825</v>
      </c>
      <c r="M131">
        <f t="shared" si="19"/>
        <v>0</v>
      </c>
      <c r="N131">
        <f t="shared" si="20"/>
        <v>1</v>
      </c>
      <c r="O131">
        <f t="shared" si="21"/>
        <v>0</v>
      </c>
      <c r="P131">
        <f t="shared" si="22"/>
        <v>1</v>
      </c>
      <c r="Q131">
        <f>IF(AND(Table3[[#This Row],[Coupe]]&lt;&gt;1, Table3[[#This Row],[Convertible]]&lt;&gt;1), 1, 0)</f>
        <v>0</v>
      </c>
      <c r="R131" t="str">
        <f t="shared" si="23"/>
        <v>Convertible</v>
      </c>
    </row>
    <row r="132" spans="1:18" x14ac:dyDescent="0.25">
      <c r="A132">
        <f>'Ajoneuvorekisteri-Parse Modern '!AO111</f>
        <v>2348282</v>
      </c>
      <c r="B132" t="str">
        <f>'Ajoneuvorekisteri-Parse Modern '!AN111</f>
        <v>SAJDA42C31</v>
      </c>
      <c r="C132" t="str">
        <f t="shared" si="16"/>
        <v>UNKNOWN: [prefix=SAJDA]</v>
      </c>
      <c r="D132" t="str">
        <f t="shared" si="17"/>
        <v>XK8-XKR_CONVERTIBLE_USA_AUTO_LHD_EMISSION_C_201MY</v>
      </c>
      <c r="E132" t="str">
        <f t="shared" si="18"/>
        <v>UNKNOWN</v>
      </c>
      <c r="F132" t="str" cm="1">
        <f t="array" ref="F132">_xlfn.LET(_xlpm.v,UPPER(SUBSTITUTE(CLEAN(TRIM(B132)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XK8-XKR_CONVERTIBLE_USA_AUTO_LHD_EMISSION_C_2001MY</v>
      </c>
      <c r="G132" t="str" cm="1">
        <f t="array" ref="G132">_xlfn.LET(_xlpm.vin,SUBSTITUTE(CLEAN(TRIM(B132)),CHAR(160),""),_xlpm.rawDate,LEFT(TRIM(H132)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A11051–A22928</v>
      </c>
      <c r="H132">
        <f>'Ajoneuvorekisteri-Parse Modern '!G111</f>
        <v>20010000</v>
      </c>
      <c r="I132" t="str">
        <f>LEFT(Table3[[#This Row],[Käyttöönotto]],4)</f>
        <v>2001</v>
      </c>
      <c r="J132" t="str">
        <f>'Ajoneuvorekisteri-Parse Modern '!AA111</f>
        <v>XK Avoauto (AE) 2ov 3996cm3 A</v>
      </c>
      <c r="K132" t="str">
        <f>Ajoneuvorekisteri_Parse_Modern_XK_Range_TieliikenneAvoinData_30_06_2026_csv[[#This Row],[tyyppihyvaksyntanro]]</f>
        <v>e11*95/54*0061*01</v>
      </c>
      <c r="L132">
        <f>'Ajoneuvorekisteri-Parse Modern '!M111</f>
        <v>1705</v>
      </c>
      <c r="M132">
        <f t="shared" si="19"/>
        <v>1</v>
      </c>
      <c r="N132">
        <f t="shared" si="20"/>
        <v>0</v>
      </c>
      <c r="O132">
        <f t="shared" si="21"/>
        <v>0</v>
      </c>
      <c r="P132">
        <f t="shared" si="22"/>
        <v>1</v>
      </c>
      <c r="Q132">
        <f>IF(AND(Table3[[#This Row],[Coupe]]&lt;&gt;1, Table3[[#This Row],[Convertible]]&lt;&gt;1), 1, 0)</f>
        <v>0</v>
      </c>
      <c r="R132" t="str">
        <f t="shared" si="23"/>
        <v>Convertible</v>
      </c>
    </row>
    <row r="133" spans="1:18" x14ac:dyDescent="0.25">
      <c r="A133">
        <f>'Ajoneuvorekisteri-Parse Modern '!AO116</f>
        <v>2394027</v>
      </c>
      <c r="B133" t="str">
        <f>'Ajoneuvorekisteri-Parse Modern '!AN116</f>
        <v>SAJDA42C41</v>
      </c>
      <c r="C133" t="str">
        <f t="shared" si="16"/>
        <v>UNKNOWN: [prefix=SAJDA]</v>
      </c>
      <c r="D133" t="str">
        <f t="shared" si="17"/>
        <v>XK8-XKR_CONVERTIBLE_USA_AUTO_LHD_EMISSION_C_201MY</v>
      </c>
      <c r="E133" t="str">
        <f t="shared" si="18"/>
        <v>UNKNOWN</v>
      </c>
      <c r="F133" t="str" cm="1">
        <f t="array" ref="F133">_xlfn.LET(_xlpm.v,UPPER(SUBSTITUTE(CLEAN(TRIM(B133)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XK8-XKR_CONVERTIBLE_USA_AUTO_LHD_EMISSION_C_2001MY</v>
      </c>
      <c r="G133" t="str" cm="1">
        <f t="array" ref="G133">_xlfn.LET(_xlpm.vin,SUBSTITUTE(CLEAN(TRIM(B133)),CHAR(160),""),_xlpm.rawDate,LEFT(TRIM(H133)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A11051–A22928</v>
      </c>
      <c r="H133">
        <f>'Ajoneuvorekisteri-Parse Modern '!G116</f>
        <v>20010000</v>
      </c>
      <c r="I133" t="str">
        <f>LEFT(Table3[[#This Row],[Käyttöönotto]],4)</f>
        <v>2001</v>
      </c>
      <c r="J133" t="str">
        <f>'Ajoneuvorekisteri-Parse Modern '!AA116</f>
        <v>2D CONVERTIBLE XK8 4.0-AUTOMATIC-41N/259 Avoauto (AE) 2ov 3990cm3 A</v>
      </c>
      <c r="K133" t="str">
        <f>Ajoneuvorekisteri_Parse_Modern_XK_Range_TieliikenneAvoinData_30_06_2026_csv[[#This Row],[tyyppihyvaksyntanro]]</f>
        <v/>
      </c>
      <c r="L133">
        <f>'Ajoneuvorekisteri-Parse Modern '!M116</f>
        <v>1870</v>
      </c>
      <c r="M133">
        <f t="shared" si="19"/>
        <v>1</v>
      </c>
      <c r="N133">
        <f t="shared" si="20"/>
        <v>0</v>
      </c>
      <c r="O133">
        <f t="shared" si="21"/>
        <v>0</v>
      </c>
      <c r="P133">
        <f t="shared" si="22"/>
        <v>1</v>
      </c>
      <c r="Q133">
        <f>IF(AND(Table3[[#This Row],[Coupe]]&lt;&gt;1, Table3[[#This Row],[Convertible]]&lt;&gt;1), 1, 0)</f>
        <v>0</v>
      </c>
      <c r="R133" t="str">
        <f t="shared" si="23"/>
        <v>Convertible</v>
      </c>
    </row>
    <row r="134" spans="1:18" x14ac:dyDescent="0.25">
      <c r="A134">
        <f>'Ajoneuvorekisteri-Parse Modern '!AO135</f>
        <v>2565287</v>
      </c>
      <c r="B134" t="str">
        <f>'Ajoneuvorekisteri-Parse Modern '!AN135</f>
        <v>SAJDA42B11</v>
      </c>
      <c r="C134" t="str">
        <f t="shared" si="16"/>
        <v>UNKNOWN: [prefix=SAJDA]</v>
      </c>
      <c r="D134" t="str">
        <f t="shared" si="17"/>
        <v>XK8-XKR_CONVERTIBLE_USA_AUTO_LHD_EMISSION_B_201MY</v>
      </c>
      <c r="E134" t="str">
        <f t="shared" si="18"/>
        <v>UNKNOWN</v>
      </c>
      <c r="F134" t="str" cm="1">
        <f t="array" ref="F134">_xlfn.LET(_xlpm.v,UPPER(SUBSTITUTE(CLEAN(TRIM(B134)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XK8-XKR_CONVERTIBLE_USA_AUTO_LHD_EMISSION_B_2001MY</v>
      </c>
      <c r="G134" t="str" cm="1">
        <f t="array" ref="G134">_xlfn.LET(_xlpm.vin,SUBSTITUTE(CLEAN(TRIM(B134)),CHAR(160),""),_xlpm.rawDate,LEFT(TRIM(H134)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A11051–A22928</v>
      </c>
      <c r="H134">
        <f>'Ajoneuvorekisteri-Parse Modern '!G135</f>
        <v>20010000</v>
      </c>
      <c r="I134" t="str">
        <f>LEFT(Table3[[#This Row],[Käyttöönotto]],4)</f>
        <v>2001</v>
      </c>
      <c r="J134" t="str">
        <f>'Ajoneuvorekisteri-Parse Modern '!AA135</f>
        <v>2D CONVERTIBLE XKR 4.0-AUTOMATIC  2ov 3990cm3 A</v>
      </c>
      <c r="K134" t="str">
        <f>Ajoneuvorekisteri_Parse_Modern_XK_Range_TieliikenneAvoinData_30_06_2026_csv[[#This Row],[tyyppihyvaksyntanro]]</f>
        <v/>
      </c>
      <c r="L134">
        <f>'Ajoneuvorekisteri-Parse Modern '!M135</f>
        <v>1825</v>
      </c>
      <c r="M134">
        <f t="shared" si="19"/>
        <v>0</v>
      </c>
      <c r="N134">
        <f t="shared" si="20"/>
        <v>1</v>
      </c>
      <c r="O134">
        <f t="shared" si="21"/>
        <v>0</v>
      </c>
      <c r="P134">
        <f t="shared" si="22"/>
        <v>1</v>
      </c>
      <c r="Q134">
        <f>IF(AND(Table3[[#This Row],[Coupe]]&lt;&gt;1, Table3[[#This Row],[Convertible]]&lt;&gt;1), 1, 0)</f>
        <v>0</v>
      </c>
      <c r="R134" t="str">
        <f t="shared" si="23"/>
        <v>Convertible</v>
      </c>
    </row>
    <row r="135" spans="1:18" x14ac:dyDescent="0.25">
      <c r="A135">
        <f>'Ajoneuvorekisteri-Parse Modern '!AO156</f>
        <v>2742153</v>
      </c>
      <c r="B135" t="str">
        <f>'Ajoneuvorekisteri-Parse Modern '!AN156</f>
        <v>SAJDA42B71</v>
      </c>
      <c r="C135" t="str">
        <f t="shared" si="16"/>
        <v>UNKNOWN: [prefix=SAJDA]</v>
      </c>
      <c r="D135" t="str">
        <f t="shared" si="17"/>
        <v>XK8-XKR_CONVERTIBLE_USA_AUTO_LHD_EMISSION_B_201MY</v>
      </c>
      <c r="E135" t="str">
        <f t="shared" si="18"/>
        <v>UNKNOWN</v>
      </c>
      <c r="F135" t="str" cm="1">
        <f t="array" ref="F135">_xlfn.LET(_xlpm.v,UPPER(SUBSTITUTE(CLEAN(TRIM(B135)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XK8-XKR_CONVERTIBLE_USA_AUTO_LHD_EMISSION_B_2001MY</v>
      </c>
      <c r="G135" t="str" cm="1">
        <f t="array" ref="G135">_xlfn.LET(_xlpm.vin,SUBSTITUTE(CLEAN(TRIM(B135)),CHAR(160),""),_xlpm.rawDate,LEFT(TRIM(H135)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A11051–A22928</v>
      </c>
      <c r="H135">
        <f>'Ajoneuvorekisteri-Parse Modern '!G156</f>
        <v>20010000</v>
      </c>
      <c r="I135" t="str">
        <f>LEFT(Table3[[#This Row],[Käyttöönotto]],4)</f>
        <v>2001</v>
      </c>
      <c r="J135" t="str">
        <f>'Ajoneuvorekisteri-Parse Modern '!AA156</f>
        <v>XKR Avoauto (AE) 2ov 3990cm3 A</v>
      </c>
      <c r="K135" t="str">
        <f>Ajoneuvorekisteri_Parse_Modern_XK_Range_TieliikenneAvoinData_30_06_2026_csv[[#This Row],[tyyppihyvaksyntanro]]</f>
        <v/>
      </c>
      <c r="L135">
        <f>'Ajoneuvorekisteri-Parse Modern '!M156</f>
        <v>1860</v>
      </c>
      <c r="M135">
        <f t="shared" si="19"/>
        <v>0</v>
      </c>
      <c r="N135">
        <f t="shared" si="20"/>
        <v>1</v>
      </c>
      <c r="O135">
        <f t="shared" si="21"/>
        <v>0</v>
      </c>
      <c r="P135">
        <f t="shared" si="22"/>
        <v>1</v>
      </c>
      <c r="Q135">
        <f>IF(AND(Table3[[#This Row],[Coupe]]&lt;&gt;1, Table3[[#This Row],[Convertible]]&lt;&gt;1), 1, 0)</f>
        <v>0</v>
      </c>
      <c r="R135" t="str">
        <f t="shared" si="23"/>
        <v>Convertible</v>
      </c>
    </row>
    <row r="136" spans="1:18" x14ac:dyDescent="0.25">
      <c r="A136">
        <f>'Ajoneuvorekisteri-Parse Modern '!AO170</f>
        <v>2931159</v>
      </c>
      <c r="B136" t="str">
        <f>'Ajoneuvorekisteri-Parse Modern '!AN170</f>
        <v>SAJDA42B91</v>
      </c>
      <c r="C136" t="str">
        <f t="shared" si="16"/>
        <v>UNKNOWN: [prefix=SAJDA]</v>
      </c>
      <c r="D136" t="str">
        <f t="shared" si="17"/>
        <v>XK8-XKR_CONVERTIBLE_USA_AUTO_LHD_EMISSION_B_201MY</v>
      </c>
      <c r="E136" t="str">
        <f t="shared" si="18"/>
        <v>UNKNOWN</v>
      </c>
      <c r="F136" t="str" cm="1">
        <f t="array" ref="F136">_xlfn.LET(_xlpm.v,UPPER(SUBSTITUTE(CLEAN(TRIM(B136)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XK8-XKR_CONVERTIBLE_USA_AUTO_LHD_EMISSION_B_2001MY</v>
      </c>
      <c r="G136" t="str" cm="1">
        <f t="array" ref="G136">_xlfn.LET(_xlpm.vin,SUBSTITUTE(CLEAN(TRIM(B136)),CHAR(160),""),_xlpm.rawDate,LEFT(TRIM(H136)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A11051–A22928</v>
      </c>
      <c r="H136">
        <f>'Ajoneuvorekisteri-Parse Modern '!G170</f>
        <v>20010000</v>
      </c>
      <c r="I136" t="str">
        <f>LEFT(Table3[[#This Row],[Käyttöönotto]],4)</f>
        <v>2001</v>
      </c>
      <c r="J136" t="str">
        <f>'Ajoneuvorekisteri-Parse Modern '!AA170</f>
        <v>XKR Avoauto (AE) 2ov 3996cm3 A</v>
      </c>
      <c r="K136" t="str">
        <f>Ajoneuvorekisteri_Parse_Modern_XK_Range_TieliikenneAvoinData_30_06_2026_csv[[#This Row],[tyyppihyvaksyntanro]]</f>
        <v/>
      </c>
      <c r="L136">
        <f>'Ajoneuvorekisteri-Parse Modern '!M170</f>
        <v>1860</v>
      </c>
      <c r="M136">
        <f t="shared" si="19"/>
        <v>0</v>
      </c>
      <c r="N136">
        <f t="shared" si="20"/>
        <v>1</v>
      </c>
      <c r="O136">
        <f t="shared" si="21"/>
        <v>0</v>
      </c>
      <c r="P136">
        <f t="shared" si="22"/>
        <v>1</v>
      </c>
      <c r="Q136">
        <f>IF(AND(Table3[[#This Row],[Coupe]]&lt;&gt;1, Table3[[#This Row],[Convertible]]&lt;&gt;1), 1, 0)</f>
        <v>0</v>
      </c>
      <c r="R136" t="str">
        <f t="shared" si="23"/>
        <v>Convertible</v>
      </c>
    </row>
    <row r="137" spans="1:18" x14ac:dyDescent="0.25">
      <c r="A137">
        <f>'Ajoneuvorekisteri-Parse Modern '!AO56</f>
        <v>1611584</v>
      </c>
      <c r="B137" t="str">
        <f>'Ajoneuvorekisteri-Parse Modern '!AN56</f>
        <v>SAJAA41N61</v>
      </c>
      <c r="C137" t="str">
        <f t="shared" si="16"/>
        <v>UNKNOWN: [prefix=SAJAA]</v>
      </c>
      <c r="D137" t="str">
        <f t="shared" si="17"/>
        <v>UNKNOWN: [4=A]</v>
      </c>
      <c r="E137" t="str">
        <f t="shared" si="18"/>
        <v>UNKNOWN</v>
      </c>
      <c r="F137" t="str" cm="1">
        <f t="array" ref="F137">_xlfn.LET(_xlpm.v,UPPER(SUBSTITUTE(CLEAN(TRIM(B137)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XK8-XKR_COUPE_MEXICO_AUTO_LHD_EMISSION_N_2001MY</v>
      </c>
      <c r="G137" t="str" cm="1">
        <f t="array" ref="G137">_xlfn.LET(_xlpm.vin,SUBSTITUTE(CLEAN(TRIM(B137)),CHAR(160),""),_xlpm.rawDate,LEFT(TRIM(H137)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A11051–A22928</v>
      </c>
      <c r="H137">
        <f>'Ajoneuvorekisteri-Parse Modern '!G56</f>
        <v>20010228</v>
      </c>
      <c r="I137" t="str">
        <f>LEFT(Table3[[#This Row],[Käyttöönotto]],4)</f>
        <v>2001</v>
      </c>
      <c r="J137" t="str">
        <f>'Ajoneuvorekisteri-Parse Modern '!AA56</f>
        <v>COUPE XKR 4.0 AUTOMATIC-41P/259</v>
      </c>
      <c r="K137" t="str">
        <f>Ajoneuvorekisteri_Parse_Modern_XK_Range_TieliikenneAvoinData_30_06_2026_csv[[#This Row],[tyyppihyvaksyntanro]]</f>
        <v/>
      </c>
      <c r="L137">
        <f>'Ajoneuvorekisteri-Parse Modern '!M56</f>
        <v>1715</v>
      </c>
      <c r="M137">
        <f t="shared" si="19"/>
        <v>0</v>
      </c>
      <c r="N137">
        <f t="shared" si="20"/>
        <v>1</v>
      </c>
      <c r="O137">
        <f t="shared" si="21"/>
        <v>1</v>
      </c>
      <c r="P137">
        <f t="shared" si="22"/>
        <v>0</v>
      </c>
      <c r="Q137">
        <f>IF(AND(Table3[[#This Row],[Coupe]]&lt;&gt;1, Table3[[#This Row],[Convertible]]&lt;&gt;1), 1, 0)</f>
        <v>0</v>
      </c>
      <c r="R137" t="str">
        <f t="shared" si="23"/>
        <v>Coupe</v>
      </c>
    </row>
    <row r="138" spans="1:18" x14ac:dyDescent="0.25">
      <c r="A138">
        <f>'Ajoneuvorekisteri-Parse Modern '!AO115</f>
        <v>2384361</v>
      </c>
      <c r="B138" t="str">
        <f>'Ajoneuvorekisteri-Parse Modern '!AN115</f>
        <v>SAJDA42C61</v>
      </c>
      <c r="C138" t="str">
        <f t="shared" si="16"/>
        <v>UNKNOWN: [prefix=SAJDA]</v>
      </c>
      <c r="D138" t="str">
        <f t="shared" si="17"/>
        <v>XK8-XKR_CONVERTIBLE_USA_AUTO_LHD_EMISSION_C_201MY</v>
      </c>
      <c r="E138" t="str">
        <f t="shared" si="18"/>
        <v>UNKNOWN</v>
      </c>
      <c r="F138" t="str" cm="1">
        <f t="array" ref="F138">_xlfn.LET(_xlpm.v,UPPER(SUBSTITUTE(CLEAN(TRIM(B138)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XK8-XKR_CONVERTIBLE_USA_AUTO_LHD_EMISSION_C_2001MY</v>
      </c>
      <c r="G138" t="str" cm="1">
        <f t="array" ref="G138">_xlfn.LET(_xlpm.vin,SUBSTITUTE(CLEAN(TRIM(B138)),CHAR(160),""),_xlpm.rawDate,LEFT(TRIM(H138)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A11051–A22928</v>
      </c>
      <c r="H138">
        <f>'Ajoneuvorekisteri-Parse Modern '!G115</f>
        <v>20010301</v>
      </c>
      <c r="I138" t="str">
        <f>LEFT(Table3[[#This Row],[Käyttöönotto]],4)</f>
        <v>2001</v>
      </c>
      <c r="J138" t="str">
        <f>'Ajoneuvorekisteri-Parse Modern '!AA115</f>
        <v>XK8 Avoauto (AE) 2ov 3996cm3 A</v>
      </c>
      <c r="K138" t="str">
        <f>Ajoneuvorekisteri_Parse_Modern_XK_Range_TieliikenneAvoinData_30_06_2026_csv[[#This Row],[tyyppihyvaksyntanro]]</f>
        <v>e11*95/54*0061*08</v>
      </c>
      <c r="L138">
        <f>'Ajoneuvorekisteri-Parse Modern '!M115</f>
        <v>1810</v>
      </c>
      <c r="M138">
        <f t="shared" si="19"/>
        <v>1</v>
      </c>
      <c r="N138">
        <f t="shared" si="20"/>
        <v>0</v>
      </c>
      <c r="O138">
        <f t="shared" si="21"/>
        <v>0</v>
      </c>
      <c r="P138">
        <f t="shared" si="22"/>
        <v>1</v>
      </c>
      <c r="Q138">
        <f>IF(AND(Table3[[#This Row],[Coupe]]&lt;&gt;1, Table3[[#This Row],[Convertible]]&lt;&gt;1), 1, 0)</f>
        <v>0</v>
      </c>
      <c r="R138" t="str">
        <f t="shared" si="23"/>
        <v>Convertible</v>
      </c>
    </row>
    <row r="139" spans="1:18" x14ac:dyDescent="0.25">
      <c r="A139">
        <f>'Ajoneuvorekisteri-Parse Modern '!AO183</f>
        <v>3175710</v>
      </c>
      <c r="B139" t="str">
        <f>'Ajoneuvorekisteri-Parse Modern '!AN183</f>
        <v>SAJAA42N21</v>
      </c>
      <c r="C139" t="str">
        <f t="shared" si="16"/>
        <v>UNKNOWN: [prefix=SAJAA]</v>
      </c>
      <c r="D139" t="str">
        <f t="shared" si="17"/>
        <v>UNKNOWN: [4=A]</v>
      </c>
      <c r="E139" t="str">
        <f t="shared" si="18"/>
        <v>UNKNOWN</v>
      </c>
      <c r="F139" t="str" cm="1">
        <f t="array" ref="F139">_xlfn.LET(_xlpm.v,UPPER(SUBSTITUTE(CLEAN(TRIM(B139)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XK8-XKR_CONVERTIBLE_MEXICO_AUTO_LHD_EMISSION_N_2001MY</v>
      </c>
      <c r="G139" t="str" cm="1">
        <f t="array" ref="G139">_xlfn.LET(_xlpm.vin,SUBSTITUTE(CLEAN(TRIM(B139)),CHAR(160),""),_xlpm.rawDate,LEFT(TRIM(H139)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A11051–A22928</v>
      </c>
      <c r="H139">
        <f>'Ajoneuvorekisteri-Parse Modern '!G183</f>
        <v>20010508</v>
      </c>
      <c r="I139" t="str">
        <f>LEFT(Table3[[#This Row],[Käyttöönotto]],4)</f>
        <v>2001</v>
      </c>
      <c r="J139" t="str">
        <f>'Ajoneuvorekisteri-Parse Modern '!AA183</f>
        <v>XKR CONVERTIBLE Avoauto (AE) 2ov 3990cm3 A</v>
      </c>
      <c r="K139" t="str">
        <f>Ajoneuvorekisteri_Parse_Modern_XK_Range_TieliikenneAvoinData_30_06_2026_csv[[#This Row],[tyyppihyvaksyntanro]]</f>
        <v>e11*95/54*0061*04</v>
      </c>
      <c r="L139">
        <f>'Ajoneuvorekisteri-Parse Modern '!M183</f>
        <v>1825</v>
      </c>
      <c r="M139">
        <f t="shared" si="19"/>
        <v>0</v>
      </c>
      <c r="N139">
        <f t="shared" si="20"/>
        <v>1</v>
      </c>
      <c r="O139">
        <f t="shared" si="21"/>
        <v>0</v>
      </c>
      <c r="P139">
        <f t="shared" si="22"/>
        <v>1</v>
      </c>
      <c r="Q139">
        <f>IF(AND(Table3[[#This Row],[Coupe]]&lt;&gt;1, Table3[[#This Row],[Convertible]]&lt;&gt;1), 1, 0)</f>
        <v>0</v>
      </c>
      <c r="R139" t="str">
        <f t="shared" si="23"/>
        <v>Convertible</v>
      </c>
    </row>
    <row r="140" spans="1:18" x14ac:dyDescent="0.25">
      <c r="A140">
        <f>'Ajoneuvorekisteri-Parse Modern '!AO13</f>
        <v>423185</v>
      </c>
      <c r="B140" t="str">
        <f>'Ajoneuvorekisteri-Parse Modern '!AN13</f>
        <v>SAJAA41M11</v>
      </c>
      <c r="C140" t="str">
        <f t="shared" si="16"/>
        <v>UNKNOWN: [prefix=SAJAA]</v>
      </c>
      <c r="D140" t="str">
        <f t="shared" si="17"/>
        <v>UNKNOWN: [4=A]</v>
      </c>
      <c r="E140" t="str">
        <f t="shared" si="18"/>
        <v>UNKNOWN</v>
      </c>
      <c r="F140" t="str" cm="1">
        <f t="array" ref="F140">_xlfn.LET(_xlpm.v,UPPER(SUBSTITUTE(CLEAN(TRIM(B140)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XK8-XKR_COUPE_MEXICO_AUTO_LHD_EMISSION_M_2001MY</v>
      </c>
      <c r="G140" t="str" cm="1">
        <f t="array" ref="G140">_xlfn.LET(_xlpm.vin,SUBSTITUTE(CLEAN(TRIM(B140)),CHAR(160),""),_xlpm.rawDate,LEFT(TRIM(H140)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A11051–A22928</v>
      </c>
      <c r="H140">
        <f>'Ajoneuvorekisteri-Parse Modern '!G13</f>
        <v>20010706</v>
      </c>
      <c r="I140" t="str">
        <f>LEFT(Table3[[#This Row],[Käyttöönotto]],4)</f>
        <v>2001</v>
      </c>
      <c r="J140" t="str">
        <f>'Ajoneuvorekisteri-Parse Modern '!AA13</f>
        <v>COUPE XK8 4.0 AUTOMATIC-41N/259</v>
      </c>
      <c r="K140" t="str">
        <f>Ajoneuvorekisteri_Parse_Modern_XK_Range_TieliikenneAvoinData_30_06_2026_csv[[#This Row],[tyyppihyvaksyntanro]]</f>
        <v/>
      </c>
      <c r="L140">
        <f>'Ajoneuvorekisteri-Parse Modern '!M13</f>
        <v>1690</v>
      </c>
      <c r="M140">
        <f t="shared" si="19"/>
        <v>1</v>
      </c>
      <c r="N140">
        <f t="shared" si="20"/>
        <v>0</v>
      </c>
      <c r="O140">
        <f t="shared" si="21"/>
        <v>1</v>
      </c>
      <c r="P140">
        <f t="shared" si="22"/>
        <v>0</v>
      </c>
      <c r="Q140">
        <f>IF(AND(Table3[[#This Row],[Coupe]]&lt;&gt;1, Table3[[#This Row],[Convertible]]&lt;&gt;1), 1, 0)</f>
        <v>0</v>
      </c>
      <c r="R140" t="str">
        <f t="shared" si="23"/>
        <v>Coupe</v>
      </c>
    </row>
    <row r="141" spans="1:18" x14ac:dyDescent="0.25">
      <c r="A141">
        <f>'Ajoneuvorekisteri-Parse Modern '!AO70</f>
        <v>1931247</v>
      </c>
      <c r="B141" t="str">
        <f>'Ajoneuvorekisteri-Parse Modern '!AN70</f>
        <v>SAJAA41M52</v>
      </c>
      <c r="C141" t="str">
        <f t="shared" si="16"/>
        <v>UNKNOWN: [prefix=SAJAA]</v>
      </c>
      <c r="D141" t="str">
        <f t="shared" si="17"/>
        <v>UNKNOWN: [4=A]</v>
      </c>
      <c r="E141" t="str">
        <f t="shared" si="18"/>
        <v>UNKNOWN</v>
      </c>
      <c r="F141" t="str" cm="1">
        <f t="array" ref="F141">_xlfn.LET(_xlpm.v,UPPER(SUBSTITUTE(CLEAN(TRIM(B141)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XK8-XKR_COUPE_MEXICO_AUTO_LHD_EMISSION_M_2002MY</v>
      </c>
      <c r="G141" t="str" cm="1">
        <f t="array" ref="G141">_xlfn.LET(_xlpm.vin,SUBSTITUTE(CLEAN(TRIM(B141)),CHAR(160),""),_xlpm.rawDate,LEFT(TRIM(H141)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A22929–A30644</v>
      </c>
      <c r="H141">
        <f>'Ajoneuvorekisteri-Parse Modern '!G70</f>
        <v>20010827</v>
      </c>
      <c r="I141" t="str">
        <f>LEFT(Table3[[#This Row],[Käyttöönotto]],4)</f>
        <v>2001</v>
      </c>
      <c r="J141" t="str">
        <f>'Ajoneuvorekisteri-Parse Modern '!AA70</f>
        <v>XK Coup� (AD) 2ov 3996cm3 A</v>
      </c>
      <c r="K141" t="str">
        <f>Ajoneuvorekisteri_Parse_Modern_XK_Range_TieliikenneAvoinData_30_06_2026_csv[[#This Row],[tyyppihyvaksyntanro]]</f>
        <v>e11*2001/116*0272*07</v>
      </c>
      <c r="L141">
        <f>'Ajoneuvorekisteri-Parse Modern '!M70</f>
        <v>1690</v>
      </c>
      <c r="M141">
        <f t="shared" si="19"/>
        <v>1</v>
      </c>
      <c r="N141">
        <f t="shared" si="20"/>
        <v>0</v>
      </c>
      <c r="O141">
        <f t="shared" si="21"/>
        <v>1</v>
      </c>
      <c r="P141">
        <f t="shared" si="22"/>
        <v>0</v>
      </c>
      <c r="Q141">
        <f>IF(AND(Table3[[#This Row],[Coupe]]&lt;&gt;1, Table3[[#This Row],[Convertible]]&lt;&gt;1), 1, 0)</f>
        <v>0</v>
      </c>
      <c r="R141" t="str">
        <f t="shared" si="23"/>
        <v>Coupe</v>
      </c>
    </row>
    <row r="142" spans="1:18" x14ac:dyDescent="0.25">
      <c r="A142">
        <f>'Ajoneuvorekisteri-Parse Modern '!AO96</f>
        <v>2192116</v>
      </c>
      <c r="B142" t="str">
        <f>'Ajoneuvorekisteri-Parse Modern '!AN96</f>
        <v>SAJDA42C62</v>
      </c>
      <c r="C142" t="str">
        <f t="shared" si="16"/>
        <v>UNKNOWN: [prefix=SAJDA]</v>
      </c>
      <c r="D142" t="str">
        <f t="shared" si="17"/>
        <v>XK8-XKR_CONVERTIBLE_USA_AUTO_LHD_EMISSION_C_202MY</v>
      </c>
      <c r="E142" t="str">
        <f t="shared" si="18"/>
        <v>UNKNOWN</v>
      </c>
      <c r="F142" t="str" cm="1">
        <f t="array" ref="F142">_xlfn.LET(_xlpm.v,UPPER(SUBSTITUTE(CLEAN(TRIM(B142)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XK8-XKR_CONVERTIBLE_USA_AUTO_LHD_EMISSION_C_2002MY</v>
      </c>
      <c r="G142" t="str" cm="1">
        <f t="array" ref="G142">_xlfn.LET(_xlpm.vin,SUBSTITUTE(CLEAN(TRIM(B142)),CHAR(160),""),_xlpm.rawDate,LEFT(TRIM(H142)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A22929–A30644</v>
      </c>
      <c r="H142">
        <f>'Ajoneuvorekisteri-Parse Modern '!G96</f>
        <v>20011205</v>
      </c>
      <c r="I142" t="str">
        <f>LEFT(Table3[[#This Row],[Käyttöönotto]],4)</f>
        <v>2001</v>
      </c>
      <c r="J142" t="str">
        <f>'Ajoneuvorekisteri-Parse Modern '!AA96</f>
        <v>2D CONVERTIBLE XK8 4.0-AUTOMATIC-DA42/259 Avoauto (AE) 2ov 3990cm3 A</v>
      </c>
      <c r="K142" t="str">
        <f>Ajoneuvorekisteri_Parse_Modern_XK_Range_TieliikenneAvoinData_30_06_2026_csv[[#This Row],[tyyppihyvaksyntanro]]</f>
        <v/>
      </c>
      <c r="L142">
        <f>'Ajoneuvorekisteri-Parse Modern '!M96</f>
        <v>1840</v>
      </c>
      <c r="M142">
        <f t="shared" si="19"/>
        <v>1</v>
      </c>
      <c r="N142">
        <f t="shared" si="20"/>
        <v>0</v>
      </c>
      <c r="O142">
        <f t="shared" si="21"/>
        <v>0</v>
      </c>
      <c r="P142">
        <f t="shared" si="22"/>
        <v>1</v>
      </c>
      <c r="Q142">
        <f>IF(AND(Table3[[#This Row],[Coupe]]&lt;&gt;1, Table3[[#This Row],[Convertible]]&lt;&gt;1), 1, 0)</f>
        <v>0</v>
      </c>
      <c r="R142" t="str">
        <f t="shared" si="23"/>
        <v>Convertible</v>
      </c>
    </row>
    <row r="143" spans="1:18" x14ac:dyDescent="0.25">
      <c r="A143">
        <f>'Ajoneuvorekisteri-Parse Modern '!AO142</f>
        <v>2655980</v>
      </c>
      <c r="B143" t="str">
        <f>'Ajoneuvorekisteri-Parse Modern '!AN142</f>
        <v>SAJDA42B02</v>
      </c>
      <c r="C143" t="str">
        <f t="shared" si="16"/>
        <v>UNKNOWN: [prefix=SAJDA]</v>
      </c>
      <c r="D143" t="str">
        <f t="shared" si="17"/>
        <v>XK8-XKR_CONVERTIBLE_USA_AUTO_LHD_EMISSION_B_202MY</v>
      </c>
      <c r="E143" t="str">
        <f t="shared" si="18"/>
        <v>UNKNOWN</v>
      </c>
      <c r="F143" t="str" cm="1">
        <f t="array" ref="F143">_xlfn.LET(_xlpm.v,UPPER(SUBSTITUTE(CLEAN(TRIM(B143)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XK8-XKR_CONVERTIBLE_USA_AUTO_LHD_EMISSION_B_2002MY</v>
      </c>
      <c r="G143" t="str" cm="1">
        <f t="array" ref="G143">_xlfn.LET(_xlpm.vin,SUBSTITUTE(CLEAN(TRIM(B143)),CHAR(160),""),_xlpm.rawDate,LEFT(TRIM(H143)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A22929–A30644</v>
      </c>
      <c r="H143">
        <f>'Ajoneuvorekisteri-Parse Modern '!G142</f>
        <v>20020000</v>
      </c>
      <c r="I143" t="str">
        <f>LEFT(Table3[[#This Row],[Käyttöönotto]],4)</f>
        <v>2002</v>
      </c>
      <c r="J143" t="str">
        <f>'Ajoneuvorekisteri-Parse Modern '!AA142</f>
        <v>XKR Avoauto (AE) 2ov 3990cm3 A</v>
      </c>
      <c r="K143" t="str">
        <f>Ajoneuvorekisteri_Parse_Modern_XK_Range_TieliikenneAvoinData_30_06_2026_csv[[#This Row],[tyyppihyvaksyntanro]]</f>
        <v/>
      </c>
      <c r="L143">
        <f>'Ajoneuvorekisteri-Parse Modern '!M142</f>
        <v>1880</v>
      </c>
      <c r="M143">
        <f t="shared" si="19"/>
        <v>0</v>
      </c>
      <c r="N143">
        <f t="shared" si="20"/>
        <v>1</v>
      </c>
      <c r="O143">
        <f t="shared" si="21"/>
        <v>0</v>
      </c>
      <c r="P143">
        <f t="shared" si="22"/>
        <v>1</v>
      </c>
      <c r="Q143">
        <f>IF(AND(Table3[[#This Row],[Coupe]]&lt;&gt;1, Table3[[#This Row],[Convertible]]&lt;&gt;1), 1, 0)</f>
        <v>0</v>
      </c>
      <c r="R143" t="str">
        <f t="shared" si="23"/>
        <v>Convertible</v>
      </c>
    </row>
    <row r="144" spans="1:18" x14ac:dyDescent="0.25">
      <c r="A144">
        <f>'Ajoneuvorekisteri-Parse Modern '!AO180</f>
        <v>3100222</v>
      </c>
      <c r="B144" t="str">
        <f>'Ajoneuvorekisteri-Parse Modern '!AN180</f>
        <v>SAJDA42C22</v>
      </c>
      <c r="C144" t="str">
        <f t="shared" si="16"/>
        <v>UNKNOWN: [prefix=SAJDA]</v>
      </c>
      <c r="D144" t="str">
        <f t="shared" si="17"/>
        <v>XK8-XKR_CONVERTIBLE_USA_AUTO_LHD_EMISSION_C_202MY</v>
      </c>
      <c r="E144" t="str">
        <f t="shared" si="18"/>
        <v>UNKNOWN</v>
      </c>
      <c r="F144" t="str" cm="1">
        <f t="array" ref="F144">_xlfn.LET(_xlpm.v,UPPER(SUBSTITUTE(CLEAN(TRIM(B144)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XK8-XKR_CONVERTIBLE_USA_AUTO_LHD_EMISSION_C_2002MY</v>
      </c>
      <c r="G144" t="str" cm="1">
        <f t="array" ref="G144">_xlfn.LET(_xlpm.vin,SUBSTITUTE(CLEAN(TRIM(B144)),CHAR(160),""),_xlpm.rawDate,LEFT(TRIM(H144)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A22929–A30644</v>
      </c>
      <c r="H144">
        <f>'Ajoneuvorekisteri-Parse Modern '!G180</f>
        <v>20020000</v>
      </c>
      <c r="I144" t="str">
        <f>LEFT(Table3[[#This Row],[Käyttöönotto]],4)</f>
        <v>2002</v>
      </c>
      <c r="J144" t="str">
        <f>'Ajoneuvorekisteri-Parse Modern '!AA180</f>
        <v>XK8 Convertible Avoauto (AE) 2ov 3996cm3 A</v>
      </c>
      <c r="K144" t="str">
        <f>Ajoneuvorekisteri_Parse_Modern_XK_Range_TieliikenneAvoinData_30_06_2026_csv[[#This Row],[tyyppihyvaksyntanro]]</f>
        <v/>
      </c>
      <c r="L144">
        <f>'Ajoneuvorekisteri-Parse Modern '!M180</f>
        <v>1780</v>
      </c>
      <c r="M144">
        <f t="shared" si="19"/>
        <v>1</v>
      </c>
      <c r="N144">
        <f t="shared" si="20"/>
        <v>0</v>
      </c>
      <c r="O144">
        <f t="shared" si="21"/>
        <v>0</v>
      </c>
      <c r="P144">
        <f t="shared" si="22"/>
        <v>1</v>
      </c>
      <c r="Q144">
        <f>IF(AND(Table3[[#This Row],[Coupe]]&lt;&gt;1, Table3[[#This Row],[Convertible]]&lt;&gt;1), 1, 0)</f>
        <v>0</v>
      </c>
      <c r="R144" t="str">
        <f t="shared" si="23"/>
        <v>Convertible</v>
      </c>
    </row>
    <row r="145" spans="1:18" x14ac:dyDescent="0.25">
      <c r="A145">
        <f>'Ajoneuvorekisteri-Parse Modern '!AO217</f>
        <v>3593247</v>
      </c>
      <c r="B145" t="str">
        <f>'Ajoneuvorekisteri-Parse Modern '!AN217</f>
        <v>SAJDA42B72</v>
      </c>
      <c r="C145" t="str">
        <f t="shared" si="16"/>
        <v>UNKNOWN: [prefix=SAJDA]</v>
      </c>
      <c r="D145" t="str">
        <f t="shared" si="17"/>
        <v>XK8-XKR_CONVERTIBLE_USA_AUTO_LHD_EMISSION_B_202MY</v>
      </c>
      <c r="E145" t="str">
        <f t="shared" si="18"/>
        <v>UNKNOWN</v>
      </c>
      <c r="F145" t="str" cm="1">
        <f t="array" ref="F145">_xlfn.LET(_xlpm.v,UPPER(SUBSTITUTE(CLEAN(TRIM(B145)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XK8-XKR_CONVERTIBLE_USA_AUTO_LHD_EMISSION_B_2002MY</v>
      </c>
      <c r="G145" t="str" cm="1">
        <f t="array" ref="G145">_xlfn.LET(_xlpm.vin,SUBSTITUTE(CLEAN(TRIM(B145)),CHAR(160),""),_xlpm.rawDate,LEFT(TRIM(H145)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A22929–A30644</v>
      </c>
      <c r="H145">
        <f>'Ajoneuvorekisteri-Parse Modern '!G217</f>
        <v>20020000</v>
      </c>
      <c r="I145" t="str">
        <f>LEFT(Table3[[#This Row],[Käyttöönotto]],4)</f>
        <v>2002</v>
      </c>
      <c r="J145" t="str">
        <f>'Ajoneuvorekisteri-Parse Modern '!AA217</f>
        <v>2D CONVERTIBLE XKR 4.0-AUTOMATIC-42B/259 Avoauto (AE) 2ov 4196cm3 A</v>
      </c>
      <c r="K145" t="str">
        <f>Ajoneuvorekisteri_Parse_Modern_XK_Range_TieliikenneAvoinData_30_06_2026_csv[[#This Row],[tyyppihyvaksyntanro]]</f>
        <v>e11*95/54*0061*02</v>
      </c>
      <c r="L145">
        <f>'Ajoneuvorekisteri-Parse Modern '!M217</f>
        <v>1695</v>
      </c>
      <c r="M145">
        <f t="shared" si="19"/>
        <v>0</v>
      </c>
      <c r="N145">
        <f t="shared" si="20"/>
        <v>1</v>
      </c>
      <c r="O145">
        <f t="shared" si="21"/>
        <v>0</v>
      </c>
      <c r="P145">
        <f t="shared" si="22"/>
        <v>1</v>
      </c>
      <c r="Q145">
        <f>IF(AND(Table3[[#This Row],[Coupe]]&lt;&gt;1, Table3[[#This Row],[Convertible]]&lt;&gt;1), 1, 0)</f>
        <v>0</v>
      </c>
      <c r="R145" t="str">
        <f t="shared" si="23"/>
        <v>Convertible</v>
      </c>
    </row>
    <row r="146" spans="1:18" x14ac:dyDescent="0.25">
      <c r="A146">
        <f>'Ajoneuvorekisteri-Parse Modern '!AO109</f>
        <v>2321043</v>
      </c>
      <c r="B146" t="str">
        <f>'Ajoneuvorekisteri-Parse Modern '!AN109</f>
        <v>SAJAA41M71</v>
      </c>
      <c r="C146" t="str">
        <f t="shared" si="16"/>
        <v>UNKNOWN: [prefix=SAJAA]</v>
      </c>
      <c r="D146" t="str">
        <f t="shared" si="17"/>
        <v>UNKNOWN: [4=A]</v>
      </c>
      <c r="E146" t="str">
        <f t="shared" si="18"/>
        <v>UNKNOWN</v>
      </c>
      <c r="F146" t="str" cm="1">
        <f t="array" ref="F146">_xlfn.LET(_xlpm.v,UPPER(SUBSTITUTE(CLEAN(TRIM(B146)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XK8-XKR_COUPE_MEXICO_AUTO_LHD_EMISSION_M_2001MY</v>
      </c>
      <c r="G146" t="str" cm="1">
        <f t="array" ref="G146">_xlfn.LET(_xlpm.vin,SUBSTITUTE(CLEAN(TRIM(B146)),CHAR(160),""),_xlpm.rawDate,LEFT(TRIM(H146)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A11051–A22928</v>
      </c>
      <c r="H146">
        <f>'Ajoneuvorekisteri-Parse Modern '!G109</f>
        <v>20020426</v>
      </c>
      <c r="I146" t="str">
        <f>LEFT(Table3[[#This Row],[Käyttöönotto]],4)</f>
        <v>2002</v>
      </c>
      <c r="J146" t="str">
        <f>'Ajoneuvorekisteri-Parse Modern '!AA109</f>
        <v>XK Coup� (AD) 2ov 3990cm3 A</v>
      </c>
      <c r="K146" t="str">
        <f>Ajoneuvorekisteri_Parse_Modern_XK_Range_TieliikenneAvoinData_30_06_2026_csv[[#This Row],[tyyppihyvaksyntanro]]</f>
        <v>e11*95/54*0061</v>
      </c>
      <c r="L146">
        <f>'Ajoneuvorekisteri-Parse Modern '!M109</f>
        <v>1690</v>
      </c>
      <c r="M146">
        <f t="shared" si="19"/>
        <v>1</v>
      </c>
      <c r="N146">
        <f t="shared" si="20"/>
        <v>0</v>
      </c>
      <c r="O146">
        <f t="shared" si="21"/>
        <v>1</v>
      </c>
      <c r="P146">
        <f t="shared" si="22"/>
        <v>0</v>
      </c>
      <c r="Q146">
        <f>IF(AND(Table3[[#This Row],[Coupe]]&lt;&gt;1, Table3[[#This Row],[Convertible]]&lt;&gt;1), 1, 0)</f>
        <v>0</v>
      </c>
      <c r="R146" t="str">
        <f t="shared" si="23"/>
        <v>Coupe</v>
      </c>
    </row>
    <row r="147" spans="1:18" x14ac:dyDescent="0.25">
      <c r="A147">
        <f>'Ajoneuvorekisteri-Parse Modern '!AO113</f>
        <v>2354513</v>
      </c>
      <c r="B147" t="str">
        <f>'Ajoneuvorekisteri-Parse Modern '!AN113</f>
        <v>SAJAA41N82</v>
      </c>
      <c r="C147" t="str">
        <f t="shared" si="16"/>
        <v>UNKNOWN: [prefix=SAJAA]</v>
      </c>
      <c r="D147" t="str">
        <f t="shared" si="17"/>
        <v>UNKNOWN: [4=A]</v>
      </c>
      <c r="E147" t="str">
        <f t="shared" si="18"/>
        <v>UNKNOWN</v>
      </c>
      <c r="F147" t="str" cm="1">
        <f t="array" ref="F147">_xlfn.LET(_xlpm.v,UPPER(SUBSTITUTE(CLEAN(TRIM(B147)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XK8-XKR_COUPE_MEXICO_AUTO_LHD_EMISSION_N_2002MY</v>
      </c>
      <c r="G147" t="str" cm="1">
        <f t="array" ref="G147">_xlfn.LET(_xlpm.vin,SUBSTITUTE(CLEAN(TRIM(B147)),CHAR(160),""),_xlpm.rawDate,LEFT(TRIM(H147)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A22929–A30644</v>
      </c>
      <c r="H147">
        <f>'Ajoneuvorekisteri-Parse Modern '!G113</f>
        <v>20020524</v>
      </c>
      <c r="I147" t="str">
        <f>LEFT(Table3[[#This Row],[Käyttöönotto]],4)</f>
        <v>2002</v>
      </c>
      <c r="J147" t="str">
        <f>'Ajoneuvorekisteri-Parse Modern '!AA113</f>
        <v>XKR Coup� (AD) 2ov 3990cm3 A</v>
      </c>
      <c r="K147" t="str">
        <f>Ajoneuvorekisteri_Parse_Modern_XK_Range_TieliikenneAvoinData_30_06_2026_csv[[#This Row],[tyyppihyvaksyntanro]]</f>
        <v>e11*95/54*0061*02</v>
      </c>
      <c r="L147">
        <f>'Ajoneuvorekisteri-Parse Modern '!M113</f>
        <v>1690</v>
      </c>
      <c r="M147">
        <f t="shared" si="19"/>
        <v>0</v>
      </c>
      <c r="N147">
        <f t="shared" si="20"/>
        <v>1</v>
      </c>
      <c r="O147">
        <f t="shared" si="21"/>
        <v>1</v>
      </c>
      <c r="P147">
        <f t="shared" si="22"/>
        <v>0</v>
      </c>
      <c r="Q147">
        <f>IF(AND(Table3[[#This Row],[Coupe]]&lt;&gt;1, Table3[[#This Row],[Convertible]]&lt;&gt;1), 1, 0)</f>
        <v>0</v>
      </c>
      <c r="R147" t="str">
        <f t="shared" si="23"/>
        <v>Coupe</v>
      </c>
    </row>
    <row r="148" spans="1:18" x14ac:dyDescent="0.25">
      <c r="A148">
        <f>'Ajoneuvorekisteri-Parse Modern '!AO86</f>
        <v>2095455</v>
      </c>
      <c r="B148" t="str">
        <f>'Ajoneuvorekisteri-Parse Modern '!AN86</f>
        <v>SAJAA42M71</v>
      </c>
      <c r="C148" t="str">
        <f t="shared" si="16"/>
        <v>UNKNOWN: [prefix=SAJAA]</v>
      </c>
      <c r="D148" t="str">
        <f t="shared" si="17"/>
        <v>UNKNOWN: [4=A]</v>
      </c>
      <c r="E148" t="str">
        <f t="shared" si="18"/>
        <v>UNKNOWN</v>
      </c>
      <c r="F148" t="str" cm="1">
        <f t="array" ref="F148">_xlfn.LET(_xlpm.v,UPPER(SUBSTITUTE(CLEAN(TRIM(B148)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XK8-XKR_CONVERTIBLE_MEXICO_AUTO_LHD_EMISSION_M_2001MY</v>
      </c>
      <c r="G148" t="str" cm="1">
        <f t="array" ref="G148">_xlfn.LET(_xlpm.vin,SUBSTITUTE(CLEAN(TRIM(B148)),CHAR(160),""),_xlpm.rawDate,LEFT(TRIM(H148)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A11051–A22928</v>
      </c>
      <c r="H148">
        <f>'Ajoneuvorekisteri-Parse Modern '!G86</f>
        <v>20020712</v>
      </c>
      <c r="I148" t="str">
        <f>LEFT(Table3[[#This Row],[Käyttöönotto]],4)</f>
        <v>2002</v>
      </c>
      <c r="J148" t="str">
        <f>'Ajoneuvorekisteri-Parse Modern '!AA86</f>
        <v>XK8 CONVERTIBLE Avoauto (AE) 2ov 3996cm3 A</v>
      </c>
      <c r="K148" t="str">
        <f>Ajoneuvorekisteri_Parse_Modern_XK_Range_TieliikenneAvoinData_30_06_2026_csv[[#This Row],[tyyppihyvaksyntanro]]</f>
        <v/>
      </c>
      <c r="L148">
        <f>'Ajoneuvorekisteri-Parse Modern '!M86</f>
        <v>1780</v>
      </c>
      <c r="M148">
        <f t="shared" si="19"/>
        <v>1</v>
      </c>
      <c r="N148">
        <f t="shared" si="20"/>
        <v>0</v>
      </c>
      <c r="O148">
        <f t="shared" si="21"/>
        <v>0</v>
      </c>
      <c r="P148">
        <f t="shared" si="22"/>
        <v>1</v>
      </c>
      <c r="Q148">
        <f>IF(AND(Table3[[#This Row],[Coupe]]&lt;&gt;1, Table3[[#This Row],[Convertible]]&lt;&gt;1), 1, 0)</f>
        <v>0</v>
      </c>
      <c r="R148" t="str">
        <f t="shared" si="23"/>
        <v>Convertible</v>
      </c>
    </row>
    <row r="149" spans="1:18" x14ac:dyDescent="0.25">
      <c r="A149">
        <f>'Ajoneuvorekisteri-Parse Modern '!AO6</f>
        <v>99569</v>
      </c>
      <c r="B149" t="str">
        <f>'Ajoneuvorekisteri-Parse Modern '!AN6</f>
        <v>SAJAA42RX3</v>
      </c>
      <c r="C149" t="str">
        <f t="shared" si="16"/>
        <v>UNKNOWN: [prefix=SAJAA]</v>
      </c>
      <c r="D149" t="str">
        <f t="shared" si="17"/>
        <v>UNKNOWN: [4=A]</v>
      </c>
      <c r="E149" t="str">
        <f t="shared" si="18"/>
        <v>UNKNOWN</v>
      </c>
      <c r="F149" t="str" cm="1">
        <f t="array" ref="F149">_xlfn.LET(_xlpm.v,UPPER(SUBSTITUTE(CLEAN(TRIM(B149)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XK8-XKR_CONVERTIBLE_MEXICO_AUTO_LHD_EMISSION_R_2003MY</v>
      </c>
      <c r="G149" t="str" cm="1">
        <f t="array" ref="G149">_xlfn.LET(_xlpm.vin,SUBSTITUTE(CLEAN(TRIM(B149)),CHAR(160),""),_xlpm.rawDate,LEFT(TRIM(H149)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A30645–A36873</v>
      </c>
      <c r="H149">
        <f>'Ajoneuvorekisteri-Parse Modern '!G6</f>
        <v>20020905</v>
      </c>
      <c r="I149" t="str">
        <f>LEFT(Table3[[#This Row],[Käyttöönotto]],4)</f>
        <v>2002</v>
      </c>
      <c r="J149" t="str">
        <f>'Ajoneuvorekisteri-Parse Modern '!AA6</f>
        <v>2D CONVERTIBLE XKR 4.2-AUTOMATIC-42R/259</v>
      </c>
      <c r="K149" t="str">
        <f>Ajoneuvorekisteri_Parse_Modern_XK_Range_TieliikenneAvoinData_30_06_2026_csv[[#This Row],[tyyppihyvaksyntanro]]</f>
        <v/>
      </c>
      <c r="L149">
        <f>'Ajoneuvorekisteri-Parse Modern '!M6</f>
        <v>1770</v>
      </c>
      <c r="M149">
        <f t="shared" si="19"/>
        <v>0</v>
      </c>
      <c r="N149">
        <f t="shared" si="20"/>
        <v>1</v>
      </c>
      <c r="O149">
        <f t="shared" si="21"/>
        <v>0</v>
      </c>
      <c r="P149">
        <f t="shared" si="22"/>
        <v>1</v>
      </c>
      <c r="Q149">
        <f>IF(AND(Table3[[#This Row],[Coupe]]&lt;&gt;1, Table3[[#This Row],[Convertible]]&lt;&gt;1), 1, 0)</f>
        <v>0</v>
      </c>
      <c r="R149" t="str">
        <f t="shared" si="23"/>
        <v>Convertible</v>
      </c>
    </row>
    <row r="150" spans="1:18" x14ac:dyDescent="0.25">
      <c r="A150">
        <f>'Ajoneuvorekisteri-Parse Modern '!AO232</f>
        <v>3969198</v>
      </c>
      <c r="B150" t="str">
        <f>'Ajoneuvorekisteri-Parse Modern '!AN232</f>
        <v>SAJAC42RX3</v>
      </c>
      <c r="C150" t="str">
        <f t="shared" si="16"/>
        <v>UNKNOWN: [prefix=SAJAC]</v>
      </c>
      <c r="D150" t="str">
        <f t="shared" si="17"/>
        <v>UNKNOWN: [4=A]</v>
      </c>
      <c r="E150" t="str">
        <f t="shared" si="18"/>
        <v>UNKNOWN</v>
      </c>
      <c r="F150" t="str" cm="1">
        <f t="array" ref="F150">_xlfn.LET(_xlpm.v,UPPER(SUBSTITUTE(CLEAN(TRIM(B150)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UNKNOWN</v>
      </c>
      <c r="G150" t="str" cm="1">
        <f t="array" ref="G150">_xlfn.LET(_xlpm.vin,SUBSTITUTE(CLEAN(TRIM(B150)),CHAR(160),""),_xlpm.rawDate,LEFT(TRIM(H150)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A30645–A36873</v>
      </c>
      <c r="H150">
        <f>'Ajoneuvorekisteri-Parse Modern '!G232</f>
        <v>20021010</v>
      </c>
      <c r="I150" t="str">
        <f>LEFT(Table3[[#This Row],[Käyttöönotto]],4)</f>
        <v>2002</v>
      </c>
      <c r="J150" t="str">
        <f>'Ajoneuvorekisteri-Parse Modern '!AA232</f>
        <v>XK Avoauto (AE) 2ov 4190cm3</v>
      </c>
      <c r="K150" t="str">
        <f>Ajoneuvorekisteri_Parse_Modern_XK_Range_TieliikenneAvoinData_30_06_2026_csv[[#This Row],[tyyppihyvaksyntanro]]</f>
        <v>e11*2001/116*0272*00</v>
      </c>
      <c r="L150">
        <f>'Ajoneuvorekisteri-Parse Modern '!M232</f>
        <v>1770</v>
      </c>
      <c r="M150">
        <f t="shared" si="19"/>
        <v>1</v>
      </c>
      <c r="N150">
        <f t="shared" si="20"/>
        <v>0</v>
      </c>
      <c r="O150">
        <f t="shared" si="21"/>
        <v>0</v>
      </c>
      <c r="P150">
        <f t="shared" si="22"/>
        <v>1</v>
      </c>
      <c r="Q150">
        <f>IF(AND(Table3[[#This Row],[Coupe]]&lt;&gt;1, Table3[[#This Row],[Convertible]]&lt;&gt;1), 1, 0)</f>
        <v>0</v>
      </c>
      <c r="R150" t="str">
        <f t="shared" si="23"/>
        <v>Convertible</v>
      </c>
    </row>
    <row r="151" spans="1:18" x14ac:dyDescent="0.25">
      <c r="A151">
        <f>'Ajoneuvorekisteri-Parse Modern '!AO120</f>
        <v>2476262</v>
      </c>
      <c r="B151" t="str">
        <f>'Ajoneuvorekisteri-Parse Modern '!AN120</f>
        <v>SAJAA42PX3</v>
      </c>
      <c r="C151" t="str">
        <f t="shared" si="16"/>
        <v>UNKNOWN: [prefix=SAJAA]</v>
      </c>
      <c r="D151" t="str">
        <f t="shared" si="17"/>
        <v>UNKNOWN: [4=A]</v>
      </c>
      <c r="E151" t="str">
        <f t="shared" si="18"/>
        <v>UNKNOWN</v>
      </c>
      <c r="F151" t="str" cm="1">
        <f t="array" ref="F151">_xlfn.LET(_xlpm.v,UPPER(SUBSTITUTE(CLEAN(TRIM(B151)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XK8-XKR_CONVERTIBLE_MEXICO_AUTO_LHD_EMISSION_P_2003MY</v>
      </c>
      <c r="G151" t="str" cm="1">
        <f t="array" ref="G151">_xlfn.LET(_xlpm.vin,SUBSTITUTE(CLEAN(TRIM(B151)),CHAR(160),""),_xlpm.rawDate,LEFT(TRIM(H151)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A30645–A36873</v>
      </c>
      <c r="H151">
        <f>'Ajoneuvorekisteri-Parse Modern '!G120</f>
        <v>20021107</v>
      </c>
      <c r="I151" t="str">
        <f>LEFT(Table3[[#This Row],[Käyttöönotto]],4)</f>
        <v>2002</v>
      </c>
      <c r="J151" t="str">
        <f>'Ajoneuvorekisteri-Parse Modern '!AA120</f>
        <v>XK Avoauto (AE) 2ov 4190cm3 A</v>
      </c>
      <c r="K151" t="str">
        <f>Ajoneuvorekisteri_Parse_Modern_XK_Range_TieliikenneAvoinData_30_06_2026_csv[[#This Row],[tyyppihyvaksyntanro]]</f>
        <v/>
      </c>
      <c r="L151">
        <f>'Ajoneuvorekisteri-Parse Modern '!M120</f>
        <v>1770</v>
      </c>
      <c r="M151">
        <f t="shared" si="19"/>
        <v>1</v>
      </c>
      <c r="N151">
        <f t="shared" si="20"/>
        <v>0</v>
      </c>
      <c r="O151">
        <f t="shared" si="21"/>
        <v>0</v>
      </c>
      <c r="P151">
        <f t="shared" si="22"/>
        <v>1</v>
      </c>
      <c r="Q151">
        <f>IF(AND(Table3[[#This Row],[Coupe]]&lt;&gt;1, Table3[[#This Row],[Convertible]]&lt;&gt;1), 1, 0)</f>
        <v>0</v>
      </c>
      <c r="R151" t="str">
        <f t="shared" si="23"/>
        <v>Convertible</v>
      </c>
    </row>
    <row r="152" spans="1:18" x14ac:dyDescent="0.25">
      <c r="A152">
        <f>'Ajoneuvorekisteri-Parse Modern '!AO202</f>
        <v>3392548</v>
      </c>
      <c r="B152" t="str">
        <f>'Ajoneuvorekisteri-Parse Modern '!AN202</f>
        <v>SAJDA42B02</v>
      </c>
      <c r="C152" t="str">
        <f t="shared" si="16"/>
        <v>UNKNOWN: [prefix=SAJDA]</v>
      </c>
      <c r="D152" t="str">
        <f t="shared" si="17"/>
        <v>XK8-XKR_CONVERTIBLE_USA_AUTO_LHD_EMISSION_B_202MY</v>
      </c>
      <c r="E152" t="str">
        <f t="shared" si="18"/>
        <v>UNKNOWN</v>
      </c>
      <c r="F152" t="str" cm="1">
        <f t="array" ref="F152">_xlfn.LET(_xlpm.v,UPPER(SUBSTITUTE(CLEAN(TRIM(B152)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XK8-XKR_CONVERTIBLE_USA_AUTO_LHD_EMISSION_B_2002MY</v>
      </c>
      <c r="G152" t="str" cm="1">
        <f t="array" ref="G152">_xlfn.LET(_xlpm.vin,SUBSTITUTE(CLEAN(TRIM(B152)),CHAR(160),""),_xlpm.rawDate,LEFT(TRIM(H152)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A22929–A30644</v>
      </c>
      <c r="H152">
        <f>'Ajoneuvorekisteri-Parse Modern '!G202</f>
        <v>20021226</v>
      </c>
      <c r="I152" t="str">
        <f>LEFT(Table3[[#This Row],[Käyttöönotto]],4)</f>
        <v>2002</v>
      </c>
      <c r="J152" t="str">
        <f>'Ajoneuvorekisteri-Parse Modern '!AA202</f>
        <v>XKR Avoauto (AE) 2ov 3996cm3</v>
      </c>
      <c r="K152" t="str">
        <f>Ajoneuvorekisteri_Parse_Modern_XK_Range_TieliikenneAvoinData_30_06_2026_csv[[#This Row],[tyyppihyvaksyntanro]]</f>
        <v>e11*95/54*0061*02</v>
      </c>
      <c r="L152">
        <f>'Ajoneuvorekisteri-Parse Modern '!M202</f>
        <v>1890</v>
      </c>
      <c r="M152">
        <f t="shared" si="19"/>
        <v>0</v>
      </c>
      <c r="N152">
        <f t="shared" si="20"/>
        <v>1</v>
      </c>
      <c r="O152">
        <f t="shared" si="21"/>
        <v>0</v>
      </c>
      <c r="P152">
        <f t="shared" si="22"/>
        <v>1</v>
      </c>
      <c r="Q152">
        <f>IF(AND(Table3[[#This Row],[Coupe]]&lt;&gt;1, Table3[[#This Row],[Convertible]]&lt;&gt;1), 1, 0)</f>
        <v>0</v>
      </c>
      <c r="R152" t="str">
        <f t="shared" si="23"/>
        <v>Convertible</v>
      </c>
    </row>
    <row r="153" spans="1:18" x14ac:dyDescent="0.25">
      <c r="A153">
        <f>'Ajoneuvorekisteri-Parse Modern '!AO225</f>
        <v>3744967</v>
      </c>
      <c r="B153" t="str">
        <f>'Ajoneuvorekisteri-Parse Modern '!AN225</f>
        <v>SAJDA42B93</v>
      </c>
      <c r="C153" t="str">
        <f t="shared" si="16"/>
        <v>UNKNOWN: [prefix=SAJDA]</v>
      </c>
      <c r="D153" t="str">
        <f t="shared" si="17"/>
        <v>XK8-XKR_CONVERTIBLE_USA_AUTO_LHD_EMISSION_B_203MY</v>
      </c>
      <c r="E153" t="str">
        <f t="shared" si="18"/>
        <v>UNKNOWN</v>
      </c>
      <c r="F153" t="str" cm="1">
        <f t="array" ref="F153">_xlfn.LET(_xlpm.v,UPPER(SUBSTITUTE(CLEAN(TRIM(B153)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XK8-XKR_CONVERTIBLE_USA_AUTO_LHD_EMISSION_B_2003MY</v>
      </c>
      <c r="G153" t="str" cm="1">
        <f t="array" ref="G153">_xlfn.LET(_xlpm.vin,SUBSTITUTE(CLEAN(TRIM(B153)),CHAR(160),""),_xlpm.rawDate,LEFT(TRIM(H153)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A30645–A36873</v>
      </c>
      <c r="H153">
        <f>'Ajoneuvorekisteri-Parse Modern '!G225</f>
        <v>20030000</v>
      </c>
      <c r="I153" t="str">
        <f>LEFT(Table3[[#This Row],[Käyttöönotto]],4)</f>
        <v>2003</v>
      </c>
      <c r="J153" t="str">
        <f>'Ajoneuvorekisteri-Parse Modern '!AA225</f>
        <v>XK8 Avoauto (AE) 2ov</v>
      </c>
      <c r="K153" t="str">
        <f>Ajoneuvorekisteri_Parse_Modern_XK_Range_TieliikenneAvoinData_30_06_2026_csv[[#This Row],[tyyppihyvaksyntanro]]</f>
        <v/>
      </c>
      <c r="L153">
        <f>'Ajoneuvorekisteri-Parse Modern '!M225</f>
        <v>1810</v>
      </c>
      <c r="M153">
        <f t="shared" si="19"/>
        <v>1</v>
      </c>
      <c r="N153">
        <f t="shared" si="20"/>
        <v>0</v>
      </c>
      <c r="O153">
        <f t="shared" si="21"/>
        <v>0</v>
      </c>
      <c r="P153">
        <f t="shared" si="22"/>
        <v>1</v>
      </c>
      <c r="Q153">
        <f>IF(AND(Table3[[#This Row],[Coupe]]&lt;&gt;1, Table3[[#This Row],[Convertible]]&lt;&gt;1), 1, 0)</f>
        <v>0</v>
      </c>
      <c r="R153" t="str">
        <f t="shared" si="23"/>
        <v>Convertible</v>
      </c>
    </row>
    <row r="154" spans="1:18" x14ac:dyDescent="0.25">
      <c r="A154">
        <f>'Ajoneuvorekisteri-Parse Modern '!AO151</f>
        <v>2702146</v>
      </c>
      <c r="B154" t="str">
        <f>'Ajoneuvorekisteri-Parse Modern '!AN151</f>
        <v>SAJDA42C93</v>
      </c>
      <c r="C154" t="str">
        <f t="shared" si="16"/>
        <v>UNKNOWN: [prefix=SAJDA]</v>
      </c>
      <c r="D154" t="str">
        <f t="shared" si="17"/>
        <v>XK8-XKR_CONVERTIBLE_USA_AUTO_LHD_EMISSION_C_203MY</v>
      </c>
      <c r="E154" t="str">
        <f t="shared" si="18"/>
        <v>UNKNOWN</v>
      </c>
      <c r="F154" t="str" cm="1">
        <f t="array" ref="F154">_xlfn.LET(_xlpm.v,UPPER(SUBSTITUTE(CLEAN(TRIM(B154)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XK8-XKR_CONVERTIBLE_USA_AUTO_LHD_EMISSION_C_2003MY</v>
      </c>
      <c r="G154" t="str" cm="1">
        <f t="array" ref="G154">_xlfn.LET(_xlpm.vin,SUBSTITUTE(CLEAN(TRIM(B154)),CHAR(160),""),_xlpm.rawDate,LEFT(TRIM(H154)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A30645–A36873</v>
      </c>
      <c r="H154">
        <f>'Ajoneuvorekisteri-Parse Modern '!G151</f>
        <v>20030101</v>
      </c>
      <c r="I154" t="str">
        <f>LEFT(Table3[[#This Row],[Käyttöönotto]],4)</f>
        <v>2003</v>
      </c>
      <c r="J154" t="str">
        <f>'Ajoneuvorekisteri-Parse Modern '!AA151</f>
        <v>XK8 CONVERTIBLE Avoauto (AE) 2ov 4196cm3 A</v>
      </c>
      <c r="K154" t="str">
        <f>Ajoneuvorekisteri_Parse_Modern_XK_Range_TieliikenneAvoinData_30_06_2026_csv[[#This Row],[tyyppihyvaksyntanro]]</f>
        <v/>
      </c>
      <c r="L154">
        <f>'Ajoneuvorekisteri-Parse Modern '!M151</f>
        <v>1735</v>
      </c>
      <c r="M154">
        <f t="shared" si="19"/>
        <v>1</v>
      </c>
      <c r="N154">
        <f t="shared" si="20"/>
        <v>0</v>
      </c>
      <c r="O154">
        <f t="shared" si="21"/>
        <v>0</v>
      </c>
      <c r="P154">
        <f t="shared" si="22"/>
        <v>1</v>
      </c>
      <c r="Q154">
        <f>IF(AND(Table3[[#This Row],[Coupe]]&lt;&gt;1, Table3[[#This Row],[Convertible]]&lt;&gt;1), 1, 0)</f>
        <v>0</v>
      </c>
      <c r="R154" t="str">
        <f t="shared" si="23"/>
        <v>Convertible</v>
      </c>
    </row>
    <row r="155" spans="1:18" x14ac:dyDescent="0.25">
      <c r="A155">
        <f>'Ajoneuvorekisteri-Parse Modern '!AO211</f>
        <v>3545708</v>
      </c>
      <c r="B155" t="str">
        <f>'Ajoneuvorekisteri-Parse Modern '!AN211</f>
        <v>SAJAA42R23</v>
      </c>
      <c r="C155" t="str">
        <f t="shared" si="16"/>
        <v>UNKNOWN: [prefix=SAJAA]</v>
      </c>
      <c r="D155" t="str">
        <f t="shared" si="17"/>
        <v>UNKNOWN: [4=A]</v>
      </c>
      <c r="E155" t="str">
        <f t="shared" si="18"/>
        <v>UNKNOWN</v>
      </c>
      <c r="F155" t="str" cm="1">
        <f t="array" ref="F155">_xlfn.LET(_xlpm.v,UPPER(SUBSTITUTE(CLEAN(TRIM(B155)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XK8-XKR_CONVERTIBLE_MEXICO_AUTO_LHD_EMISSION_R_2003MY</v>
      </c>
      <c r="G155" t="str" cm="1">
        <f t="array" ref="G155">_xlfn.LET(_xlpm.vin,SUBSTITUTE(CLEAN(TRIM(B155)),CHAR(160),""),_xlpm.rawDate,LEFT(TRIM(H155)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A30645–A36873</v>
      </c>
      <c r="H155">
        <f>'Ajoneuvorekisteri-Parse Modern '!G211</f>
        <v>20030404</v>
      </c>
      <c r="I155" t="str">
        <f>LEFT(Table3[[#This Row],[Käyttöönotto]],4)</f>
        <v>2003</v>
      </c>
      <c r="J155" t="str">
        <f>'Ajoneuvorekisteri-Parse Modern '!AA211</f>
        <v>XK Avoauto (AE) 2ov 4196cm3 A</v>
      </c>
      <c r="K155" t="str">
        <f>Ajoneuvorekisteri_Parse_Modern_XK_Range_TieliikenneAvoinData_30_06_2026_csv[[#This Row],[tyyppihyvaksyntanro]]</f>
        <v>e11*95/54*0062*03</v>
      </c>
      <c r="L155">
        <f>'Ajoneuvorekisteri-Parse Modern '!M211</f>
        <v>1770</v>
      </c>
      <c r="M155">
        <f t="shared" si="19"/>
        <v>1</v>
      </c>
      <c r="N155">
        <f t="shared" si="20"/>
        <v>0</v>
      </c>
      <c r="O155">
        <f t="shared" si="21"/>
        <v>0</v>
      </c>
      <c r="P155">
        <f t="shared" si="22"/>
        <v>1</v>
      </c>
      <c r="Q155">
        <f>IF(AND(Table3[[#This Row],[Coupe]]&lt;&gt;1, Table3[[#This Row],[Convertible]]&lt;&gt;1), 1, 0)</f>
        <v>0</v>
      </c>
      <c r="R155" t="str">
        <f t="shared" si="23"/>
        <v>Convertible</v>
      </c>
    </row>
    <row r="156" spans="1:18" x14ac:dyDescent="0.25">
      <c r="A156">
        <f>'Ajoneuvorekisteri-Parse Modern '!AO250</f>
        <v>4535342</v>
      </c>
      <c r="B156" t="str">
        <f>'Ajoneuvorekisteri-Parse Modern '!AN250</f>
        <v>SAJAA42M12</v>
      </c>
      <c r="C156" t="str">
        <f t="shared" si="16"/>
        <v>UNKNOWN: [prefix=SAJAA]</v>
      </c>
      <c r="D156" t="str">
        <f t="shared" si="17"/>
        <v>UNKNOWN: [4=A]</v>
      </c>
      <c r="E156" t="str">
        <f t="shared" si="18"/>
        <v>UNKNOWN</v>
      </c>
      <c r="F156" t="str" cm="1">
        <f t="array" ref="F156">_xlfn.LET(_xlpm.v,UPPER(SUBSTITUTE(CLEAN(TRIM(B156)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XK8-XKR_CONVERTIBLE_MEXICO_AUTO_LHD_EMISSION_M_2002MY</v>
      </c>
      <c r="G156" t="str" cm="1">
        <f t="array" ref="G156">_xlfn.LET(_xlpm.vin,SUBSTITUTE(CLEAN(TRIM(B156)),CHAR(160),""),_xlpm.rawDate,LEFT(TRIM(H156)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A22929–A30644</v>
      </c>
      <c r="H156">
        <f>'Ajoneuvorekisteri-Parse Modern '!G250</f>
        <v>20030404</v>
      </c>
      <c r="I156" t="str">
        <f>LEFT(Table3[[#This Row],[Käyttöönotto]],4)</f>
        <v>2003</v>
      </c>
      <c r="J156" t="str">
        <f>'Ajoneuvorekisteri-Parse Modern '!AA250</f>
        <v>XK Avoauto (AE) 2ov 3996cm3</v>
      </c>
      <c r="K156" t="str">
        <f>Ajoneuvorekisteri_Parse_Modern_XK_Range_TieliikenneAvoinData_30_06_2026_csv[[#This Row],[tyyppihyvaksyntanro]]</f>
        <v/>
      </c>
      <c r="L156">
        <f>'Ajoneuvorekisteri-Parse Modern '!M250</f>
        <v>1849</v>
      </c>
      <c r="M156">
        <f t="shared" si="19"/>
        <v>1</v>
      </c>
      <c r="N156">
        <f t="shared" si="20"/>
        <v>0</v>
      </c>
      <c r="O156">
        <f t="shared" si="21"/>
        <v>0</v>
      </c>
      <c r="P156">
        <f t="shared" si="22"/>
        <v>1</v>
      </c>
      <c r="Q156">
        <f>IF(AND(Table3[[#This Row],[Coupe]]&lt;&gt;1, Table3[[#This Row],[Convertible]]&lt;&gt;1), 1, 0)</f>
        <v>0</v>
      </c>
      <c r="R156" t="str">
        <f t="shared" si="23"/>
        <v>Convertible</v>
      </c>
    </row>
    <row r="157" spans="1:18" x14ac:dyDescent="0.25">
      <c r="A157">
        <f>'Ajoneuvorekisteri-Parse Modern '!AO186</f>
        <v>3193433</v>
      </c>
      <c r="B157" t="str">
        <f>'Ajoneuvorekisteri-Parse Modern '!AN186</f>
        <v>SAJAA42P73</v>
      </c>
      <c r="C157" t="str">
        <f t="shared" si="16"/>
        <v>UNKNOWN: [prefix=SAJAA]</v>
      </c>
      <c r="D157" t="str">
        <f t="shared" si="17"/>
        <v>UNKNOWN: [4=A]</v>
      </c>
      <c r="E157" t="str">
        <f t="shared" si="18"/>
        <v>UNKNOWN</v>
      </c>
      <c r="F157" t="str" cm="1">
        <f t="array" ref="F157">_xlfn.LET(_xlpm.v,UPPER(SUBSTITUTE(CLEAN(TRIM(B157)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XK8-XKR_CONVERTIBLE_MEXICO_AUTO_LHD_EMISSION_P_2003MY</v>
      </c>
      <c r="G157" t="str" cm="1">
        <f t="array" ref="G157">_xlfn.LET(_xlpm.vin,SUBSTITUTE(CLEAN(TRIM(B157)),CHAR(160),""),_xlpm.rawDate,LEFT(TRIM(H157)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A30645–A36873</v>
      </c>
      <c r="H157">
        <f>'Ajoneuvorekisteri-Parse Modern '!G186</f>
        <v>20030613</v>
      </c>
      <c r="I157" t="str">
        <f>LEFT(Table3[[#This Row],[Käyttöönotto]],4)</f>
        <v>2003</v>
      </c>
      <c r="J157" t="str">
        <f>'Ajoneuvorekisteri-Parse Modern '!AA186</f>
        <v>XK8 CONVERTIBLE Avoauto (AE) 2ov 4196cm3 A</v>
      </c>
      <c r="K157" t="str">
        <f>Ajoneuvorekisteri_Parse_Modern_XK_Range_TieliikenneAvoinData_30_06_2026_csv[[#This Row],[tyyppihyvaksyntanro]]</f>
        <v>e11*95/54*0061*01</v>
      </c>
      <c r="L157">
        <f>'Ajoneuvorekisteri-Parse Modern '!M186</f>
        <v>1770</v>
      </c>
      <c r="M157">
        <f t="shared" si="19"/>
        <v>1</v>
      </c>
      <c r="N157">
        <f t="shared" si="20"/>
        <v>0</v>
      </c>
      <c r="O157">
        <f t="shared" si="21"/>
        <v>0</v>
      </c>
      <c r="P157">
        <f t="shared" si="22"/>
        <v>1</v>
      </c>
      <c r="Q157">
        <f>IF(AND(Table3[[#This Row],[Coupe]]&lt;&gt;1, Table3[[#This Row],[Convertible]]&lt;&gt;1), 1, 0)</f>
        <v>0</v>
      </c>
      <c r="R157" t="str">
        <f t="shared" si="23"/>
        <v>Convertible</v>
      </c>
    </row>
    <row r="158" spans="1:18" x14ac:dyDescent="0.25">
      <c r="A158">
        <f>'Ajoneuvorekisteri-Parse Modern '!AO193</f>
        <v>3282884</v>
      </c>
      <c r="B158" t="str">
        <f>'Ajoneuvorekisteri-Parse Modern '!AN193</f>
        <v>SAJDA41B93</v>
      </c>
      <c r="C158" t="str">
        <f t="shared" si="16"/>
        <v>UNKNOWN: [prefix=SAJDA]</v>
      </c>
      <c r="D158" t="str">
        <f t="shared" si="17"/>
        <v>XK8-XKR_COUPE_USA_AUTO_LHD_EMISSION_B_203MY</v>
      </c>
      <c r="E158" t="str">
        <f t="shared" si="18"/>
        <v>UNKNOWN</v>
      </c>
      <c r="F158" t="str" cm="1">
        <f t="array" ref="F158">_xlfn.LET(_xlpm.v,UPPER(SUBSTITUTE(CLEAN(TRIM(B158)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XK8-XKR_COUPE_USA_AUTO_LHD_EMISSION_B_2003MY</v>
      </c>
      <c r="G158" t="str" cm="1">
        <f t="array" ref="G158">_xlfn.LET(_xlpm.vin,SUBSTITUTE(CLEAN(TRIM(B158)),CHAR(160),""),_xlpm.rawDate,LEFT(TRIM(H158)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A30645–A36873</v>
      </c>
      <c r="H158">
        <f>'Ajoneuvorekisteri-Parse Modern '!G193</f>
        <v>20030828</v>
      </c>
      <c r="I158" t="str">
        <f>LEFT(Table3[[#This Row],[Käyttöönotto]],4)</f>
        <v>2003</v>
      </c>
      <c r="J158" t="str">
        <f>'Ajoneuvorekisteri-Parse Modern '!AA193</f>
        <v>XKR  2ov 4190cm3 A</v>
      </c>
      <c r="K158" t="str">
        <f>Ajoneuvorekisteri_Parse_Modern_XK_Range_TieliikenneAvoinData_30_06_2026_csv[[#This Row],[tyyppihyvaksyntanro]]</f>
        <v>e11*2001/116*0272*01</v>
      </c>
      <c r="L158">
        <f>'Ajoneuvorekisteri-Parse Modern '!M193</f>
        <v>1735</v>
      </c>
      <c r="M158">
        <f t="shared" si="19"/>
        <v>0</v>
      </c>
      <c r="N158">
        <f t="shared" si="20"/>
        <v>1</v>
      </c>
      <c r="O158">
        <f t="shared" si="21"/>
        <v>0</v>
      </c>
      <c r="P158">
        <f t="shared" si="22"/>
        <v>0</v>
      </c>
      <c r="Q158">
        <f>IF(AND(Table3[[#This Row],[Coupe]]&lt;&gt;1, Table3[[#This Row],[Convertible]]&lt;&gt;1), 1, 0)</f>
        <v>1</v>
      </c>
      <c r="R158" t="str">
        <f t="shared" si="23"/>
        <v>Unknown</v>
      </c>
    </row>
    <row r="159" spans="1:18" x14ac:dyDescent="0.25">
      <c r="A159">
        <f>'Ajoneuvorekisteri-Parse Modern '!AO177</f>
        <v>3044277</v>
      </c>
      <c r="B159" t="str">
        <f>'Ajoneuvorekisteri-Parse Modern '!AN177</f>
        <v>SAJDA42C24</v>
      </c>
      <c r="C159" t="str">
        <f t="shared" si="16"/>
        <v>UNKNOWN: [prefix=SAJDA]</v>
      </c>
      <c r="D159" t="str">
        <f t="shared" si="17"/>
        <v>XK8-XKR_CONVERTIBLE_USA_AUTO_LHD_EMISSION_C_204MY</v>
      </c>
      <c r="E159" t="str">
        <f t="shared" si="18"/>
        <v>UNKNOWN</v>
      </c>
      <c r="F159" t="str" cm="1">
        <f t="array" ref="F159">_xlfn.LET(_xlpm.v,UPPER(SUBSTITUTE(CLEAN(TRIM(B159)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XK8-XKR_CONVERTIBLE_USA_AUTO_LHD_EMISSION_C_2004MY</v>
      </c>
      <c r="G159" t="str" cm="1">
        <f t="array" ref="G159">_xlfn.LET(_xlpm.vin,SUBSTITUTE(CLEAN(TRIM(B159)),CHAR(160),""),_xlpm.rawDate,LEFT(TRIM(H159)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A36874–A42347</v>
      </c>
      <c r="H159">
        <f>'Ajoneuvorekisteri-Parse Modern '!G177</f>
        <v>20030915</v>
      </c>
      <c r="I159" t="str">
        <f>LEFT(Table3[[#This Row],[Käyttöönotto]],4)</f>
        <v>2003</v>
      </c>
      <c r="J159" t="str">
        <f>'Ajoneuvorekisteri-Parse Modern '!AA177</f>
        <v>XK8 Convertible Avoauto (AE) 2ov 4196cm3 A</v>
      </c>
      <c r="K159" t="str">
        <f>Ajoneuvorekisteri_Parse_Modern_XK_Range_TieliikenneAvoinData_30_06_2026_csv[[#This Row],[tyyppihyvaksyntanro]]</f>
        <v/>
      </c>
      <c r="L159">
        <f>'Ajoneuvorekisteri-Parse Modern '!M177</f>
        <v>1735</v>
      </c>
      <c r="M159">
        <f t="shared" si="19"/>
        <v>1</v>
      </c>
      <c r="N159">
        <f t="shared" si="20"/>
        <v>0</v>
      </c>
      <c r="O159">
        <f t="shared" si="21"/>
        <v>0</v>
      </c>
      <c r="P159">
        <f t="shared" si="22"/>
        <v>1</v>
      </c>
      <c r="Q159">
        <f>IF(AND(Table3[[#This Row],[Coupe]]&lt;&gt;1, Table3[[#This Row],[Convertible]]&lt;&gt;1), 1, 0)</f>
        <v>0</v>
      </c>
      <c r="R159" t="str">
        <f t="shared" si="23"/>
        <v>Convertible</v>
      </c>
    </row>
    <row r="160" spans="1:18" x14ac:dyDescent="0.25">
      <c r="A160">
        <f>'Ajoneuvorekisteri-Parse Modern '!AO245</f>
        <v>4251542</v>
      </c>
      <c r="B160" t="str">
        <f>'Ajoneuvorekisteri-Parse Modern '!AN245</f>
        <v>SAJAA41PX4</v>
      </c>
      <c r="C160" t="str">
        <f t="shared" si="16"/>
        <v>UNKNOWN: [prefix=SAJAA]</v>
      </c>
      <c r="D160" t="str">
        <f t="shared" si="17"/>
        <v>UNKNOWN: [4=A]</v>
      </c>
      <c r="E160" t="str">
        <f t="shared" si="18"/>
        <v>UNKNOWN</v>
      </c>
      <c r="F160" t="str" cm="1">
        <f t="array" ref="F160">_xlfn.LET(_xlpm.v,UPPER(SUBSTITUTE(CLEAN(TRIM(B160)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XK8-XKR_COUPE_MEXICO_AUTO_LHD_EMISSION_P_2004MY</v>
      </c>
      <c r="G160" t="str" cm="1">
        <f t="array" ref="G160">_xlfn.LET(_xlpm.vin,SUBSTITUTE(CLEAN(TRIM(B160)),CHAR(160),""),_xlpm.rawDate,LEFT(TRIM(H160)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A36874–A42347</v>
      </c>
      <c r="H160">
        <f>'Ajoneuvorekisteri-Parse Modern '!G245</f>
        <v>20031107</v>
      </c>
      <c r="I160" t="str">
        <f>LEFT(Table3[[#This Row],[Käyttöönotto]],4)</f>
        <v>2003</v>
      </c>
      <c r="J160" t="str">
        <f>'Ajoneuvorekisteri-Parse Modern '!AA245</f>
        <v>XK8 Coup� (AD) 2ov 4190cm3 A</v>
      </c>
      <c r="K160" t="str">
        <f>Ajoneuvorekisteri_Parse_Modern_XK_Range_TieliikenneAvoinData_30_06_2026_csv[[#This Row],[tyyppihyvaksyntanro]]</f>
        <v>e11*2001/116*0272*01</v>
      </c>
      <c r="L160">
        <f>'Ajoneuvorekisteri-Parse Modern '!M245</f>
        <v>1660</v>
      </c>
      <c r="M160">
        <f t="shared" si="19"/>
        <v>1</v>
      </c>
      <c r="N160">
        <f t="shared" si="20"/>
        <v>0</v>
      </c>
      <c r="O160">
        <f t="shared" si="21"/>
        <v>1</v>
      </c>
      <c r="P160">
        <f t="shared" si="22"/>
        <v>0</v>
      </c>
      <c r="Q160">
        <f>IF(AND(Table3[[#This Row],[Coupe]]&lt;&gt;1, Table3[[#This Row],[Convertible]]&lt;&gt;1), 1, 0)</f>
        <v>0</v>
      </c>
      <c r="R160" t="str">
        <f t="shared" si="23"/>
        <v>Coupe</v>
      </c>
    </row>
    <row r="161" spans="1:18" x14ac:dyDescent="0.25">
      <c r="A161">
        <f>'Ajoneuvorekisteri-Parse Modern '!AO215</f>
        <v>3573053</v>
      </c>
      <c r="B161" t="str">
        <f>'Ajoneuvorekisteri-Parse Modern '!AN215</f>
        <v>SAJDA42C33</v>
      </c>
      <c r="C161" t="str">
        <f t="shared" si="16"/>
        <v>UNKNOWN: [prefix=SAJDA]</v>
      </c>
      <c r="D161" t="str">
        <f t="shared" si="17"/>
        <v>XK8-XKR_CONVERTIBLE_USA_AUTO_LHD_EMISSION_C_203MY</v>
      </c>
      <c r="E161" t="str">
        <f t="shared" si="18"/>
        <v>UNKNOWN</v>
      </c>
      <c r="F161" t="str" cm="1">
        <f t="array" ref="F161">_xlfn.LET(_xlpm.v,UPPER(SUBSTITUTE(CLEAN(TRIM(B161)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XK8-XKR_CONVERTIBLE_USA_AUTO_LHD_EMISSION_C_2003MY</v>
      </c>
      <c r="G161" t="str" cm="1">
        <f t="array" ref="G161">_xlfn.LET(_xlpm.vin,SUBSTITUTE(CLEAN(TRIM(B161)),CHAR(160),""),_xlpm.rawDate,LEFT(TRIM(H161)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A30645–A36873</v>
      </c>
      <c r="H161">
        <f>'Ajoneuvorekisteri-Parse Modern '!G215</f>
        <v>20031123</v>
      </c>
      <c r="I161" t="str">
        <f>LEFT(Table3[[#This Row],[Käyttöönotto]],4)</f>
        <v>2003</v>
      </c>
      <c r="J161" t="str">
        <f>'Ajoneuvorekisteri-Parse Modern '!AA215</f>
        <v>XK8 Convertible Avoauto (AE) 2ov 4196cm3 A</v>
      </c>
      <c r="K161" t="str">
        <f>Ajoneuvorekisteri_Parse_Modern_XK_Range_TieliikenneAvoinData_30_06_2026_csv[[#This Row],[tyyppihyvaksyntanro]]</f>
        <v>e11*2001/116*0272*00</v>
      </c>
      <c r="L161">
        <f>'Ajoneuvorekisteri-Parse Modern '!M215</f>
        <v>1770</v>
      </c>
      <c r="M161">
        <f t="shared" si="19"/>
        <v>1</v>
      </c>
      <c r="N161">
        <f t="shared" si="20"/>
        <v>0</v>
      </c>
      <c r="O161">
        <f t="shared" si="21"/>
        <v>0</v>
      </c>
      <c r="P161">
        <f t="shared" si="22"/>
        <v>1</v>
      </c>
      <c r="Q161">
        <f>IF(AND(Table3[[#This Row],[Coupe]]&lt;&gt;1, Table3[[#This Row],[Convertible]]&lt;&gt;1), 1, 0)</f>
        <v>0</v>
      </c>
      <c r="R161" t="str">
        <f t="shared" si="23"/>
        <v>Convertible</v>
      </c>
    </row>
    <row r="162" spans="1:18" x14ac:dyDescent="0.25">
      <c r="A162">
        <f>'Ajoneuvorekisteri-Parse Modern '!AO138</f>
        <v>2575757</v>
      </c>
      <c r="B162" t="str">
        <f>'Ajoneuvorekisteri-Parse Modern '!AN138</f>
        <v>SAJAA41R75</v>
      </c>
      <c r="C162" t="str">
        <f t="shared" si="16"/>
        <v>UNKNOWN: [prefix=SAJAA]</v>
      </c>
      <c r="D162" t="str">
        <f t="shared" si="17"/>
        <v>UNKNOWN: [4=A]</v>
      </c>
      <c r="E162" t="str">
        <f t="shared" si="18"/>
        <v>UNKNOWN</v>
      </c>
      <c r="F162" t="str" cm="1">
        <f t="array" ref="F162">_xlfn.LET(_xlpm.v,UPPER(SUBSTITUTE(CLEAN(TRIM(B162)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XK8-XKR_COUPE_MEXICO_AUTO_LHD_EMISSION_R_2005MY</v>
      </c>
      <c r="G162" t="str" cm="1">
        <f t="array" ref="G162">_xlfn.LET(_xlpm.vin,SUBSTITUTE(CLEAN(TRIM(B162)),CHAR(160),""),_xlpm.rawDate,LEFT(TRIM(H162)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A42348–A48684</v>
      </c>
      <c r="H162">
        <f>'Ajoneuvorekisteri-Parse Modern '!G138</f>
        <v>20031125</v>
      </c>
      <c r="I162" t="str">
        <f>LEFT(Table3[[#This Row],[Käyttöönotto]],4)</f>
        <v>2003</v>
      </c>
      <c r="J162" t="str">
        <f>'Ajoneuvorekisteri-Parse Modern '!AA138</f>
        <v>XK Coup� (AD) 2ov 4196cm3 A</v>
      </c>
      <c r="K162" t="str">
        <f>Ajoneuvorekisteri_Parse_Modern_XK_Range_TieliikenneAvoinData_30_06_2026_csv[[#This Row],[tyyppihyvaksyntanro]]</f>
        <v>e11*2001/116*0272*01</v>
      </c>
      <c r="L162">
        <f>'Ajoneuvorekisteri-Parse Modern '!M138</f>
        <v>1735</v>
      </c>
      <c r="M162">
        <f t="shared" si="19"/>
        <v>1</v>
      </c>
      <c r="N162">
        <f t="shared" si="20"/>
        <v>0</v>
      </c>
      <c r="O162">
        <f t="shared" si="21"/>
        <v>1</v>
      </c>
      <c r="P162">
        <f t="shared" si="22"/>
        <v>0</v>
      </c>
      <c r="Q162">
        <f>IF(AND(Table3[[#This Row],[Coupe]]&lt;&gt;1, Table3[[#This Row],[Convertible]]&lt;&gt;1), 1, 0)</f>
        <v>0</v>
      </c>
      <c r="R162" t="str">
        <f t="shared" si="23"/>
        <v>Coupe</v>
      </c>
    </row>
    <row r="163" spans="1:18" x14ac:dyDescent="0.25">
      <c r="A163">
        <f>'Ajoneuvorekisteri-Parse Modern '!AO164</f>
        <v>2869418</v>
      </c>
      <c r="B163" t="str">
        <f>'Ajoneuvorekisteri-Parse Modern '!AN127</f>
        <v>SAJDA42C24</v>
      </c>
      <c r="C163" t="str">
        <f t="shared" si="16"/>
        <v>UNKNOWN: [prefix=SAJDA]</v>
      </c>
      <c r="D163" t="str">
        <f t="shared" si="17"/>
        <v>XK8-XKR_CONVERTIBLE_USA_AUTO_LHD_EMISSION_C_204MY</v>
      </c>
      <c r="E163" t="str">
        <f t="shared" si="18"/>
        <v>UNKNOWN</v>
      </c>
      <c r="F163" t="str" cm="1">
        <f t="array" ref="F163">_xlfn.LET(_xlpm.v,UPPER(SUBSTITUTE(CLEAN(TRIM(B163)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XK8-XKR_CONVERTIBLE_USA_AUTO_LHD_EMISSION_C_2004MY</v>
      </c>
      <c r="G163" t="str" cm="1">
        <f t="array" ref="G163">_xlfn.LET(_xlpm.vin,SUBSTITUTE(CLEAN(TRIM(B163)),CHAR(160),""),_xlpm.rawDate,LEFT(TRIM(H163)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A36874–A42347</v>
      </c>
      <c r="H163">
        <f>'Ajoneuvorekisteri-Parse Modern '!G127</f>
        <v>20040000</v>
      </c>
      <c r="I163" t="str">
        <f>LEFT(Table3[[#This Row],[Käyttöönotto]],4)</f>
        <v>2004</v>
      </c>
      <c r="J163" t="str">
        <f>'Ajoneuvorekisteri-Parse Modern '!AA127</f>
        <v>XK Avoauto (AE) 2ov 4190cm3 A</v>
      </c>
      <c r="K163" t="str">
        <f>Ajoneuvorekisteri_Parse_Modern_XK_Range_TieliikenneAvoinData_30_06_2026_csv[[#This Row],[tyyppihyvaksyntanro]]</f>
        <v>e11*2001/116*0272*01</v>
      </c>
      <c r="L163">
        <f>'Ajoneuvorekisteri-Parse Modern '!M127</f>
        <v>1760</v>
      </c>
      <c r="M163">
        <f t="shared" si="19"/>
        <v>1</v>
      </c>
      <c r="N163">
        <f t="shared" si="20"/>
        <v>0</v>
      </c>
      <c r="O163">
        <f t="shared" si="21"/>
        <v>0</v>
      </c>
      <c r="P163">
        <f t="shared" si="22"/>
        <v>1</v>
      </c>
      <c r="Q163">
        <f>IF(AND(Table3[[#This Row],[Coupe]]&lt;&gt;1, Table3[[#This Row],[Convertible]]&lt;&gt;1), 1, 0)</f>
        <v>0</v>
      </c>
      <c r="R163" t="str">
        <f t="shared" si="23"/>
        <v>Convertible</v>
      </c>
    </row>
    <row r="164" spans="1:18" x14ac:dyDescent="0.25">
      <c r="A164">
        <f>'Ajoneuvorekisteri-Parse Modern '!AO231</f>
        <v>3949608</v>
      </c>
      <c r="B164" t="str">
        <f>'Ajoneuvorekisteri-Parse Modern '!AN164</f>
        <v>SAJDA42B54</v>
      </c>
      <c r="C164" t="str">
        <f t="shared" si="16"/>
        <v>UNKNOWN: [prefix=SAJDA]</v>
      </c>
      <c r="D164" t="str">
        <f t="shared" si="17"/>
        <v>XK8-XKR_CONVERTIBLE_USA_AUTO_LHD_EMISSION_B_204MY</v>
      </c>
      <c r="E164" t="str">
        <f t="shared" si="18"/>
        <v>UNKNOWN</v>
      </c>
      <c r="F164" t="str" cm="1">
        <f t="array" ref="F164">_xlfn.LET(_xlpm.v,UPPER(SUBSTITUTE(CLEAN(TRIM(B164)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XK8-XKR_CONVERTIBLE_USA_AUTO_LHD_EMISSION_B_2004MY</v>
      </c>
      <c r="G164" t="str" cm="1">
        <f t="array" ref="G164">_xlfn.LET(_xlpm.vin,SUBSTITUTE(CLEAN(TRIM(B164)),CHAR(160),""),_xlpm.rawDate,LEFT(TRIM(H164)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A36874–A42347</v>
      </c>
      <c r="H164">
        <f>'Ajoneuvorekisteri-Parse Modern '!G164</f>
        <v>20040101</v>
      </c>
      <c r="I164" t="str">
        <f>LEFT(Table3[[#This Row],[Käyttöönotto]],4)</f>
        <v>2004</v>
      </c>
      <c r="J164" t="str">
        <f>'Ajoneuvorekisteri-Parse Modern '!AA164</f>
        <v>XKR Avoauto (AE) 2ov 4196cm3 A</v>
      </c>
      <c r="K164" t="str">
        <f>Ajoneuvorekisteri_Parse_Modern_XK_Range_TieliikenneAvoinData_30_06_2026_csv[[#This Row],[tyyppihyvaksyntanro]]</f>
        <v/>
      </c>
      <c r="L164">
        <f>'Ajoneuvorekisteri-Parse Modern '!M164</f>
        <v>1735</v>
      </c>
      <c r="M164">
        <f t="shared" si="19"/>
        <v>0</v>
      </c>
      <c r="N164">
        <f t="shared" si="20"/>
        <v>1</v>
      </c>
      <c r="O164">
        <f t="shared" si="21"/>
        <v>0</v>
      </c>
      <c r="P164">
        <f t="shared" si="22"/>
        <v>1</v>
      </c>
      <c r="Q164">
        <f>IF(AND(Table3[[#This Row],[Coupe]]&lt;&gt;1, Table3[[#This Row],[Convertible]]&lt;&gt;1), 1, 0)</f>
        <v>0</v>
      </c>
      <c r="R164" t="str">
        <f t="shared" si="23"/>
        <v>Convertible</v>
      </c>
    </row>
    <row r="165" spans="1:18" x14ac:dyDescent="0.25">
      <c r="A165">
        <f>'Ajoneuvorekisteri-Parse Modern '!AO143</f>
        <v>2665979</v>
      </c>
      <c r="B165" t="str">
        <f>'Ajoneuvorekisteri-Parse Modern '!AN102</f>
        <v>SAJAA42P44</v>
      </c>
      <c r="C165" t="str">
        <f t="shared" si="16"/>
        <v>UNKNOWN: [prefix=SAJAA]</v>
      </c>
      <c r="D165" t="str">
        <f t="shared" si="17"/>
        <v>UNKNOWN: [4=A]</v>
      </c>
      <c r="E165" t="str">
        <f t="shared" si="18"/>
        <v>UNKNOWN</v>
      </c>
      <c r="F165" t="str" cm="1">
        <f t="array" ref="F165">_xlfn.LET(_xlpm.v,UPPER(SUBSTITUTE(CLEAN(TRIM(B165)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XK8-XKR_CONVERTIBLE_MEXICO_AUTO_LHD_EMISSION_P_2004MY</v>
      </c>
      <c r="G165" t="str" cm="1">
        <f t="array" ref="G165">_xlfn.LET(_xlpm.vin,SUBSTITUTE(CLEAN(TRIM(B165)),CHAR(160),""),_xlpm.rawDate,LEFT(TRIM(H165)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A36874–A42347</v>
      </c>
      <c r="H165">
        <f>'Ajoneuvorekisteri-Parse Modern '!G102</f>
        <v>20040503</v>
      </c>
      <c r="I165" t="str">
        <f>LEFT(Table3[[#This Row],[Käyttöönotto]],4)</f>
        <v>2004</v>
      </c>
      <c r="J165" t="str">
        <f>'Ajoneuvorekisteri-Parse Modern '!AA102</f>
        <v>XK Avoauto (AE) 2ov 4190cm3 A</v>
      </c>
      <c r="K165" t="str">
        <f>Ajoneuvorekisteri_Parse_Modern_XK_Range_TieliikenneAvoinData_30_06_2026_csv[[#This Row],[tyyppihyvaksyntanro]]</f>
        <v/>
      </c>
      <c r="L165">
        <f>'Ajoneuvorekisteri-Parse Modern '!M102</f>
        <v>1770</v>
      </c>
      <c r="M165">
        <f t="shared" si="19"/>
        <v>1</v>
      </c>
      <c r="N165">
        <f t="shared" si="20"/>
        <v>0</v>
      </c>
      <c r="O165">
        <f t="shared" si="21"/>
        <v>0</v>
      </c>
      <c r="P165">
        <f t="shared" si="22"/>
        <v>1</v>
      </c>
      <c r="Q165">
        <f>IF(AND(Table3[[#This Row],[Coupe]]&lt;&gt;1, Table3[[#This Row],[Convertible]]&lt;&gt;1), 1, 0)</f>
        <v>0</v>
      </c>
      <c r="R165" t="str">
        <f t="shared" si="23"/>
        <v>Convertible</v>
      </c>
    </row>
    <row r="166" spans="1:18" x14ac:dyDescent="0.25">
      <c r="A166">
        <f>'Ajoneuvorekisteri-Parse Modern '!AO127</f>
        <v>2525146</v>
      </c>
      <c r="B166" t="str">
        <f>'Ajoneuvorekisteri-Parse Modern '!AN53</f>
        <v>SAJAA42P15</v>
      </c>
      <c r="C166" t="str">
        <f t="shared" si="16"/>
        <v>UNKNOWN: [prefix=SAJAA]</v>
      </c>
      <c r="D166" t="str">
        <f t="shared" si="17"/>
        <v>UNKNOWN: [4=A]</v>
      </c>
      <c r="E166" t="str">
        <f t="shared" si="18"/>
        <v>UNKNOWN</v>
      </c>
      <c r="F166" t="str" cm="1">
        <f t="array" ref="F166">_xlfn.LET(_xlpm.v,UPPER(SUBSTITUTE(CLEAN(TRIM(B166)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XK8-XKR_CONVERTIBLE_MEXICO_AUTO_LHD_EMISSION_P_2005MY</v>
      </c>
      <c r="G166" t="str" cm="1">
        <f t="array" ref="G166">_xlfn.LET(_xlpm.vin,SUBSTITUTE(CLEAN(TRIM(B166)),CHAR(160),""),_xlpm.rawDate,LEFT(TRIM(H166)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A42348–A48684</v>
      </c>
      <c r="H166">
        <f>'Ajoneuvorekisteri-Parse Modern '!G53</f>
        <v>20040526</v>
      </c>
      <c r="I166" t="str">
        <f>LEFT(Table3[[#This Row],[Käyttöönotto]],4)</f>
        <v>2004</v>
      </c>
      <c r="J166" t="str">
        <f>'Ajoneuvorekisteri-Parse Modern '!AA53</f>
        <v>2D CONVERTIBLE XK8 4.2-AUTOMATIC-AA2P/259</v>
      </c>
      <c r="K166" t="str">
        <f>Ajoneuvorekisteri_Parse_Modern_XK_Range_TieliikenneAvoinData_30_06_2026_csv[[#This Row],[tyyppihyvaksyntanro]]</f>
        <v/>
      </c>
      <c r="L166">
        <f>'Ajoneuvorekisteri-Parse Modern '!M53</f>
        <v>1845</v>
      </c>
      <c r="M166">
        <f t="shared" si="19"/>
        <v>1</v>
      </c>
      <c r="N166">
        <f t="shared" si="20"/>
        <v>0</v>
      </c>
      <c r="O166">
        <f t="shared" si="21"/>
        <v>0</v>
      </c>
      <c r="P166">
        <f t="shared" si="22"/>
        <v>1</v>
      </c>
      <c r="Q166">
        <f>IF(AND(Table3[[#This Row],[Coupe]]&lt;&gt;1, Table3[[#This Row],[Convertible]]&lt;&gt;1), 1, 0)</f>
        <v>0</v>
      </c>
      <c r="R166" t="str">
        <f t="shared" si="23"/>
        <v>Convertible</v>
      </c>
    </row>
    <row r="167" spans="1:18" x14ac:dyDescent="0.25">
      <c r="A167">
        <f>'Ajoneuvorekisteri-Parse Modern '!AO81</f>
        <v>2062425</v>
      </c>
      <c r="B167" t="str">
        <f>'Ajoneuvorekisteri-Parse Modern '!AN37</f>
        <v>SAJAA42P25</v>
      </c>
      <c r="C167" t="str">
        <f t="shared" si="16"/>
        <v>UNKNOWN: [prefix=SAJAA]</v>
      </c>
      <c r="D167" t="str">
        <f t="shared" si="17"/>
        <v>UNKNOWN: [4=A]</v>
      </c>
      <c r="E167" t="str">
        <f t="shared" si="18"/>
        <v>UNKNOWN</v>
      </c>
      <c r="F167" t="str" cm="1">
        <f t="array" ref="F167">_xlfn.LET(_xlpm.v,UPPER(SUBSTITUTE(CLEAN(TRIM(B167)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XK8-XKR_CONVERTIBLE_MEXICO_AUTO_LHD_EMISSION_P_2005MY</v>
      </c>
      <c r="G167" t="str" cm="1">
        <f t="array" ref="G167">_xlfn.LET(_xlpm.vin,SUBSTITUTE(CLEAN(TRIM(B167)),CHAR(160),""),_xlpm.rawDate,LEFT(TRIM(H167)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A42348–A48684</v>
      </c>
      <c r="H167">
        <f>'Ajoneuvorekisteri-Parse Modern '!G37</f>
        <v>20040528</v>
      </c>
      <c r="I167" t="str">
        <f>LEFT(Table3[[#This Row],[Käyttöönotto]],4)</f>
        <v>2004</v>
      </c>
      <c r="J167" t="str">
        <f>'Ajoneuvorekisteri-Parse Modern '!AA37</f>
        <v>2D CONVERTIBLE XK8 4.2-AUTOMATIC-AA2P/259</v>
      </c>
      <c r="K167" t="str">
        <f>Ajoneuvorekisteri_Parse_Modern_XK_Range_TieliikenneAvoinData_30_06_2026_csv[[#This Row],[tyyppihyvaksyntanro]]</f>
        <v>e11*95/54*0061*03</v>
      </c>
      <c r="L167">
        <f>'Ajoneuvorekisteri-Parse Modern '!M37</f>
        <v>1845</v>
      </c>
      <c r="M167">
        <f t="shared" si="19"/>
        <v>1</v>
      </c>
      <c r="N167">
        <f t="shared" si="20"/>
        <v>0</v>
      </c>
      <c r="O167">
        <f t="shared" si="21"/>
        <v>0</v>
      </c>
      <c r="P167">
        <f t="shared" si="22"/>
        <v>1</v>
      </c>
      <c r="Q167">
        <f>IF(AND(Table3[[#This Row],[Coupe]]&lt;&gt;1, Table3[[#This Row],[Convertible]]&lt;&gt;1), 1, 0)</f>
        <v>0</v>
      </c>
      <c r="R167" t="str">
        <f t="shared" si="23"/>
        <v>Convertible</v>
      </c>
    </row>
    <row r="168" spans="1:18" x14ac:dyDescent="0.25">
      <c r="A168">
        <f>'Ajoneuvorekisteri-Parse Modern '!AO53</f>
        <v>1429725</v>
      </c>
      <c r="B168" t="str">
        <f>'Ajoneuvorekisteri-Parse Modern '!AN231</f>
        <v>SAJAA41R45</v>
      </c>
      <c r="C168" t="str">
        <f t="shared" si="16"/>
        <v>UNKNOWN: [prefix=SAJAA]</v>
      </c>
      <c r="D168" t="str">
        <f t="shared" si="17"/>
        <v>UNKNOWN: [4=A]</v>
      </c>
      <c r="E168" t="str">
        <f t="shared" si="18"/>
        <v>UNKNOWN</v>
      </c>
      <c r="F168" t="str" cm="1">
        <f t="array" ref="F168">_xlfn.LET(_xlpm.v,UPPER(SUBSTITUTE(CLEAN(TRIM(B168)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XK8-XKR_COUPE_MEXICO_AUTO_LHD_EMISSION_R_2005MY</v>
      </c>
      <c r="G168" t="str" cm="1">
        <f t="array" ref="G168">_xlfn.LET(_xlpm.vin,SUBSTITUTE(CLEAN(TRIM(B168)),CHAR(160),""),_xlpm.rawDate,LEFT(TRIM(H168)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A42348–A48684</v>
      </c>
      <c r="H168">
        <f>'Ajoneuvorekisteri-Parse Modern '!G231</f>
        <v>20040723</v>
      </c>
      <c r="I168" t="str">
        <f>LEFT(Table3[[#This Row],[Käyttöönotto]],4)</f>
        <v>2004</v>
      </c>
      <c r="J168" t="str">
        <f>'Ajoneuvorekisteri-Parse Modern '!AA231</f>
        <v>XKR Coupe Coup� (AD) 2ov 4196cm3 A</v>
      </c>
      <c r="K168" t="str">
        <f>Ajoneuvorekisteri_Parse_Modern_XK_Range_TieliikenneAvoinData_30_06_2026_csv[[#This Row],[tyyppihyvaksyntanro]]</f>
        <v>e11*2001/116*0272*07</v>
      </c>
      <c r="L168">
        <f>'Ajoneuvorekisteri-Parse Modern '!M231</f>
        <v>1735</v>
      </c>
      <c r="M168">
        <f t="shared" si="19"/>
        <v>0</v>
      </c>
      <c r="N168">
        <f t="shared" si="20"/>
        <v>1</v>
      </c>
      <c r="O168">
        <f t="shared" si="21"/>
        <v>1</v>
      </c>
      <c r="P168">
        <f t="shared" si="22"/>
        <v>0</v>
      </c>
      <c r="Q168">
        <f>IF(AND(Table3[[#This Row],[Coupe]]&lt;&gt;1, Table3[[#This Row],[Convertible]]&lt;&gt;1), 1, 0)</f>
        <v>0</v>
      </c>
      <c r="R168" t="str">
        <f t="shared" si="23"/>
        <v>Coupe</v>
      </c>
    </row>
    <row r="169" spans="1:18" x14ac:dyDescent="0.25">
      <c r="A169">
        <f>'Ajoneuvorekisteri-Parse Modern '!AO185</f>
        <v>3184244</v>
      </c>
      <c r="B169" t="str">
        <f>'Ajoneuvorekisteri-Parse Modern '!AN208</f>
        <v>SAJDA42C54</v>
      </c>
      <c r="C169" t="str">
        <f t="shared" si="16"/>
        <v>UNKNOWN: [prefix=SAJDA]</v>
      </c>
      <c r="D169" t="str">
        <f t="shared" si="17"/>
        <v>XK8-XKR_CONVERTIBLE_USA_AUTO_LHD_EMISSION_C_204MY</v>
      </c>
      <c r="E169" t="str">
        <f t="shared" si="18"/>
        <v>UNKNOWN</v>
      </c>
      <c r="F169" t="str" cm="1">
        <f t="array" ref="F169">_xlfn.LET(_xlpm.v,UPPER(SUBSTITUTE(CLEAN(TRIM(B169)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XK8-XKR_CONVERTIBLE_USA_AUTO_LHD_EMISSION_C_2004MY</v>
      </c>
      <c r="G169" t="str" cm="1">
        <f t="array" ref="G169">_xlfn.LET(_xlpm.vin,SUBSTITUTE(CLEAN(TRIM(B169)),CHAR(160),""),_xlpm.rawDate,LEFT(TRIM(H169)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A36874–A42347</v>
      </c>
      <c r="H169">
        <f>'Ajoneuvorekisteri-Parse Modern '!G208</f>
        <v>20040726</v>
      </c>
      <c r="I169" t="str">
        <f>LEFT(Table3[[#This Row],[Käyttöönotto]],4)</f>
        <v>2004</v>
      </c>
      <c r="J169" t="str">
        <f>'Ajoneuvorekisteri-Parse Modern '!AA208</f>
        <v>XK8 Avoauto (AE) 2ov 4190cm3 A</v>
      </c>
      <c r="K169" t="str">
        <f>Ajoneuvorekisteri_Parse_Modern_XK_Range_TieliikenneAvoinData_30_06_2026_csv[[#This Row],[tyyppihyvaksyntanro]]</f>
        <v>e11*95/54*0061*00</v>
      </c>
      <c r="L169">
        <f>'Ajoneuvorekisteri-Parse Modern '!M208</f>
        <v>1770</v>
      </c>
      <c r="M169">
        <f t="shared" si="19"/>
        <v>1</v>
      </c>
      <c r="N169">
        <f t="shared" si="20"/>
        <v>0</v>
      </c>
      <c r="O169">
        <f t="shared" si="21"/>
        <v>0</v>
      </c>
      <c r="P169">
        <f t="shared" si="22"/>
        <v>1</v>
      </c>
      <c r="Q169">
        <f>IF(AND(Table3[[#This Row],[Coupe]]&lt;&gt;1, Table3[[#This Row],[Convertible]]&lt;&gt;1), 1, 0)</f>
        <v>0</v>
      </c>
      <c r="R169" t="str">
        <f t="shared" si="23"/>
        <v>Convertible</v>
      </c>
    </row>
    <row r="170" spans="1:18" x14ac:dyDescent="0.25">
      <c r="A170">
        <f>'Ajoneuvorekisteri-Parse Modern '!AO37</f>
        <v>1132388</v>
      </c>
      <c r="B170" t="str">
        <f>'Ajoneuvorekisteri-Parse Modern '!AN143</f>
        <v>SAJAA41R85</v>
      </c>
      <c r="C170" t="str">
        <f t="shared" si="16"/>
        <v>UNKNOWN: [prefix=SAJAA]</v>
      </c>
      <c r="D170" t="str">
        <f t="shared" si="17"/>
        <v>UNKNOWN: [4=A]</v>
      </c>
      <c r="E170" t="str">
        <f t="shared" si="18"/>
        <v>UNKNOWN</v>
      </c>
      <c r="F170" t="str" cm="1">
        <f t="array" ref="F170">_xlfn.LET(_xlpm.v,UPPER(SUBSTITUTE(CLEAN(TRIM(B170)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XK8-XKR_COUPE_MEXICO_AUTO_LHD_EMISSION_R_2005MY</v>
      </c>
      <c r="G170" t="str" cm="1">
        <f t="array" ref="G170">_xlfn.LET(_xlpm.vin,SUBSTITUTE(CLEAN(TRIM(B170)),CHAR(160),""),_xlpm.rawDate,LEFT(TRIM(H170)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A42348–A48684</v>
      </c>
      <c r="H170">
        <f>'Ajoneuvorekisteri-Parse Modern '!G143</f>
        <v>20050316</v>
      </c>
      <c r="I170" t="str">
        <f>LEFT(Table3[[#This Row],[Käyttöönotto]],4)</f>
        <v>2005</v>
      </c>
      <c r="J170" t="str">
        <f>'Ajoneuvorekisteri-Parse Modern '!AA143</f>
        <v>XK Coup� (AD) 2ov 4190cm3 A</v>
      </c>
      <c r="K170" t="str">
        <f>Ajoneuvorekisteri_Parse_Modern_XK_Range_TieliikenneAvoinData_30_06_2026_csv[[#This Row],[tyyppihyvaksyntanro]]</f>
        <v/>
      </c>
      <c r="L170">
        <f>'Ajoneuvorekisteri-Parse Modern '!M143</f>
        <v>1660</v>
      </c>
      <c r="M170">
        <f t="shared" si="19"/>
        <v>1</v>
      </c>
      <c r="N170">
        <f t="shared" si="20"/>
        <v>0</v>
      </c>
      <c r="O170">
        <f t="shared" si="21"/>
        <v>1</v>
      </c>
      <c r="P170">
        <f t="shared" si="22"/>
        <v>0</v>
      </c>
      <c r="Q170">
        <f>IF(AND(Table3[[#This Row],[Coupe]]&lt;&gt;1, Table3[[#This Row],[Convertible]]&lt;&gt;1), 1, 0)</f>
        <v>0</v>
      </c>
      <c r="R170" t="str">
        <f t="shared" si="23"/>
        <v>Coupe</v>
      </c>
    </row>
    <row r="171" spans="1:18" x14ac:dyDescent="0.25">
      <c r="A171">
        <f>'Ajoneuvorekisteri-Parse Modern '!AO40</f>
        <v>1229100</v>
      </c>
      <c r="B171" t="str">
        <f>'Ajoneuvorekisteri-Parse Modern '!AN16</f>
        <v>SAJAA41R46</v>
      </c>
      <c r="C171" t="str">
        <f t="shared" si="16"/>
        <v>UNKNOWN: [prefix=SAJAA]</v>
      </c>
      <c r="D171" t="str">
        <f t="shared" si="17"/>
        <v>UNKNOWN: [4=A]</v>
      </c>
      <c r="E171" t="str">
        <f t="shared" si="18"/>
        <v>UNKNOWN</v>
      </c>
      <c r="F171" t="str" cm="1">
        <f t="array" ref="F171">_xlfn.LET(_xlpm.v,UPPER(SUBSTITUTE(CLEAN(TRIM(B171)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XK8-XKR_COUPE_MEXICO_AUTO_LHD_EMISSION_R_2006MY</v>
      </c>
      <c r="G171" t="str" cm="1">
        <f t="array" ref="G171">_xlfn.LET(_xlpm.vin,SUBSTITUTE(CLEAN(TRIM(B171)),CHAR(160),""),_xlpm.rawDate,LEFT(TRIM(H171)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UNKNOWN</v>
      </c>
      <c r="H171">
        <f>'Ajoneuvorekisteri-Parse Modern '!G16</f>
        <v>20050330</v>
      </c>
      <c r="I171" t="str">
        <f>LEFT(Table3[[#This Row],[Käyttöönotto]],4)</f>
        <v>2005</v>
      </c>
      <c r="J171" t="str">
        <f>'Ajoneuvorekisteri-Parse Modern '!AA16</f>
        <v>COUPE XKR 4.2 AUTOMATIC-AA1R/259</v>
      </c>
      <c r="K171" t="str">
        <f>Ajoneuvorekisteri_Parse_Modern_XK_Range_TieliikenneAvoinData_30_06_2026_csv[[#This Row],[tyyppihyvaksyntanro]]</f>
        <v/>
      </c>
      <c r="L171">
        <f>'Ajoneuvorekisteri-Parse Modern '!M16</f>
        <v>1735</v>
      </c>
      <c r="M171">
        <f t="shared" si="19"/>
        <v>0</v>
      </c>
      <c r="N171">
        <f t="shared" si="20"/>
        <v>1</v>
      </c>
      <c r="O171">
        <f t="shared" si="21"/>
        <v>1</v>
      </c>
      <c r="P171">
        <f t="shared" si="22"/>
        <v>0</v>
      </c>
      <c r="Q171">
        <f>IF(AND(Table3[[#This Row],[Coupe]]&lt;&gt;1, Table3[[#This Row],[Convertible]]&lt;&gt;1), 1, 0)</f>
        <v>0</v>
      </c>
      <c r="R171" t="str">
        <f t="shared" si="23"/>
        <v>Coupe</v>
      </c>
    </row>
    <row r="172" spans="1:18" x14ac:dyDescent="0.25">
      <c r="A172">
        <f>'Ajoneuvorekisteri-Parse Modern '!AO102</f>
        <v>2282216</v>
      </c>
      <c r="B172" t="str">
        <f>'Ajoneuvorekisteri-Parse Modern '!AN40</f>
        <v>SAJAA42P16</v>
      </c>
      <c r="C172" t="str">
        <f t="shared" si="16"/>
        <v>UNKNOWN: [prefix=SAJAA]</v>
      </c>
      <c r="D172" t="str">
        <f t="shared" si="17"/>
        <v>UNKNOWN: [4=A]</v>
      </c>
      <c r="E172" t="str">
        <f t="shared" si="18"/>
        <v>UNKNOWN</v>
      </c>
      <c r="F172" t="str" cm="1">
        <f t="array" ref="F172">_xlfn.LET(_xlpm.v,UPPER(SUBSTITUTE(CLEAN(TRIM(B172)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XK8-XKR_CONVERTIBLE_MEXICO_AUTO_LHD_EMISSION_P_2006MY</v>
      </c>
      <c r="G172" t="str" cm="1">
        <f t="array" ref="G172">_xlfn.LET(_xlpm.vin,SUBSTITUTE(CLEAN(TRIM(B172)),CHAR(160),""),_xlpm.rawDate,LEFT(TRIM(H172)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UNKNOWN</v>
      </c>
      <c r="H172">
        <f>'Ajoneuvorekisteri-Parse Modern '!G40</f>
        <v>20050427</v>
      </c>
      <c r="I172" t="str">
        <f>LEFT(Table3[[#This Row],[Käyttöönotto]],4)</f>
        <v>2005</v>
      </c>
      <c r="J172" t="str">
        <f>'Ajoneuvorekisteri-Parse Modern '!AA40</f>
        <v>2D CONVERTIBLE XK8 4.2-AUTOMATIC-42P/259</v>
      </c>
      <c r="K172" t="str">
        <f>Ajoneuvorekisteri_Parse_Modern_XK_Range_TieliikenneAvoinData_30_06_2026_csv[[#This Row],[tyyppihyvaksyntanro]]</f>
        <v>e11*2001/116*0272*01</v>
      </c>
      <c r="L172">
        <f>'Ajoneuvorekisteri-Parse Modern '!M40</f>
        <v>1845</v>
      </c>
      <c r="M172">
        <f t="shared" si="19"/>
        <v>1</v>
      </c>
      <c r="N172">
        <f t="shared" si="20"/>
        <v>0</v>
      </c>
      <c r="O172">
        <f t="shared" si="21"/>
        <v>0</v>
      </c>
      <c r="P172">
        <f t="shared" si="22"/>
        <v>1</v>
      </c>
      <c r="Q172">
        <f>IF(AND(Table3[[#This Row],[Coupe]]&lt;&gt;1, Table3[[#This Row],[Convertible]]&lt;&gt;1), 1, 0)</f>
        <v>0</v>
      </c>
      <c r="R172" t="str">
        <f t="shared" si="23"/>
        <v>Convertible</v>
      </c>
    </row>
    <row r="173" spans="1:18" x14ac:dyDescent="0.25">
      <c r="A173">
        <f>'Ajoneuvorekisteri-Parse Modern '!AO16</f>
        <v>535425</v>
      </c>
      <c r="B173" t="str">
        <f>'Ajoneuvorekisteri-Parse Modern '!AN50</f>
        <v>SAJAA41P83</v>
      </c>
      <c r="C173" t="str">
        <f t="shared" si="16"/>
        <v>UNKNOWN: [prefix=SAJAA]</v>
      </c>
      <c r="D173" t="str">
        <f t="shared" si="17"/>
        <v>UNKNOWN: [4=A]</v>
      </c>
      <c r="E173" t="str">
        <f t="shared" si="18"/>
        <v>UNKNOWN</v>
      </c>
      <c r="F173" t="str" cm="1">
        <f t="array" ref="F173">_xlfn.LET(_xlpm.v,UPPER(SUBSTITUTE(CLEAN(TRIM(B173)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XK8-XKR_COUPE_MEXICO_AUTO_LHD_EMISSION_P_2003MY</v>
      </c>
      <c r="G173" t="str" cm="1">
        <f t="array" ref="G173">_xlfn.LET(_xlpm.vin,SUBSTITUTE(CLEAN(TRIM(B173)),CHAR(160),""),_xlpm.rawDate,LEFT(TRIM(H173)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A30645–A36873</v>
      </c>
      <c r="H173">
        <f>'Ajoneuvorekisteri-Parse Modern '!G50</f>
        <v>20050520</v>
      </c>
      <c r="I173" t="str">
        <f>LEFT(Table3[[#This Row],[Käyttöönotto]],4)</f>
        <v>2005</v>
      </c>
      <c r="J173" t="str">
        <f>'Ajoneuvorekisteri-Parse Modern '!AA50</f>
        <v>COUPE XK8 4.2 AUTOMATIC-41P/259</v>
      </c>
      <c r="K173" t="str">
        <f>Ajoneuvorekisteri_Parse_Modern_XK_Range_TieliikenneAvoinData_30_06_2026_csv[[#This Row],[tyyppihyvaksyntanro]]</f>
        <v>e11*95/54*03</v>
      </c>
      <c r="L173">
        <f>'Ajoneuvorekisteri-Parse Modern '!M50</f>
        <v>1660</v>
      </c>
      <c r="M173">
        <f t="shared" si="19"/>
        <v>1</v>
      </c>
      <c r="N173">
        <f t="shared" si="20"/>
        <v>0</v>
      </c>
      <c r="O173">
        <f t="shared" si="21"/>
        <v>1</v>
      </c>
      <c r="P173">
        <f t="shared" si="22"/>
        <v>0</v>
      </c>
      <c r="Q173">
        <f>IF(AND(Table3[[#This Row],[Coupe]]&lt;&gt;1, Table3[[#This Row],[Convertible]]&lt;&gt;1), 1, 0)</f>
        <v>0</v>
      </c>
      <c r="R173" t="str">
        <f t="shared" si="23"/>
        <v>Coupe</v>
      </c>
    </row>
    <row r="174" spans="1:18" x14ac:dyDescent="0.25">
      <c r="A174">
        <f>'Ajoneuvorekisteri-Parse Modern '!AO50</f>
        <v>1357119</v>
      </c>
      <c r="B174" t="str">
        <f>'Ajoneuvorekisteri-Parse Modern '!AN185</f>
        <v>SAJAA42RX6</v>
      </c>
      <c r="C174" t="str">
        <f t="shared" si="16"/>
        <v>UNKNOWN: [prefix=SAJAA]</v>
      </c>
      <c r="D174" t="str">
        <f t="shared" si="17"/>
        <v>UNKNOWN: [4=A]</v>
      </c>
      <c r="E174" t="str">
        <f t="shared" si="18"/>
        <v>UNKNOWN</v>
      </c>
      <c r="F174" t="str" cm="1">
        <f t="array" ref="F174">_xlfn.LET(_xlpm.v,UPPER(SUBSTITUTE(CLEAN(TRIM(B174)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XK8-XKR_CONVERTIBLE_MEXICO_AUTO_LHD_EMISSION_R_2006MY</v>
      </c>
      <c r="G174" t="str" cm="1">
        <f t="array" ref="G174">_xlfn.LET(_xlpm.vin,SUBSTITUTE(CLEAN(TRIM(B174)),CHAR(160),""),_xlpm.rawDate,LEFT(TRIM(H174)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UNKNOWN</v>
      </c>
      <c r="H174">
        <f>'Ajoneuvorekisteri-Parse Modern '!G185</f>
        <v>20050602</v>
      </c>
      <c r="I174" t="str">
        <f>LEFT(Table3[[#This Row],[Käyttöönotto]],4)</f>
        <v>2005</v>
      </c>
      <c r="J174" t="str">
        <f>'Ajoneuvorekisteri-Parse Modern '!AA185</f>
        <v>XKR Cab 4.2l Coup� (AD) 2ov 4196cm3 A</v>
      </c>
      <c r="K174" t="str">
        <f>Ajoneuvorekisteri_Parse_Modern_XK_Range_TieliikenneAvoinData_30_06_2026_csv[[#This Row],[tyyppihyvaksyntanro]]</f>
        <v>e11*95/54*0061*00</v>
      </c>
      <c r="L174">
        <f>'Ajoneuvorekisteri-Parse Modern '!M185</f>
        <v>1810</v>
      </c>
      <c r="M174">
        <f t="shared" si="19"/>
        <v>0</v>
      </c>
      <c r="N174">
        <f t="shared" si="20"/>
        <v>1</v>
      </c>
      <c r="O174">
        <f t="shared" si="21"/>
        <v>1</v>
      </c>
      <c r="P174">
        <f t="shared" si="22"/>
        <v>0</v>
      </c>
      <c r="Q174">
        <f>IF(AND(Table3[[#This Row],[Coupe]]&lt;&gt;1, Table3[[#This Row],[Convertible]]&lt;&gt;1), 1, 0)</f>
        <v>0</v>
      </c>
      <c r="R174" t="str">
        <f t="shared" si="23"/>
        <v>Coupe</v>
      </c>
    </row>
    <row r="175" spans="1:18" x14ac:dyDescent="0.25">
      <c r="A175">
        <f>'Ajoneuvorekisteri-Parse Modern '!AO208</f>
        <v>3436871</v>
      </c>
      <c r="B175" t="str">
        <f>'Ajoneuvorekisteri-Parse Modern '!AN32</f>
        <v>SAJAA42RX3</v>
      </c>
      <c r="C175" t="str">
        <f t="shared" si="16"/>
        <v>UNKNOWN: [prefix=SAJAA]</v>
      </c>
      <c r="D175" t="str">
        <f t="shared" si="17"/>
        <v>UNKNOWN: [4=A]</v>
      </c>
      <c r="E175" t="str">
        <f t="shared" si="18"/>
        <v>UNKNOWN</v>
      </c>
      <c r="F175" t="str" cm="1">
        <f t="array" ref="F175">_xlfn.LET(_xlpm.v,UPPER(SUBSTITUTE(CLEAN(TRIM(B175)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XK8-XKR_CONVERTIBLE_MEXICO_AUTO_LHD_EMISSION_R_2003MY</v>
      </c>
      <c r="G175" t="str" cm="1">
        <f t="array" ref="G175">_xlfn.LET(_xlpm.vin,SUBSTITUTE(CLEAN(TRIM(B175)),CHAR(160),""),_xlpm.rawDate,LEFT(TRIM(H175)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A30645–A36873</v>
      </c>
      <c r="H175">
        <f>'Ajoneuvorekisteri-Parse Modern '!G32</f>
        <v>20050627</v>
      </c>
      <c r="I175" t="str">
        <f>LEFT(Table3[[#This Row],[Käyttöönotto]],4)</f>
        <v>2005</v>
      </c>
      <c r="J175" t="str">
        <f>'Ajoneuvorekisteri-Parse Modern '!AA32</f>
        <v>2D CONVERTIBLE XKR 4.2-AUTOMATIC-42R/259</v>
      </c>
      <c r="K175" t="str">
        <f>Ajoneuvorekisteri_Parse_Modern_XK_Range_TieliikenneAvoinData_30_06_2026_csv[[#This Row],[tyyppihyvaksyntanro]]</f>
        <v/>
      </c>
      <c r="L175">
        <f>'Ajoneuvorekisteri-Parse Modern '!M32</f>
        <v>1770</v>
      </c>
      <c r="M175">
        <f t="shared" si="19"/>
        <v>0</v>
      </c>
      <c r="N175">
        <f t="shared" si="20"/>
        <v>1</v>
      </c>
      <c r="O175">
        <f t="shared" si="21"/>
        <v>0</v>
      </c>
      <c r="P175">
        <f t="shared" si="22"/>
        <v>1</v>
      </c>
      <c r="Q175">
        <f>IF(AND(Table3[[#This Row],[Coupe]]&lt;&gt;1, Table3[[#This Row],[Convertible]]&lt;&gt;1), 1, 0)</f>
        <v>0</v>
      </c>
      <c r="R175" t="str">
        <f t="shared" si="23"/>
        <v>Convertible</v>
      </c>
    </row>
    <row r="176" spans="1:18" x14ac:dyDescent="0.25">
      <c r="A176">
        <f>'Ajoneuvorekisteri-Parse Modern '!AO32</f>
        <v>1027041</v>
      </c>
      <c r="B176" t="str">
        <f>'Ajoneuvorekisteri-Parse Modern '!AN81</f>
        <v>SAJAA41P86</v>
      </c>
      <c r="C176" t="str">
        <f t="shared" si="16"/>
        <v>UNKNOWN: [prefix=SAJAA]</v>
      </c>
      <c r="D176" t="str">
        <f t="shared" si="17"/>
        <v>UNKNOWN: [4=A]</v>
      </c>
      <c r="E176" t="str">
        <f t="shared" si="18"/>
        <v>UNKNOWN</v>
      </c>
      <c r="F176" t="str" cm="1">
        <f t="array" ref="F176">_xlfn.LET(_xlpm.v,UPPER(SUBSTITUTE(CLEAN(TRIM(B176)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XK8-XKR_COUPE_MEXICO_AUTO_LHD_EMISSION_P_2006MY</v>
      </c>
      <c r="G176" t="str" cm="1">
        <f t="array" ref="G176">_xlfn.LET(_xlpm.vin,SUBSTITUTE(CLEAN(TRIM(B176)),CHAR(160),""),_xlpm.rawDate,LEFT(TRIM(H176)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UNKNOWN</v>
      </c>
      <c r="H176">
        <f>'Ajoneuvorekisteri-Parse Modern '!G81</f>
        <v>20051223</v>
      </c>
      <c r="I176" t="str">
        <f>LEFT(Table3[[#This Row],[Käyttöönotto]],4)</f>
        <v>2005</v>
      </c>
      <c r="J176" t="str">
        <f>'Ajoneuvorekisteri-Parse Modern '!AA81</f>
        <v>XK Coup� (AD) 2ov 4190cm3 A</v>
      </c>
      <c r="K176" t="str">
        <f>Ajoneuvorekisteri_Parse_Modern_XK_Range_TieliikenneAvoinData_30_06_2026_csv[[#This Row],[tyyppihyvaksyntanro]]</f>
        <v/>
      </c>
      <c r="L176">
        <f>'Ajoneuvorekisteri-Parse Modern '!M81</f>
        <v>1735</v>
      </c>
      <c r="M176">
        <f t="shared" si="19"/>
        <v>1</v>
      </c>
      <c r="N176">
        <f t="shared" si="20"/>
        <v>0</v>
      </c>
      <c r="O176">
        <f t="shared" si="21"/>
        <v>1</v>
      </c>
      <c r="P176">
        <f t="shared" si="22"/>
        <v>0</v>
      </c>
      <c r="Q176">
        <f>IF(AND(Table3[[#This Row],[Coupe]]&lt;&gt;1, Table3[[#This Row],[Convertible]]&lt;&gt;1), 1, 0)</f>
        <v>0</v>
      </c>
      <c r="R176" t="str">
        <f t="shared" si="23"/>
        <v>Coupe</v>
      </c>
    </row>
    <row r="177" spans="1:18" x14ac:dyDescent="0.25">
      <c r="A177">
        <f>'Ajoneuvorekisteri-Parse Modern '!AO220</f>
        <v>3629004</v>
      </c>
      <c r="B177" t="str">
        <f>'Ajoneuvorekisteri-Parse Modern '!AN220</f>
        <v>SAJDA42C36</v>
      </c>
      <c r="C177" t="str">
        <f t="shared" si="16"/>
        <v>UNKNOWN: [prefix=SAJDA]</v>
      </c>
      <c r="D177" t="str">
        <f t="shared" si="17"/>
        <v>XK8-XKR_CONVERTIBLE_USA_AUTO_LHD_EMISSION_C_206MY</v>
      </c>
      <c r="E177" t="str">
        <f t="shared" si="18"/>
        <v>UNKNOWN</v>
      </c>
      <c r="F177" t="str" cm="1">
        <f t="array" ref="F177">_xlfn.LET(_xlpm.v,UPPER(SUBSTITUTE(CLEAN(TRIM(B177)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XK8-XKR_CONVERTIBLE_USA_AUTO_LHD_EMISSION_C_2006MY</v>
      </c>
      <c r="G177" t="str" cm="1">
        <f t="array" ref="G177">_xlfn.LET(_xlpm.vin,SUBSTITUTE(CLEAN(TRIM(B177)),CHAR(160),""),_xlpm.rawDate,LEFT(TRIM(H177)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UNKNOWN</v>
      </c>
      <c r="H177">
        <f>'Ajoneuvorekisteri-Parse Modern '!G220</f>
        <v>20060101</v>
      </c>
      <c r="I177" t="str">
        <f>LEFT(Table3[[#This Row],[Käyttöönotto]],4)</f>
        <v>2006</v>
      </c>
      <c r="J177" t="str">
        <f>'Ajoneuvorekisteri-Parse Modern '!AA220</f>
        <v>XK8 Convertible Avoauto (AE) 2ov 4196cm3 A</v>
      </c>
      <c r="K177" t="str">
        <f>Ajoneuvorekisteri_Parse_Modern_XK_Range_TieliikenneAvoinData_30_06_2026_csv[[#This Row],[tyyppihyvaksyntanro]]</f>
        <v>-</v>
      </c>
      <c r="L177">
        <f>'Ajoneuvorekisteri-Parse Modern '!M220</f>
        <v>1770</v>
      </c>
      <c r="M177">
        <f t="shared" si="19"/>
        <v>1</v>
      </c>
      <c r="N177">
        <f t="shared" si="20"/>
        <v>0</v>
      </c>
      <c r="O177">
        <f t="shared" si="21"/>
        <v>0</v>
      </c>
      <c r="P177">
        <f t="shared" si="22"/>
        <v>1</v>
      </c>
      <c r="Q177">
        <f>IF(AND(Table3[[#This Row],[Coupe]]&lt;&gt;1, Table3[[#This Row],[Convertible]]&lt;&gt;1), 1, 0)</f>
        <v>0</v>
      </c>
      <c r="R177" t="str">
        <f t="shared" si="23"/>
        <v>Convertible</v>
      </c>
    </row>
    <row r="178" spans="1:18" x14ac:dyDescent="0.25">
      <c r="A178">
        <f>'Ajoneuvorekisteri-Parse Modern '!AO188</f>
        <v>3216666</v>
      </c>
      <c r="B178" t="str">
        <f>'Ajoneuvorekisteri-Parse Modern '!AN188</f>
        <v>SAJAA43P17</v>
      </c>
      <c r="C178" t="str">
        <f t="shared" si="16"/>
        <v>UNKNOWN: [prefix=SAJAA]</v>
      </c>
      <c r="D178" t="str">
        <f t="shared" si="17"/>
        <v>UNKNOWN: [4=A]</v>
      </c>
      <c r="E178" t="str">
        <f t="shared" si="18"/>
        <v>X150_2007MY</v>
      </c>
      <c r="F178" t="str" cm="1">
        <f t="array" ref="F178">_xlfn.LET(_xlpm.v,UPPER(SUBSTITUTE(CLEAN(TRIM(B178)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X150_2007MY_MARKET_A_TRANS_A_BODY_43_EMISSION_P_CHECK_1</v>
      </c>
      <c r="G178" t="str" cm="1">
        <f t="array" ref="G178">_xlfn.LET(_xlpm.vin,SUBSTITUTE(CLEAN(TRIM(B178)),CHAR(160),""),_xlpm.rawDate,LEFT(TRIM(H178)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178">
        <f>'Ajoneuvorekisteri-Parse Modern '!G188</f>
        <v>20060327</v>
      </c>
      <c r="I178" t="str">
        <f>LEFT(Table3[[#This Row],[Käyttöönotto]],4)</f>
        <v>2006</v>
      </c>
      <c r="J178" t="str">
        <f>'Ajoneuvorekisteri-Parse Modern '!AA188</f>
        <v>XK Coup� (AD) 2ov 4190cm3 A</v>
      </c>
      <c r="K178" t="str">
        <f>Ajoneuvorekisteri_Parse_Modern_XK_Range_TieliikenneAvoinData_30_06_2026_csv[[#This Row],[tyyppihyvaksyntanro]]</f>
        <v>e11*2001/116*0272*01</v>
      </c>
      <c r="L178">
        <f>'Ajoneuvorekisteri-Parse Modern '!M188</f>
        <v>1720</v>
      </c>
      <c r="M178">
        <f t="shared" si="19"/>
        <v>1</v>
      </c>
      <c r="N178">
        <f t="shared" si="20"/>
        <v>0</v>
      </c>
      <c r="O178">
        <f t="shared" si="21"/>
        <v>1</v>
      </c>
      <c r="P178">
        <f t="shared" si="22"/>
        <v>0</v>
      </c>
      <c r="Q178">
        <f>IF(AND(Table3[[#This Row],[Coupe]]&lt;&gt;1, Table3[[#This Row],[Convertible]]&lt;&gt;1), 1, 0)</f>
        <v>0</v>
      </c>
      <c r="R178" t="str">
        <f t="shared" si="23"/>
        <v>Coupe</v>
      </c>
    </row>
    <row r="179" spans="1:18" x14ac:dyDescent="0.25">
      <c r="A179">
        <f>'Ajoneuvorekisteri-Parse Modern '!AO161</f>
        <v>2840108</v>
      </c>
      <c r="B179" t="str">
        <f>'Ajoneuvorekisteri-Parse Modern '!AN161</f>
        <v>SAJAA43P47</v>
      </c>
      <c r="C179" t="str">
        <f t="shared" si="16"/>
        <v>UNKNOWN: [prefix=SAJAA]</v>
      </c>
      <c r="D179" t="str">
        <f t="shared" si="17"/>
        <v>UNKNOWN: [4=A]</v>
      </c>
      <c r="E179" t="str">
        <f t="shared" si="18"/>
        <v>X150_2007MY</v>
      </c>
      <c r="F179" t="str" cm="1">
        <f t="array" ref="F179">_xlfn.LET(_xlpm.v,UPPER(SUBSTITUTE(CLEAN(TRIM(B179)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X150_2007MY_MARKET_A_TRANS_A_BODY_43_EMISSION_P_CHECK_4</v>
      </c>
      <c r="G179" t="str" cm="1">
        <f t="array" ref="G179">_xlfn.LET(_xlpm.vin,SUBSTITUTE(CLEAN(TRIM(B179)),CHAR(160),""),_xlpm.rawDate,LEFT(TRIM(H179)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179">
        <f>'Ajoneuvorekisteri-Parse Modern '!G161</f>
        <v>20060330</v>
      </c>
      <c r="I179" t="str">
        <f>LEFT(Table3[[#This Row],[Käyttöönotto]],4)</f>
        <v>2006</v>
      </c>
      <c r="J179" t="str">
        <f>'Ajoneuvorekisteri-Parse Modern '!AA161</f>
        <v>XK Coup� (AD) 2ov 4190cm3 A</v>
      </c>
      <c r="K179" t="str">
        <f>Ajoneuvorekisteri_Parse_Modern_XK_Range_TieliikenneAvoinData_30_06_2026_csv[[#This Row],[tyyppihyvaksyntanro]]</f>
        <v>e11*95/54*0062*02</v>
      </c>
      <c r="L179">
        <f>'Ajoneuvorekisteri-Parse Modern '!M161</f>
        <v>1720</v>
      </c>
      <c r="M179">
        <f t="shared" si="19"/>
        <v>1</v>
      </c>
      <c r="N179">
        <f t="shared" si="20"/>
        <v>0</v>
      </c>
      <c r="O179">
        <f t="shared" si="21"/>
        <v>1</v>
      </c>
      <c r="P179">
        <f t="shared" si="22"/>
        <v>0</v>
      </c>
      <c r="Q179">
        <f>IF(AND(Table3[[#This Row],[Coupe]]&lt;&gt;1, Table3[[#This Row],[Convertible]]&lt;&gt;1), 1, 0)</f>
        <v>0</v>
      </c>
      <c r="R179" t="str">
        <f t="shared" si="23"/>
        <v>Coupe</v>
      </c>
    </row>
    <row r="180" spans="1:18" x14ac:dyDescent="0.25">
      <c r="A180">
        <f>'Ajoneuvorekisteri-Parse Modern '!AO29</f>
        <v>968479</v>
      </c>
      <c r="B180" t="str">
        <f>'Ajoneuvorekisteri-Parse Modern '!AN29</f>
        <v>SAJAA44P77</v>
      </c>
      <c r="C180" t="str">
        <f t="shared" si="16"/>
        <v>UNKNOWN: [prefix=SAJAA]</v>
      </c>
      <c r="D180" t="str">
        <f t="shared" si="17"/>
        <v>UNKNOWN: [4=A]</v>
      </c>
      <c r="E180" t="str">
        <f t="shared" si="18"/>
        <v>X150_2007MY</v>
      </c>
      <c r="F180" t="str" cm="1">
        <f t="array" ref="F180">_xlfn.LET(_xlpm.v,UPPER(SUBSTITUTE(CLEAN(TRIM(B180)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X150_2007MY_MARKET_A_TRANS_A_BODY_44_EMISSION_P_CHECK_7</v>
      </c>
      <c r="G180" t="str" cm="1">
        <f t="array" ref="G180">_xlfn.LET(_xlpm.vin,SUBSTITUTE(CLEAN(TRIM(B180)),CHAR(160),""),_xlpm.rawDate,LEFT(TRIM(H180)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180">
        <f>'Ajoneuvorekisteri-Parse Modern '!G29</f>
        <v>20060505</v>
      </c>
      <c r="I180" t="str">
        <f>LEFT(Table3[[#This Row],[Käyttöönotto]],4)</f>
        <v>2006</v>
      </c>
      <c r="J180" t="str">
        <f>'Ajoneuvorekisteri-Parse Modern '!AA29</f>
        <v>2D CONVERTIBLE XK 4.2 AUTOMATIC QQ6/275</v>
      </c>
      <c r="K180" t="str">
        <f>Ajoneuvorekisteri_Parse_Modern_XK_Range_TieliikenneAvoinData_30_06_2026_csv[[#This Row],[tyyppihyvaksyntanro]]</f>
        <v/>
      </c>
      <c r="L180">
        <f>'Ajoneuvorekisteri-Parse Modern '!M29</f>
        <v>1735</v>
      </c>
      <c r="M180">
        <f t="shared" si="19"/>
        <v>1</v>
      </c>
      <c r="N180">
        <f t="shared" si="20"/>
        <v>0</v>
      </c>
      <c r="O180">
        <f t="shared" si="21"/>
        <v>0</v>
      </c>
      <c r="P180">
        <f t="shared" si="22"/>
        <v>1</v>
      </c>
      <c r="Q180">
        <f>IF(AND(Table3[[#This Row],[Coupe]]&lt;&gt;1, Table3[[#This Row],[Convertible]]&lt;&gt;1), 1, 0)</f>
        <v>0</v>
      </c>
      <c r="R180" t="str">
        <f t="shared" si="23"/>
        <v>Convertible</v>
      </c>
    </row>
    <row r="181" spans="1:18" x14ac:dyDescent="0.25">
      <c r="A181">
        <f>'Ajoneuvorekisteri-Parse Modern '!AO17</f>
        <v>608373</v>
      </c>
      <c r="B181" t="str">
        <f>'Ajoneuvorekisteri-Parse Modern '!AN17</f>
        <v>SAJAA43P07</v>
      </c>
      <c r="C181" t="str">
        <f t="shared" si="16"/>
        <v>UNKNOWN: [prefix=SAJAA]</v>
      </c>
      <c r="D181" t="str">
        <f t="shared" si="17"/>
        <v>UNKNOWN: [4=A]</v>
      </c>
      <c r="E181" t="str">
        <f t="shared" si="18"/>
        <v>X150_2007MY</v>
      </c>
      <c r="F181" t="str" cm="1">
        <f t="array" ref="F181">_xlfn.LET(_xlpm.v,UPPER(SUBSTITUTE(CLEAN(TRIM(B181)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X150_2007MY_MARKET_A_TRANS_A_BODY_43_EMISSION_P_CHECK_0</v>
      </c>
      <c r="G181" t="str" cm="1">
        <f t="array" ref="G181">_xlfn.LET(_xlpm.vin,SUBSTITUTE(CLEAN(TRIM(B181)),CHAR(160),""),_xlpm.rawDate,LEFT(TRIM(H181)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181">
        <f>'Ajoneuvorekisteri-Parse Modern '!G17</f>
        <v>20060516</v>
      </c>
      <c r="I181" t="str">
        <f>LEFT(Table3[[#This Row],[Käyttöönotto]],4)</f>
        <v>2006</v>
      </c>
      <c r="J181" t="str">
        <f>'Ajoneuvorekisteri-Parse Modern '!AA17</f>
        <v>COUPE XK 4.2 AUTOMATIC QQ6/275</v>
      </c>
      <c r="K181" t="str">
        <f>Ajoneuvorekisteri_Parse_Modern_XK_Range_TieliikenneAvoinData_30_06_2026_csv[[#This Row],[tyyppihyvaksyntanro]]</f>
        <v>e11*2001/116*0272*00</v>
      </c>
      <c r="L181">
        <f>'Ajoneuvorekisteri-Parse Modern '!M17</f>
        <v>1720</v>
      </c>
      <c r="M181">
        <f t="shared" si="19"/>
        <v>1</v>
      </c>
      <c r="N181">
        <f t="shared" si="20"/>
        <v>0</v>
      </c>
      <c r="O181">
        <f t="shared" si="21"/>
        <v>1</v>
      </c>
      <c r="P181">
        <f t="shared" si="22"/>
        <v>0</v>
      </c>
      <c r="Q181">
        <f>IF(AND(Table3[[#This Row],[Coupe]]&lt;&gt;1, Table3[[#This Row],[Convertible]]&lt;&gt;1), 1, 0)</f>
        <v>0</v>
      </c>
      <c r="R181" t="str">
        <f t="shared" si="23"/>
        <v>Coupe</v>
      </c>
    </row>
    <row r="182" spans="1:18" x14ac:dyDescent="0.25">
      <c r="A182">
        <f>'Ajoneuvorekisteri-Parse Modern '!AO190</f>
        <v>3239059</v>
      </c>
      <c r="B182" t="str">
        <f>'Ajoneuvorekisteri-Parse Modern '!AN190</f>
        <v>SAJAA43P47</v>
      </c>
      <c r="C182" t="str">
        <f t="shared" si="16"/>
        <v>UNKNOWN: [prefix=SAJAA]</v>
      </c>
      <c r="D182" t="str">
        <f t="shared" si="17"/>
        <v>UNKNOWN: [4=A]</v>
      </c>
      <c r="E182" t="str">
        <f t="shared" si="18"/>
        <v>X150_2007MY</v>
      </c>
      <c r="F182" t="str" cm="1">
        <f t="array" ref="F182">_xlfn.LET(_xlpm.v,UPPER(SUBSTITUTE(CLEAN(TRIM(B182)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X150_2007MY_MARKET_A_TRANS_A_BODY_43_EMISSION_P_CHECK_4</v>
      </c>
      <c r="G182" t="str" cm="1">
        <f t="array" ref="G182">_xlfn.LET(_xlpm.vin,SUBSTITUTE(CLEAN(TRIM(B182)),CHAR(160),""),_xlpm.rawDate,LEFT(TRIM(H182)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182">
        <f>'Ajoneuvorekisteri-Parse Modern '!G190</f>
        <v>20060608</v>
      </c>
      <c r="I182" t="str">
        <f>LEFT(Table3[[#This Row],[Käyttöönotto]],4)</f>
        <v>2006</v>
      </c>
      <c r="J182" t="str">
        <f>'Ajoneuvorekisteri-Parse Modern '!AA190</f>
        <v>Jaguar XK Coupe Coup� (AD) 2ov 4196cm3 A</v>
      </c>
      <c r="K182" t="str">
        <f>Ajoneuvorekisteri_Parse_Modern_XK_Range_TieliikenneAvoinData_30_06_2026_csv[[#This Row],[tyyppihyvaksyntanro]]</f>
        <v>e11*2001/116*0272*15</v>
      </c>
      <c r="L182">
        <f>'Ajoneuvorekisteri-Parse Modern '!M190</f>
        <v>1720</v>
      </c>
      <c r="M182">
        <f t="shared" si="19"/>
        <v>1</v>
      </c>
      <c r="N182">
        <f t="shared" si="20"/>
        <v>0</v>
      </c>
      <c r="O182">
        <f t="shared" si="21"/>
        <v>1</v>
      </c>
      <c r="P182">
        <f t="shared" si="22"/>
        <v>0</v>
      </c>
      <c r="Q182">
        <f>IF(AND(Table3[[#This Row],[Coupe]]&lt;&gt;1, Table3[[#This Row],[Convertible]]&lt;&gt;1), 1, 0)</f>
        <v>0</v>
      </c>
      <c r="R182" t="str">
        <f t="shared" si="23"/>
        <v>Coupe</v>
      </c>
    </row>
    <row r="183" spans="1:18" x14ac:dyDescent="0.25">
      <c r="A183">
        <f>'Ajoneuvorekisteri-Parse Modern '!AO255</f>
        <v>5062875</v>
      </c>
      <c r="B183" t="str">
        <f>'Ajoneuvorekisteri-Parse Modern '!AN255</f>
        <v>SAJAA44P27</v>
      </c>
      <c r="C183" t="str">
        <f t="shared" si="16"/>
        <v>UNKNOWN: [prefix=SAJAA]</v>
      </c>
      <c r="D183" t="str">
        <f t="shared" si="17"/>
        <v>UNKNOWN: [4=A]</v>
      </c>
      <c r="E183" t="str">
        <f t="shared" si="18"/>
        <v>X150_2007MY</v>
      </c>
      <c r="F183" t="str" cm="1">
        <f t="array" ref="F183">_xlfn.LET(_xlpm.v,UPPER(SUBSTITUTE(CLEAN(TRIM(B183)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X150_2007MY_MARKET_A_TRANS_A_BODY_44_EMISSION_P_CHECK_2</v>
      </c>
      <c r="G183" t="str" cm="1">
        <f t="array" ref="G183">_xlfn.LET(_xlpm.vin,SUBSTITUTE(CLEAN(TRIM(B183)),CHAR(160),""),_xlpm.rawDate,LEFT(TRIM(H183)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183">
        <f>'Ajoneuvorekisteri-Parse Modern '!G255</f>
        <v>20060615</v>
      </c>
      <c r="I183" t="str">
        <f>LEFT(Table3[[#This Row],[Käyttöönotto]],4)</f>
        <v>2006</v>
      </c>
      <c r="J183" t="str">
        <f>'Ajoneuvorekisteri-Parse Modern '!AA255</f>
        <v>XK Avoauto (AE) 2ov 4190cm3 A</v>
      </c>
      <c r="K183" t="str">
        <f>Ajoneuvorekisteri_Parse_Modern_XK_Range_TieliikenneAvoinData_30_06_2026_csv[[#This Row],[tyyppihyvaksyntanro]]</f>
        <v>e11*95/54*0062*05</v>
      </c>
      <c r="L183">
        <f>'Ajoneuvorekisteri-Parse Modern '!M255</f>
        <v>1735</v>
      </c>
      <c r="M183">
        <f t="shared" si="19"/>
        <v>1</v>
      </c>
      <c r="N183">
        <f t="shared" si="20"/>
        <v>0</v>
      </c>
      <c r="O183">
        <f t="shared" si="21"/>
        <v>0</v>
      </c>
      <c r="P183">
        <f t="shared" si="22"/>
        <v>1</v>
      </c>
      <c r="Q183">
        <f>IF(AND(Table3[[#This Row],[Coupe]]&lt;&gt;1, Table3[[#This Row],[Convertible]]&lt;&gt;1), 1, 0)</f>
        <v>0</v>
      </c>
      <c r="R183" t="str">
        <f t="shared" si="23"/>
        <v>Convertible</v>
      </c>
    </row>
    <row r="184" spans="1:18" x14ac:dyDescent="0.25">
      <c r="A184">
        <f>'Ajoneuvorekisteri-Parse Modern '!AO249</f>
        <v>4522055</v>
      </c>
      <c r="B184" t="str">
        <f>'Ajoneuvorekisteri-Parse Modern '!AN249</f>
        <v>SAJAA44P37</v>
      </c>
      <c r="C184" t="str">
        <f t="shared" si="16"/>
        <v>UNKNOWN: [prefix=SAJAA]</v>
      </c>
      <c r="D184" t="str">
        <f t="shared" si="17"/>
        <v>UNKNOWN: [4=A]</v>
      </c>
      <c r="E184" t="str">
        <f t="shared" si="18"/>
        <v>X150_2007MY</v>
      </c>
      <c r="F184" t="str" cm="1">
        <f t="array" ref="F184">_xlfn.LET(_xlpm.v,UPPER(SUBSTITUTE(CLEAN(TRIM(B184)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X150_2007MY_MARKET_A_TRANS_A_BODY_44_EMISSION_P_CHECK_3</v>
      </c>
      <c r="G184" t="str" cm="1">
        <f t="array" ref="G184">_xlfn.LET(_xlpm.vin,SUBSTITUTE(CLEAN(TRIM(B184)),CHAR(160),""),_xlpm.rawDate,LEFT(TRIM(H184)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184">
        <f>'Ajoneuvorekisteri-Parse Modern '!G249</f>
        <v>20060619</v>
      </c>
      <c r="I184" t="str">
        <f>LEFT(Table3[[#This Row],[Käyttöönotto]],4)</f>
        <v>2006</v>
      </c>
      <c r="J184" t="str">
        <f>'Ajoneuvorekisteri-Parse Modern '!AA249</f>
        <v>XK Avoauto (AE) 2ov 4190cm3 A</v>
      </c>
      <c r="K184" t="str">
        <f>Ajoneuvorekisteri_Parse_Modern_XK_Range_TieliikenneAvoinData_30_06_2026_csv[[#This Row],[tyyppihyvaksyntanro]]</f>
        <v>e11*95/54*0061*04</v>
      </c>
      <c r="L184">
        <f>'Ajoneuvorekisteri-Parse Modern '!M249</f>
        <v>1735</v>
      </c>
      <c r="M184">
        <f t="shared" si="19"/>
        <v>1</v>
      </c>
      <c r="N184">
        <f t="shared" si="20"/>
        <v>0</v>
      </c>
      <c r="O184">
        <f t="shared" si="21"/>
        <v>0</v>
      </c>
      <c r="P184">
        <f t="shared" si="22"/>
        <v>1</v>
      </c>
      <c r="Q184">
        <f>IF(AND(Table3[[#This Row],[Coupe]]&lt;&gt;1, Table3[[#This Row],[Convertible]]&lt;&gt;1), 1, 0)</f>
        <v>0</v>
      </c>
      <c r="R184" t="str">
        <f t="shared" si="23"/>
        <v>Convertible</v>
      </c>
    </row>
    <row r="185" spans="1:18" x14ac:dyDescent="0.25">
      <c r="A185">
        <f>'Ajoneuvorekisteri-Parse Modern '!AO41</f>
        <v>1236186</v>
      </c>
      <c r="B185" t="str">
        <f>'Ajoneuvorekisteri-Parse Modern '!AN41</f>
        <v>SAJAA44P57</v>
      </c>
      <c r="C185" t="str">
        <f t="shared" si="16"/>
        <v>UNKNOWN: [prefix=SAJAA]</v>
      </c>
      <c r="D185" t="str">
        <f t="shared" si="17"/>
        <v>UNKNOWN: [4=A]</v>
      </c>
      <c r="E185" t="str">
        <f t="shared" si="18"/>
        <v>X150_2007MY</v>
      </c>
      <c r="F185" t="str" cm="1">
        <f t="array" ref="F185">_xlfn.LET(_xlpm.v,UPPER(SUBSTITUTE(CLEAN(TRIM(B185)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X150_2007MY_MARKET_A_TRANS_A_BODY_44_EMISSION_P_CHECK_5</v>
      </c>
      <c r="G185" t="str" cm="1">
        <f t="array" ref="G185">_xlfn.LET(_xlpm.vin,SUBSTITUTE(CLEAN(TRIM(B185)),CHAR(160),""),_xlpm.rawDate,LEFT(TRIM(H185)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185">
        <f>'Ajoneuvorekisteri-Parse Modern '!G41</f>
        <v>20060621</v>
      </c>
      <c r="I185" t="str">
        <f>LEFT(Table3[[#This Row],[Käyttöönotto]],4)</f>
        <v>2006</v>
      </c>
      <c r="J185" t="str">
        <f>'Ajoneuvorekisteri-Parse Modern '!AA41</f>
        <v>2D CONVERTIBLE XK 4.2 AUTOMATIC QQ6/275</v>
      </c>
      <c r="K185" t="str">
        <f>Ajoneuvorekisteri_Parse_Modern_XK_Range_TieliikenneAvoinData_30_06_2026_csv[[#This Row],[tyyppihyvaksyntanro]]</f>
        <v>e11*95/54*0061*09</v>
      </c>
      <c r="L185">
        <f>'Ajoneuvorekisteri-Parse Modern '!M41</f>
        <v>1735</v>
      </c>
      <c r="M185">
        <f t="shared" si="19"/>
        <v>1</v>
      </c>
      <c r="N185">
        <f t="shared" si="20"/>
        <v>0</v>
      </c>
      <c r="O185">
        <f t="shared" si="21"/>
        <v>0</v>
      </c>
      <c r="P185">
        <f t="shared" si="22"/>
        <v>1</v>
      </c>
      <c r="Q185">
        <f>IF(AND(Table3[[#This Row],[Coupe]]&lt;&gt;1, Table3[[#This Row],[Convertible]]&lt;&gt;1), 1, 0)</f>
        <v>0</v>
      </c>
      <c r="R185" t="str">
        <f t="shared" si="23"/>
        <v>Convertible</v>
      </c>
    </row>
    <row r="186" spans="1:18" x14ac:dyDescent="0.25">
      <c r="A186">
        <f>'Ajoneuvorekisteri-Parse Modern '!AO105</f>
        <v>2301018</v>
      </c>
      <c r="B186" t="str">
        <f>'Ajoneuvorekisteri-Parse Modern '!AN105</f>
        <v>SAJAA44P47</v>
      </c>
      <c r="C186" t="str">
        <f t="shared" si="16"/>
        <v>UNKNOWN: [prefix=SAJAA]</v>
      </c>
      <c r="D186" t="str">
        <f t="shared" si="17"/>
        <v>UNKNOWN: [4=A]</v>
      </c>
      <c r="E186" t="str">
        <f t="shared" si="18"/>
        <v>X150_2007MY</v>
      </c>
      <c r="F186" t="str" cm="1">
        <f t="array" ref="F186">_xlfn.LET(_xlpm.v,UPPER(SUBSTITUTE(CLEAN(TRIM(B186)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X150_2007MY_MARKET_A_TRANS_A_BODY_44_EMISSION_P_CHECK_4</v>
      </c>
      <c r="G186" t="str" cm="1">
        <f t="array" ref="G186">_xlfn.LET(_xlpm.vin,SUBSTITUTE(CLEAN(TRIM(B186)),CHAR(160),""),_xlpm.rawDate,LEFT(TRIM(H186)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186">
        <f>'Ajoneuvorekisteri-Parse Modern '!G105</f>
        <v>20060622</v>
      </c>
      <c r="I186" t="str">
        <f>LEFT(Table3[[#This Row],[Käyttöönotto]],4)</f>
        <v>2006</v>
      </c>
      <c r="J186" t="str">
        <f>'Ajoneuvorekisteri-Parse Modern '!AA105</f>
        <v>XK Avoauto (AE) 2ov 4190cm3 A</v>
      </c>
      <c r="K186" t="str">
        <f>Ajoneuvorekisteri_Parse_Modern_XK_Range_TieliikenneAvoinData_30_06_2026_csv[[#This Row],[tyyppihyvaksyntanro]]</f>
        <v>e11*95/54*0062*07</v>
      </c>
      <c r="L186">
        <f>'Ajoneuvorekisteri-Parse Modern '!M105</f>
        <v>1735</v>
      </c>
      <c r="M186">
        <f t="shared" si="19"/>
        <v>1</v>
      </c>
      <c r="N186">
        <f t="shared" si="20"/>
        <v>0</v>
      </c>
      <c r="O186">
        <f t="shared" si="21"/>
        <v>0</v>
      </c>
      <c r="P186">
        <f t="shared" si="22"/>
        <v>1</v>
      </c>
      <c r="Q186">
        <f>IF(AND(Table3[[#This Row],[Coupe]]&lt;&gt;1, Table3[[#This Row],[Convertible]]&lt;&gt;1), 1, 0)</f>
        <v>0</v>
      </c>
      <c r="R186" t="str">
        <f t="shared" si="23"/>
        <v>Convertible</v>
      </c>
    </row>
    <row r="187" spans="1:18" x14ac:dyDescent="0.25">
      <c r="A187">
        <f>'Ajoneuvorekisteri-Parse Modern '!AO203</f>
        <v>3394863</v>
      </c>
      <c r="B187" t="str">
        <f>'Ajoneuvorekisteri-Parse Modern '!AN203</f>
        <v>SAJAA43P57</v>
      </c>
      <c r="C187" t="str">
        <f t="shared" si="16"/>
        <v>UNKNOWN: [prefix=SAJAA]</v>
      </c>
      <c r="D187" t="str">
        <f t="shared" si="17"/>
        <v>UNKNOWN: [4=A]</v>
      </c>
      <c r="E187" t="str">
        <f t="shared" si="18"/>
        <v>X150_2007MY</v>
      </c>
      <c r="F187" t="str" cm="1">
        <f t="array" ref="F187">_xlfn.LET(_xlpm.v,UPPER(SUBSTITUTE(CLEAN(TRIM(B187)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X150_2007MY_MARKET_A_TRANS_A_BODY_43_EMISSION_P_CHECK_5</v>
      </c>
      <c r="G187" t="str" cm="1">
        <f t="array" ref="G187">_xlfn.LET(_xlpm.vin,SUBSTITUTE(CLEAN(TRIM(B187)),CHAR(160),""),_xlpm.rawDate,LEFT(TRIM(H187)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187">
        <f>'Ajoneuvorekisteri-Parse Modern '!G203</f>
        <v>20060622</v>
      </c>
      <c r="I187" t="str">
        <f>LEFT(Table3[[#This Row],[Käyttöönotto]],4)</f>
        <v>2006</v>
      </c>
      <c r="J187" t="str">
        <f>'Ajoneuvorekisteri-Parse Modern '!AA203</f>
        <v>XK Coup� (AD) 2ov 4190cm3 A</v>
      </c>
      <c r="K187" t="str">
        <f>Ajoneuvorekisteri_Parse_Modern_XK_Range_TieliikenneAvoinData_30_06_2026_csv[[#This Row],[tyyppihyvaksyntanro]]</f>
        <v>e11*2001/116*0272*02</v>
      </c>
      <c r="L187">
        <f>'Ajoneuvorekisteri-Parse Modern '!M203</f>
        <v>1720</v>
      </c>
      <c r="M187">
        <f t="shared" si="19"/>
        <v>1</v>
      </c>
      <c r="N187">
        <f t="shared" si="20"/>
        <v>0</v>
      </c>
      <c r="O187">
        <f t="shared" si="21"/>
        <v>1</v>
      </c>
      <c r="P187">
        <f t="shared" si="22"/>
        <v>0</v>
      </c>
      <c r="Q187">
        <f>IF(AND(Table3[[#This Row],[Coupe]]&lt;&gt;1, Table3[[#This Row],[Convertible]]&lt;&gt;1), 1, 0)</f>
        <v>0</v>
      </c>
      <c r="R187" t="str">
        <f t="shared" si="23"/>
        <v>Coupe</v>
      </c>
    </row>
    <row r="188" spans="1:18" x14ac:dyDescent="0.25">
      <c r="A188">
        <f>'Ajoneuvorekisteri-Parse Modern '!AO239</f>
        <v>4126118</v>
      </c>
      <c r="B188" t="str">
        <f>'Ajoneuvorekisteri-Parse Modern '!AN239</f>
        <v>SAJAA44P67</v>
      </c>
      <c r="C188" t="str">
        <f t="shared" si="16"/>
        <v>UNKNOWN: [prefix=SAJAA]</v>
      </c>
      <c r="D188" t="str">
        <f t="shared" si="17"/>
        <v>UNKNOWN: [4=A]</v>
      </c>
      <c r="E188" t="str">
        <f t="shared" si="18"/>
        <v>X150_2007MY</v>
      </c>
      <c r="F188" t="str" cm="1">
        <f t="array" ref="F188">_xlfn.LET(_xlpm.v,UPPER(SUBSTITUTE(CLEAN(TRIM(B188)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X150_2007MY_MARKET_A_TRANS_A_BODY_44_EMISSION_P_CHECK_6</v>
      </c>
      <c r="G188" t="str" cm="1">
        <f t="array" ref="G188">_xlfn.LET(_xlpm.vin,SUBSTITUTE(CLEAN(TRIM(B188)),CHAR(160),""),_xlpm.rawDate,LEFT(TRIM(H188)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188">
        <f>'Ajoneuvorekisteri-Parse Modern '!G239</f>
        <v>20060622</v>
      </c>
      <c r="I188" t="str">
        <f>LEFT(Table3[[#This Row],[Käyttöönotto]],4)</f>
        <v>2006</v>
      </c>
      <c r="J188" t="str">
        <f>'Ajoneuvorekisteri-Parse Modern '!AA239</f>
        <v>XK Avoauto (AE) 2ov 4190cm3 A</v>
      </c>
      <c r="K188" t="str">
        <f>Ajoneuvorekisteri_Parse_Modern_XK_Range_TieliikenneAvoinData_30_06_2026_csv[[#This Row],[tyyppihyvaksyntanro]]</f>
        <v>e11*2001/116*0272*00</v>
      </c>
      <c r="L188">
        <f>'Ajoneuvorekisteri-Parse Modern '!M239</f>
        <v>1735</v>
      </c>
      <c r="M188">
        <f t="shared" si="19"/>
        <v>1</v>
      </c>
      <c r="N188">
        <f t="shared" si="20"/>
        <v>0</v>
      </c>
      <c r="O188">
        <f t="shared" si="21"/>
        <v>0</v>
      </c>
      <c r="P188">
        <f t="shared" si="22"/>
        <v>1</v>
      </c>
      <c r="Q188">
        <f>IF(AND(Table3[[#This Row],[Coupe]]&lt;&gt;1, Table3[[#This Row],[Convertible]]&lt;&gt;1), 1, 0)</f>
        <v>0</v>
      </c>
      <c r="R188" t="str">
        <f t="shared" si="23"/>
        <v>Convertible</v>
      </c>
    </row>
    <row r="189" spans="1:18" x14ac:dyDescent="0.25">
      <c r="A189">
        <f>'Ajoneuvorekisteri-Parse Modern '!AO129</f>
        <v>2533914</v>
      </c>
      <c r="B189" t="str">
        <f>'Ajoneuvorekisteri-Parse Modern '!AN129</f>
        <v>SAJAA43P57</v>
      </c>
      <c r="C189" t="str">
        <f t="shared" si="16"/>
        <v>UNKNOWN: [prefix=SAJAA]</v>
      </c>
      <c r="D189" t="str">
        <f t="shared" si="17"/>
        <v>UNKNOWN: [4=A]</v>
      </c>
      <c r="E189" t="str">
        <f t="shared" si="18"/>
        <v>X150_2007MY</v>
      </c>
      <c r="F189" t="str" cm="1">
        <f t="array" ref="F189">_xlfn.LET(_xlpm.v,UPPER(SUBSTITUTE(CLEAN(TRIM(B189)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X150_2007MY_MARKET_A_TRANS_A_BODY_43_EMISSION_P_CHECK_5</v>
      </c>
      <c r="G189" t="str" cm="1">
        <f t="array" ref="G189">_xlfn.LET(_xlpm.vin,SUBSTITUTE(CLEAN(TRIM(B189)),CHAR(160),""),_xlpm.rawDate,LEFT(TRIM(H189)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189">
        <f>'Ajoneuvorekisteri-Parse Modern '!G129</f>
        <v>20060628</v>
      </c>
      <c r="I189" t="str">
        <f>LEFT(Table3[[#This Row],[Käyttöönotto]],4)</f>
        <v>2006</v>
      </c>
      <c r="J189" t="str">
        <f>'Ajoneuvorekisteri-Parse Modern '!AA129</f>
        <v>XK Coup� (AD) 2ov 4190cm3</v>
      </c>
      <c r="K189" t="str">
        <f>Ajoneuvorekisteri_Parse_Modern_XK_Range_TieliikenneAvoinData_30_06_2026_csv[[#This Row],[tyyppihyvaksyntanro]]</f>
        <v>e11*2001/116*0272*01</v>
      </c>
      <c r="L189">
        <f>'Ajoneuvorekisteri-Parse Modern '!M129</f>
        <v>1720</v>
      </c>
      <c r="M189">
        <f t="shared" si="19"/>
        <v>1</v>
      </c>
      <c r="N189">
        <f t="shared" si="20"/>
        <v>0</v>
      </c>
      <c r="O189">
        <f t="shared" si="21"/>
        <v>1</v>
      </c>
      <c r="P189">
        <f t="shared" si="22"/>
        <v>0</v>
      </c>
      <c r="Q189">
        <f>IF(AND(Table3[[#This Row],[Coupe]]&lt;&gt;1, Table3[[#This Row],[Convertible]]&lt;&gt;1), 1, 0)</f>
        <v>0</v>
      </c>
      <c r="R189" t="str">
        <f t="shared" si="23"/>
        <v>Coupe</v>
      </c>
    </row>
    <row r="190" spans="1:18" x14ac:dyDescent="0.25">
      <c r="A190">
        <f>'Ajoneuvorekisteri-Parse Modern '!AO71</f>
        <v>1942934</v>
      </c>
      <c r="B190" t="str">
        <f>'Ajoneuvorekisteri-Parse Modern '!AN71</f>
        <v>SAJAA43P27</v>
      </c>
      <c r="C190" t="str">
        <f t="shared" si="16"/>
        <v>UNKNOWN: [prefix=SAJAA]</v>
      </c>
      <c r="D190" t="str">
        <f t="shared" si="17"/>
        <v>UNKNOWN: [4=A]</v>
      </c>
      <c r="E190" t="str">
        <f t="shared" si="18"/>
        <v>X150_2007MY</v>
      </c>
      <c r="F190" t="str" cm="1">
        <f t="array" ref="F190">_xlfn.LET(_xlpm.v,UPPER(SUBSTITUTE(CLEAN(TRIM(B190)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X150_2007MY_MARKET_A_TRANS_A_BODY_43_EMISSION_P_CHECK_2</v>
      </c>
      <c r="G190" t="str" cm="1">
        <f t="array" ref="G190">_xlfn.LET(_xlpm.vin,SUBSTITUTE(CLEAN(TRIM(B190)),CHAR(160),""),_xlpm.rawDate,LEFT(TRIM(H190)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190">
        <f>'Ajoneuvorekisteri-Parse Modern '!G71</f>
        <v>20060629</v>
      </c>
      <c r="I190" t="str">
        <f>LEFT(Table3[[#This Row],[Käyttöönotto]],4)</f>
        <v>2006</v>
      </c>
      <c r="J190" t="str">
        <f>'Ajoneuvorekisteri-Parse Modern '!AA71</f>
        <v>XK Coup� (AD) 2ov 4190cm3 A</v>
      </c>
      <c r="K190" t="str">
        <f>Ajoneuvorekisteri_Parse_Modern_XK_Range_TieliikenneAvoinData_30_06_2026_csv[[#This Row],[tyyppihyvaksyntanro]]</f>
        <v>e11*2001/116*0272*00</v>
      </c>
      <c r="L190">
        <f>'Ajoneuvorekisteri-Parse Modern '!M71</f>
        <v>1720</v>
      </c>
      <c r="M190">
        <f t="shared" si="19"/>
        <v>1</v>
      </c>
      <c r="N190">
        <f t="shared" si="20"/>
        <v>0</v>
      </c>
      <c r="O190">
        <f t="shared" si="21"/>
        <v>1</v>
      </c>
      <c r="P190">
        <f t="shared" si="22"/>
        <v>0</v>
      </c>
      <c r="Q190">
        <f>IF(AND(Table3[[#This Row],[Coupe]]&lt;&gt;1, Table3[[#This Row],[Convertible]]&lt;&gt;1), 1, 0)</f>
        <v>0</v>
      </c>
      <c r="R190" t="str">
        <f t="shared" si="23"/>
        <v>Coupe</v>
      </c>
    </row>
    <row r="191" spans="1:18" x14ac:dyDescent="0.25">
      <c r="A191">
        <f>'Ajoneuvorekisteri-Parse Modern '!AO79</f>
        <v>2042807</v>
      </c>
      <c r="B191" t="str">
        <f>'Ajoneuvorekisteri-Parse Modern '!AN79</f>
        <v>SAJAA43P17</v>
      </c>
      <c r="C191" t="str">
        <f t="shared" si="16"/>
        <v>UNKNOWN: [prefix=SAJAA]</v>
      </c>
      <c r="D191" t="str">
        <f t="shared" si="17"/>
        <v>UNKNOWN: [4=A]</v>
      </c>
      <c r="E191" t="str">
        <f t="shared" si="18"/>
        <v>X150_2007MY</v>
      </c>
      <c r="F191" t="str" cm="1">
        <f t="array" ref="F191">_xlfn.LET(_xlpm.v,UPPER(SUBSTITUTE(CLEAN(TRIM(B191)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X150_2007MY_MARKET_A_TRANS_A_BODY_43_EMISSION_P_CHECK_1</v>
      </c>
      <c r="G191" t="str" cm="1">
        <f t="array" ref="G191">_xlfn.LET(_xlpm.vin,SUBSTITUTE(CLEAN(TRIM(B191)),CHAR(160),""),_xlpm.rawDate,LEFT(TRIM(H191)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191">
        <f>'Ajoneuvorekisteri-Parse Modern '!G79</f>
        <v>20060629</v>
      </c>
      <c r="I191" t="str">
        <f>LEFT(Table3[[#This Row],[Käyttöönotto]],4)</f>
        <v>2006</v>
      </c>
      <c r="J191" t="str">
        <f>'Ajoneuvorekisteri-Parse Modern '!AA79</f>
        <v>XK Coup� (AD) 2ov 4196cm3 A</v>
      </c>
      <c r="K191" t="str">
        <f>Ajoneuvorekisteri_Parse_Modern_XK_Range_TieliikenneAvoinData_30_06_2026_csv[[#This Row],[tyyppihyvaksyntanro]]</f>
        <v/>
      </c>
      <c r="L191">
        <f>'Ajoneuvorekisteri-Parse Modern '!M79</f>
        <v>1720</v>
      </c>
      <c r="M191">
        <f t="shared" si="19"/>
        <v>1</v>
      </c>
      <c r="N191">
        <f t="shared" si="20"/>
        <v>0</v>
      </c>
      <c r="O191">
        <f t="shared" si="21"/>
        <v>1</v>
      </c>
      <c r="P191">
        <f t="shared" si="22"/>
        <v>0</v>
      </c>
      <c r="Q191">
        <f>IF(AND(Table3[[#This Row],[Coupe]]&lt;&gt;1, Table3[[#This Row],[Convertible]]&lt;&gt;1), 1, 0)</f>
        <v>0</v>
      </c>
      <c r="R191" t="str">
        <f t="shared" si="23"/>
        <v>Coupe</v>
      </c>
    </row>
    <row r="192" spans="1:18" x14ac:dyDescent="0.25">
      <c r="A192">
        <f>'Ajoneuvorekisteri-Parse Modern '!AO181</f>
        <v>3157590</v>
      </c>
      <c r="B192" t="str">
        <f>'Ajoneuvorekisteri-Parse Modern '!AN181</f>
        <v>SAJAA43P97</v>
      </c>
      <c r="C192" t="str">
        <f t="shared" si="16"/>
        <v>UNKNOWN: [prefix=SAJAA]</v>
      </c>
      <c r="D192" t="str">
        <f t="shared" si="17"/>
        <v>UNKNOWN: [4=A]</v>
      </c>
      <c r="E192" t="str">
        <f t="shared" si="18"/>
        <v>X150_2007MY</v>
      </c>
      <c r="F192" t="str" cm="1">
        <f t="array" ref="F192">_xlfn.LET(_xlpm.v,UPPER(SUBSTITUTE(CLEAN(TRIM(B192)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X150_2007MY_MARKET_A_TRANS_A_BODY_43_EMISSION_P_CHECK_9</v>
      </c>
      <c r="G192" t="str" cm="1">
        <f t="array" ref="G192">_xlfn.LET(_xlpm.vin,SUBSTITUTE(CLEAN(TRIM(B192)),CHAR(160),""),_xlpm.rawDate,LEFT(TRIM(H192)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192">
        <f>'Ajoneuvorekisteri-Parse Modern '!G181</f>
        <v>20060721</v>
      </c>
      <c r="I192" t="str">
        <f>LEFT(Table3[[#This Row],[Käyttöönotto]],4)</f>
        <v>2006</v>
      </c>
      <c r="J192" t="str">
        <f>'Ajoneuvorekisteri-Parse Modern '!AA181</f>
        <v>XK Coup� (AD) 2ov 4190cm3 A</v>
      </c>
      <c r="K192" t="str">
        <f>Ajoneuvorekisteri_Parse_Modern_XK_Range_TieliikenneAvoinData_30_06_2026_csv[[#This Row],[tyyppihyvaksyntanro]]</f>
        <v>e11*2001/116*0272*01</v>
      </c>
      <c r="L192">
        <f>'Ajoneuvorekisteri-Parse Modern '!M181</f>
        <v>1720</v>
      </c>
      <c r="M192">
        <f t="shared" si="19"/>
        <v>1</v>
      </c>
      <c r="N192">
        <f t="shared" si="20"/>
        <v>0</v>
      </c>
      <c r="O192">
        <f t="shared" si="21"/>
        <v>1</v>
      </c>
      <c r="P192">
        <f t="shared" si="22"/>
        <v>0</v>
      </c>
      <c r="Q192">
        <f>IF(AND(Table3[[#This Row],[Coupe]]&lt;&gt;1, Table3[[#This Row],[Convertible]]&lt;&gt;1), 1, 0)</f>
        <v>0</v>
      </c>
      <c r="R192" t="str">
        <f t="shared" si="23"/>
        <v>Coupe</v>
      </c>
    </row>
    <row r="193" spans="1:18" x14ac:dyDescent="0.25">
      <c r="A193">
        <f>'Ajoneuvorekisteri-Parse Modern '!AO150</f>
        <v>2701447</v>
      </c>
      <c r="B193" t="str">
        <f>'Ajoneuvorekisteri-Parse Modern '!AN150</f>
        <v>SAJAA43P27</v>
      </c>
      <c r="C193" t="str">
        <f t="shared" si="16"/>
        <v>UNKNOWN: [prefix=SAJAA]</v>
      </c>
      <c r="D193" t="str">
        <f t="shared" si="17"/>
        <v>UNKNOWN: [4=A]</v>
      </c>
      <c r="E193" t="str">
        <f t="shared" si="18"/>
        <v>X150_2007MY</v>
      </c>
      <c r="F193" t="str" cm="1">
        <f t="array" ref="F193">_xlfn.LET(_xlpm.v,UPPER(SUBSTITUTE(CLEAN(TRIM(B193)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X150_2007MY_MARKET_A_TRANS_A_BODY_43_EMISSION_P_CHECK_2</v>
      </c>
      <c r="G193" t="str" cm="1">
        <f t="array" ref="G193">_xlfn.LET(_xlpm.vin,SUBSTITUTE(CLEAN(TRIM(B193)),CHAR(160),""),_xlpm.rawDate,LEFT(TRIM(H193)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193">
        <f>'Ajoneuvorekisteri-Parse Modern '!G150</f>
        <v>20060831</v>
      </c>
      <c r="I193" t="str">
        <f>LEFT(Table3[[#This Row],[Käyttöönotto]],4)</f>
        <v>2006</v>
      </c>
      <c r="J193" t="str">
        <f>'Ajoneuvorekisteri-Parse Modern '!AA150</f>
        <v>XK Coup� (AD) 2ov 4196cm3 A</v>
      </c>
      <c r="K193" t="str">
        <f>Ajoneuvorekisteri_Parse_Modern_XK_Range_TieliikenneAvoinData_30_06_2026_csv[[#This Row],[tyyppihyvaksyntanro]]</f>
        <v/>
      </c>
      <c r="L193">
        <f>'Ajoneuvorekisteri-Parse Modern '!M150</f>
        <v>1720</v>
      </c>
      <c r="M193">
        <f t="shared" si="19"/>
        <v>1</v>
      </c>
      <c r="N193">
        <f t="shared" si="20"/>
        <v>0</v>
      </c>
      <c r="O193">
        <f t="shared" si="21"/>
        <v>1</v>
      </c>
      <c r="P193">
        <f t="shared" si="22"/>
        <v>0</v>
      </c>
      <c r="Q193">
        <f>IF(AND(Table3[[#This Row],[Coupe]]&lt;&gt;1, Table3[[#This Row],[Convertible]]&lt;&gt;1), 1, 0)</f>
        <v>0</v>
      </c>
      <c r="R193" t="str">
        <f t="shared" si="23"/>
        <v>Coupe</v>
      </c>
    </row>
    <row r="194" spans="1:18" x14ac:dyDescent="0.25">
      <c r="A194">
        <f>'Ajoneuvorekisteri-Parse Modern '!AO18</f>
        <v>608560</v>
      </c>
      <c r="B194" t="str">
        <f>'Ajoneuvorekisteri-Parse Modern '!AN18</f>
        <v>SAJAA44PX7</v>
      </c>
      <c r="C194" t="str">
        <f t="shared" ref="C194:C257" si="24">_xlfn.LET(_xlpm.v,SUBSTITUTE(CLEAN(TRIM(B194)),CHAR(160),""),IF(AND(LEN(_xlpm.v)=10,LEFT(_xlpm.v,5)="SAJJG",OR(MID(_xlpm.v,7,1)="E",MID(_xlpm.v,7,1)="F"),OR(MID(_xlpm.v,8,1)="D",MID(_xlpm.v,8,1)="F"),OR(MID(_xlpm.v,9,1)="3",MID(_xlpm.v,9,1)="4"),MID(_xlpm.v,10,1)="A"),"X100_EARLY_NORMAL_AR (JDHT)",IF(AND(LEN(_xlpm.v)=10,LEFT(_xlpm.v,5)="SAJJG",MID(_xlpm.v,6,1)="A",OR(MID(_xlpm.v,7,1)="E",MID(_xlpm.v,7,1)="F"),MID(_xlpm.v,8,1)="D",OR(MID(_xlpm.v,9,1)="3",MID(_xlpm.v,9,1)="4"),OR(MID(_xlpm.v,10,1)="V",MID(_xlpm.v,10,1)="W",MID(_xlpm.v,10,1)="X")),"X100_NORMAL (JDHT)",IF(AND(LEN(_xlpm.v)=10,LEFT(_xlpm.v,5)="SAJJG",OR(MID(_xlpm.v,6,1)="A",MID(_xlpm.v,6,1)="K",MID(_xlpm.v,6,1)="N",MID(_xlpm.v,6,1)="X"),OR(MID(_xlpm.v,7,1)="E",MID(_xlpm.v,7,1)="F"),OR(MID(_xlpm.v,8,1)="D",MID(_xlpm.v,8,1)="F"),OR(MID(_xlpm.v,9,1)="3",MID(_xlpm.v,9,1)="4"),OR(MID(_xlpm.v,10,1)="V",MID(_xlpm.v,10,1)="W",MID(_xlpm.v,10,1)="X")),"X100_JLM20300",IF(AND(LEN(_xlpm.v)=10,LEFT(_xlpm.v,5)="SAJJG",OR(MID(_xlpm.v,6,1)="N",MID(_xlpm.v,6,1)="S",MID(_xlpm.v,6,1)="X"),OR(MID(_xlpm.v,7,1)="E",MID(_xlpm.v,7,1)="F"),OR(MID(_xlpm.v,8,1)="D",MID(_xlpm.v,8,1)="F"),OR(MID(_xlpm.v,9,1)="3",MID(_xlpm.v,9,1)="4"),OR(MID(_xlpm.v,10,1)="V",MID(_xlpm.v,10,1)="W",MID(_xlpm.v,10,1)="X")),"X100_JLM20301",IF(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(JLM20301_unique)","UNKNOWN: ["&amp;IF(LEN(_xlpm.v)&lt;&gt;10,"length="&amp;LEN(_xlpm.v),"")&amp;IF(AND(LEN(_xlpm.v)=10,LEFT(_xlpm.v,5)&lt;&gt;"SAJJG",LEFT(_xlpm.v,5)&lt;&gt;"SAJGX"),"prefix="&amp;LEFT(_xlpm.v,5),"")&amp;IF(AND(LEN(_xlpm.v)=10,LEFT(_xlpm.v,5)="SAJJG",NOT(OR(MID(_xlpm.v,7,1)="E",MID(_xlpm.v,7,1)="F"))),"7="&amp;MID(_xlpm.v,7,1),"")&amp;IF(AND(LEN(_xlpm.v)=10,LEFT(_xlpm.v,5)="SAJJG",NOT(OR(MID(_xlpm.v,8,1)="D",MID(_xlpm.v,8,1)="F"))),"8="&amp;MID(_xlpm.v,8,1),"")&amp;IF(AND(LEN(_xlpm.v)=10,LEFT(_xlpm.v,5)="SAJJG",NOT(OR(MID(_xlpm.v,9,1)="3",MID(_xlpm.v,9,1)="4"))),"9="&amp;MID(_xlpm.v,9,1),"")&amp;IF(AND(LEN(_xlpm.v)=10,LEFT(_xlpm.v,5)="SAJJG",NOT(OR(MID(_xlpm.v,10,1)="A",MID(_xlpm.v,10,1)="V",MID(_xlpm.v,10,1)="W",MID(_xlpm.v,10,1)="X"))),"10="&amp;MID(_xlpm.v,10,1),"")&amp;IF(AND(LEN(_xlpm.v)=10,LEFT(_xlpm.v,5)="SAJGX",NOT(OR(MID(_xlpm.v,6,1)="2",MID(_xlpm.v,6,1)="5"))),"6="&amp;MID(_xlpm.v,6,1),"")&amp;IF(AND(LEN(_xlpm.v)=10,LEFT(_xlpm.v,5)="SAJGX",NOT(OR(MID(_xlpm.v,7,1)="1",MID(_xlpm.v,7,1)="2",MID(_xlpm.v,7,1)="7"))),"7="&amp;MID(_xlpm.v,7,1),"")&amp;IF(AND(LEN(_xlpm.v)=10,LEFT(_xlpm.v,5)="SAJGX",OR(MID(_xlpm.v,7,1)="1",MID(_xlpm.v,7,1)="2",MID(_xlpm.v,7,1)="7"),MID(_xlpm.v,8,1)&lt;&gt;"4"),"8="&amp;MID(_xlpm.v,8,1),"")&amp;"]"))))))</f>
        <v>UNKNOWN: [prefix=SAJAA]</v>
      </c>
      <c r="D194" t="str">
        <f t="shared" ref="D194:D257" si="25">_xlfn.LET(_xlpm.vinx,SUBSTITUTE(CLEAN(TRIM(B194)),CHAR(160),""),_xlpm.mkt,MID(_xlpm.vinx,4,1),_xlpm.trans,MID(_xlpm.vinx,5,1),_xlpm.body,MID(_xlpm.vinx,6,2),_xlpm.emis,MID(_xlpm.vinx,8,1),_xlpm.my,MID(_xlpm.vinx,10,1),IF(LEN(_xlpm.vinx)&lt;&gt;10,"UNKNOWN: [length="&amp;LEN(_xlpm.vinx)&amp;"]",IF(LEFT(_xlpm.vinx,3)&lt;&gt;"SAJ","UNKNOWN: [prefix="&amp;LEFT(_xlpm.vinx,3)&amp;"]",IF(NOT(ISNUMBER(FIND(_xlpm.mkt,"BFGXPRTYDEJW"))),"UNKNOWN: [4="&amp;_xlpm.mkt&amp;"]",IF(NOT(OR(_xlpm.trans="A",_xlpm.trans="B")),"UNKNOWN: [5="&amp;_xlpm.trans&amp;"]",IF(NOT(OR(_xlpm.body="41",_xlpm.body="42")),"UNKNOWN: [6-7="&amp;_xlpm.body&amp;"]",IF(OR(CODE(_xlpm.emis)&lt;65,CODE(_xlpm.emis)&gt;88),"UNKNOWN: [8="&amp;_xlpm.emis&amp;"]",IF(NOT(OR(_xlpm.my="X",_xlpm.my="Y",_xlpm.my="1",_xlpm.my="2",_xlpm.my="3",_xlpm.my="4",_xlpm.my="5",_xlpm.my="6",_xlpm.my="7",_xlpm.my="8",_xlpm.my="9")),"UNKNOWN: [10="&amp;_xlpm.my&amp;"]","XK8-XKR_"&amp;IF(_xlpm.body="41","COUPE","CONVERTIBLE")&amp;"_"&amp;IF(ISNUMBER(FIND(_xlpm.mkt,"DEJW")),"USA",IF(ISNUMBER(FIND(_xlpm.mkt,"BFGX")),"CANADA","MEXICO"))&amp;"_"&amp;IF(_xlpm.trans="A","AUTO_LHD","MANUAL_LHD")&amp;"_EMISSION_"&amp;_xlpm.emis&amp;"_"&amp;IF(_xlpm.my="X","1999",IF(_xlpm.my="Y","2000","20"&amp;_xlpm.my))&amp;"MY"))))))))</f>
        <v>UNKNOWN: [4=A]</v>
      </c>
      <c r="E194" t="str">
        <f t="shared" ref="E194:E257" si="26">_xlfn.LET(_xlpm.vin,UPPER(SUBSTITUTE(CLEAN(TRIM(B194)),CHAR(160),"")),_xlpm.mkt,MID(_xlpm.vin,4,1),_xlpm.trn,MID(_xlpm.vin,5,1),_xlpm.body,MID(_xlpm.vin,6,2),_xlpm.ems,MID(_xlpm.vin,8,1),_xlpm.myc,MID(_xlpm.vin,10,1),IF(AND(LEN(_xlpm.vin)=10,LEFT(_xlpm.vin,3)="SAJ",OR(_xlpm.mkt="A",_xlpm.mkt="B",_xlpm.mkt="D",_xlpm.mkt="E",_xlpm.mkt="F",_xlpm.mkt="J",_xlpm.mkt="K",_xlpm.mkt="P",_xlpm.mkt="R",_xlpm.mkt="W",_xlpm.mkt="X",_xlpm.mkt="Y"),OR(_xlpm.trn="A",_xlpm.trn="C"),OR(_xlpm.body="43",_xlpm.body="4D",_xlpm.body="44",_xlpm.body="4E",_xlpm.body="45",_xlpm.body="4F",_xlpm.body="46",_xlpm.body="4G",_xlpm.body="47"),OR(_xlpm.ems="A",_xlpm.ems="B",_xlpm.ems="C",_xlpm.ems="D",_xlpm.ems="E",_xlpm.ems="F",_xlpm.ems="G",_xlpm.ems="K",_xlpm.ems="N",_xlpm.ems="P",_xlpm.ems="R",_xlpm.ems="S",_xlpm.ems="T",_xlpm.ems="U",_xlpm.ems="V",_xlpm.ems="W",_xlpm.ems="X",_xlpm.ems="Y",_xlpm.ems="1",_xlpm.ems="2",_xlpm.ems="3",_xlpm.ems="4"),OR(_xlpm.myc="7",_xlpm.myc="8",_xlpm.myc="9",_xlpm.myc="A",_xlpm.myc="B",_xlpm.myc="C",_xlpm.myc="D",_xlpm.myc="E")),"X150_"&amp;IF(_xlpm.myc="7","2007MY",IF(_xlpm.myc="8","2008MY",IF(_xlpm.myc="9","2009MY",IF(_xlpm.myc="A","2010MY",IF(_xlpm.myc="B","2011MY",IF(_xlpm.myc="C","2012MY",IF(_xlpm.myc="D","2013MY",IF(_xlpm.myc="E","2014MY","UNKNOWN")))))))),"UNKNOWN"))</f>
        <v>X150_2007MY</v>
      </c>
      <c r="F194" t="str" cm="1">
        <f t="array" ref="F194">_xlfn.LET(_xlpm.v,UPPER(SUBSTITUTE(CLEAN(TRIM(B194)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X150_2007MY_MARKET_A_TRANS_A_BODY_44_EMISSION_P_CHECK_X</v>
      </c>
      <c r="G194" t="str" cm="1">
        <f t="array" ref="G194">_xlfn.LET(_xlpm.vin,SUBSTITUTE(CLEAN(TRIM(B194)),CHAR(160),""),_xlpm.rawDate,LEFT(TRIM(H194)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194">
        <f>'Ajoneuvorekisteri-Parse Modern '!G18</f>
        <v>20061005</v>
      </c>
      <c r="I194" t="str">
        <f>LEFT(Table3[[#This Row],[Käyttöönotto]],4)</f>
        <v>2006</v>
      </c>
      <c r="J194" t="str">
        <f>'Ajoneuvorekisteri-Parse Modern '!AA18</f>
        <v>2D CONVERTIBLE XK 4.2 AUTOMATIC QQ6/275</v>
      </c>
      <c r="K194" t="str">
        <f>Ajoneuvorekisteri_Parse_Modern_XK_Range_TieliikenneAvoinData_30_06_2026_csv[[#This Row],[tyyppihyvaksyntanro]]</f>
        <v>e11*2001/116*0272*01</v>
      </c>
      <c r="L194">
        <f>'Ajoneuvorekisteri-Parse Modern '!M18</f>
        <v>1735</v>
      </c>
      <c r="M194">
        <f t="shared" ref="M194:M257" si="27">IF(AND(
    OR(
        ISNUMBER(SEARCH("XK ", J194)),
        ISNUMBER(SEARCH("XK8", J194))
    ),
    I194 &gt; 2005
), 1, 0)</f>
        <v>1</v>
      </c>
      <c r="N194">
        <f t="shared" ref="N194:N257" si="28">IF(OR(
    ISNUMBER(SEARCH("XKR", J194)),
), 1, 0)</f>
        <v>0</v>
      </c>
      <c r="O194">
        <f t="shared" ref="O194:O257" si="29">IF(OR(
    ISNUMBER(SEARCH("COUPE", J194)),
    ISNUMBER(SEARCH("COUPÉ", J194)),
    ISNUMBER(SEARCH("COUP�", J194))
), 1, 0)</f>
        <v>0</v>
      </c>
      <c r="P194">
        <f t="shared" ref="P194:P257" si="30">IF(OR(
    ISNUMBER(SEARCH("CONVERTIBLE",J194)),
    ISNUMBER(SEARCH("AVOAUTO",J194)),
    ISNUMBER(SEARCH("AVO",J194)),
    ISNUMBER(SEARCH("CABRIO",J194))
),1,0)</f>
        <v>1</v>
      </c>
      <c r="Q194">
        <f>IF(AND(Table3[[#This Row],[Coupe]]&lt;&gt;1, Table3[[#This Row],[Convertible]]&lt;&gt;1), 1, 0)</f>
        <v>0</v>
      </c>
      <c r="R194" t="str">
        <f t="shared" ref="R194:R257" si="31">IF(O194=1, "Coupe", IF(P194=1, "Convertible", "Unknown"))</f>
        <v>Convertible</v>
      </c>
    </row>
    <row r="195" spans="1:18" x14ac:dyDescent="0.25">
      <c r="A195">
        <f>'Ajoneuvorekisteri-Parse Modern '!AO172</f>
        <v>2968213</v>
      </c>
      <c r="B195" t="str">
        <f>'Ajoneuvorekisteri-Parse Modern '!AN172</f>
        <v>SAJAA43P57</v>
      </c>
      <c r="C195" t="str">
        <f t="shared" si="24"/>
        <v>UNKNOWN: [prefix=SAJAA]</v>
      </c>
      <c r="D195" t="str">
        <f t="shared" si="25"/>
        <v>UNKNOWN: [4=A]</v>
      </c>
      <c r="E195" t="str">
        <f t="shared" si="26"/>
        <v>X150_2007MY</v>
      </c>
      <c r="F195" t="str" cm="1">
        <f t="array" ref="F195">_xlfn.LET(_xlpm.v,UPPER(SUBSTITUTE(CLEAN(TRIM(B195)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X150_2007MY_MARKET_A_TRANS_A_BODY_43_EMISSION_P_CHECK_5</v>
      </c>
      <c r="G195" t="str" cm="1">
        <f t="array" ref="G195">_xlfn.LET(_xlpm.vin,SUBSTITUTE(CLEAN(TRIM(B195)),CHAR(160),""),_xlpm.rawDate,LEFT(TRIM(H195)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195">
        <f>'Ajoneuvorekisteri-Parse Modern '!G172</f>
        <v>20061009</v>
      </c>
      <c r="I195" t="str">
        <f>LEFT(Table3[[#This Row],[Käyttöönotto]],4)</f>
        <v>2006</v>
      </c>
      <c r="J195" t="str">
        <f>'Ajoneuvorekisteri-Parse Modern '!AA172</f>
        <v>XK Coup� (AD) 2ov 4190cm3</v>
      </c>
      <c r="K195" t="str">
        <f>Ajoneuvorekisteri_Parse_Modern_XK_Range_TieliikenneAvoinData_30_06_2026_csv[[#This Row],[tyyppihyvaksyntanro]]</f>
        <v>e11*2001/116*0272*03</v>
      </c>
      <c r="L195">
        <f>'Ajoneuvorekisteri-Parse Modern '!M172</f>
        <v>1720</v>
      </c>
      <c r="M195">
        <f t="shared" si="27"/>
        <v>1</v>
      </c>
      <c r="N195">
        <f t="shared" si="28"/>
        <v>0</v>
      </c>
      <c r="O195">
        <f t="shared" si="29"/>
        <v>1</v>
      </c>
      <c r="P195">
        <f t="shared" si="30"/>
        <v>0</v>
      </c>
      <c r="Q195">
        <f>IF(AND(Table3[[#This Row],[Coupe]]&lt;&gt;1, Table3[[#This Row],[Convertible]]&lt;&gt;1), 1, 0)</f>
        <v>0</v>
      </c>
      <c r="R195" t="str">
        <f t="shared" si="31"/>
        <v>Coupe</v>
      </c>
    </row>
    <row r="196" spans="1:18" x14ac:dyDescent="0.25">
      <c r="A196">
        <f>'Ajoneuvorekisteri-Parse Modern '!AO192</f>
        <v>3275914</v>
      </c>
      <c r="B196" t="str">
        <f>'Ajoneuvorekisteri-Parse Modern '!AN192</f>
        <v>SAJAA43P77</v>
      </c>
      <c r="C196" t="str">
        <f t="shared" si="24"/>
        <v>UNKNOWN: [prefix=SAJAA]</v>
      </c>
      <c r="D196" t="str">
        <f t="shared" si="25"/>
        <v>UNKNOWN: [4=A]</v>
      </c>
      <c r="E196" t="str">
        <f t="shared" si="26"/>
        <v>X150_2007MY</v>
      </c>
      <c r="F196" t="str" cm="1">
        <f t="array" ref="F196">_xlfn.LET(_xlpm.v,UPPER(SUBSTITUTE(CLEAN(TRIM(B196)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X150_2007MY_MARKET_A_TRANS_A_BODY_43_EMISSION_P_CHECK_7</v>
      </c>
      <c r="G196" t="str" cm="1">
        <f t="array" ref="G196">_xlfn.LET(_xlpm.vin,SUBSTITUTE(CLEAN(TRIM(B196)),CHAR(160),""),_xlpm.rawDate,LEFT(TRIM(H196)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196">
        <f>'Ajoneuvorekisteri-Parse Modern '!G192</f>
        <v>20061011</v>
      </c>
      <c r="I196" t="str">
        <f>LEFT(Table3[[#This Row],[Käyttöönotto]],4)</f>
        <v>2006</v>
      </c>
      <c r="J196" t="str">
        <f>'Ajoneuvorekisteri-Parse Modern '!AA192</f>
        <v>Jaguar XK Coupe Coup� (AD) 2ov 4196cm3 A</v>
      </c>
      <c r="K196" t="str">
        <f>Ajoneuvorekisteri_Parse_Modern_XK_Range_TieliikenneAvoinData_30_06_2026_csv[[#This Row],[tyyppihyvaksyntanro]]</f>
        <v/>
      </c>
      <c r="L196">
        <f>'Ajoneuvorekisteri-Parse Modern '!M192</f>
        <v>1720</v>
      </c>
      <c r="M196">
        <f t="shared" si="27"/>
        <v>1</v>
      </c>
      <c r="N196">
        <f t="shared" si="28"/>
        <v>0</v>
      </c>
      <c r="O196">
        <f t="shared" si="29"/>
        <v>1</v>
      </c>
      <c r="P196">
        <f t="shared" si="30"/>
        <v>0</v>
      </c>
      <c r="Q196">
        <f>IF(AND(Table3[[#This Row],[Coupe]]&lt;&gt;1, Table3[[#This Row],[Convertible]]&lt;&gt;1), 1, 0)</f>
        <v>0</v>
      </c>
      <c r="R196" t="str">
        <f t="shared" si="31"/>
        <v>Coupe</v>
      </c>
    </row>
    <row r="197" spans="1:18" x14ac:dyDescent="0.25">
      <c r="A197">
        <f>'Ajoneuvorekisteri-Parse Modern '!AO160</f>
        <v>2837836</v>
      </c>
      <c r="B197" t="str">
        <f>'Ajoneuvorekisteri-Parse Modern '!AN160</f>
        <v>SAJAA44P77</v>
      </c>
      <c r="C197" t="str">
        <f t="shared" si="24"/>
        <v>UNKNOWN: [prefix=SAJAA]</v>
      </c>
      <c r="D197" t="str">
        <f t="shared" si="25"/>
        <v>UNKNOWN: [4=A]</v>
      </c>
      <c r="E197" t="str">
        <f t="shared" si="26"/>
        <v>X150_2007MY</v>
      </c>
      <c r="F197" t="str" cm="1">
        <f t="array" ref="F197">_xlfn.LET(_xlpm.v,UPPER(SUBSTITUTE(CLEAN(TRIM(B197)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X150_2007MY_MARKET_A_TRANS_A_BODY_44_EMISSION_P_CHECK_7</v>
      </c>
      <c r="G197" t="str" cm="1">
        <f t="array" ref="G197">_xlfn.LET(_xlpm.vin,SUBSTITUTE(CLEAN(TRIM(B197)),CHAR(160),""),_xlpm.rawDate,LEFT(TRIM(H197)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197">
        <f>'Ajoneuvorekisteri-Parse Modern '!G160</f>
        <v>20061013</v>
      </c>
      <c r="I197" t="str">
        <f>LEFT(Table3[[#This Row],[Käyttöönotto]],4)</f>
        <v>2006</v>
      </c>
      <c r="J197" t="str">
        <f>'Ajoneuvorekisteri-Parse Modern '!AA160</f>
        <v>XK Avoauto (AE) 2ov 4190cm3 A</v>
      </c>
      <c r="K197" t="str">
        <f>Ajoneuvorekisteri_Parse_Modern_XK_Range_TieliikenneAvoinData_30_06_2026_csv[[#This Row],[tyyppihyvaksyntanro]]</f>
        <v>e11*2001/116*0272*07</v>
      </c>
      <c r="L197">
        <f>'Ajoneuvorekisteri-Parse Modern '!M160</f>
        <v>1735</v>
      </c>
      <c r="M197">
        <f t="shared" si="27"/>
        <v>1</v>
      </c>
      <c r="N197">
        <f t="shared" si="28"/>
        <v>0</v>
      </c>
      <c r="O197">
        <f t="shared" si="29"/>
        <v>0</v>
      </c>
      <c r="P197">
        <f t="shared" si="30"/>
        <v>1</v>
      </c>
      <c r="Q197">
        <f>IF(AND(Table3[[#This Row],[Coupe]]&lt;&gt;1, Table3[[#This Row],[Convertible]]&lt;&gt;1), 1, 0)</f>
        <v>0</v>
      </c>
      <c r="R197" t="str">
        <f t="shared" si="31"/>
        <v>Convertible</v>
      </c>
    </row>
    <row r="198" spans="1:18" x14ac:dyDescent="0.25">
      <c r="A198">
        <f>'Ajoneuvorekisteri-Parse Modern '!AO199</f>
        <v>3358627</v>
      </c>
      <c r="B198" t="str">
        <f>'Ajoneuvorekisteri-Parse Modern '!AN199</f>
        <v>SAJAA43P47</v>
      </c>
      <c r="C198" t="str">
        <f t="shared" si="24"/>
        <v>UNKNOWN: [prefix=SAJAA]</v>
      </c>
      <c r="D198" t="str">
        <f t="shared" si="25"/>
        <v>UNKNOWN: [4=A]</v>
      </c>
      <c r="E198" t="str">
        <f t="shared" si="26"/>
        <v>X150_2007MY</v>
      </c>
      <c r="F198" t="str" cm="1">
        <f t="array" ref="F198">_xlfn.LET(_xlpm.v,UPPER(SUBSTITUTE(CLEAN(TRIM(B198)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X150_2007MY_MARKET_A_TRANS_A_BODY_43_EMISSION_P_CHECK_4</v>
      </c>
      <c r="G198" t="str" cm="1">
        <f t="array" ref="G198">_xlfn.LET(_xlpm.vin,SUBSTITUTE(CLEAN(TRIM(B198)),CHAR(160),""),_xlpm.rawDate,LEFT(TRIM(H198)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198">
        <f>'Ajoneuvorekisteri-Parse Modern '!G199</f>
        <v>20061030</v>
      </c>
      <c r="I198" t="str">
        <f>LEFT(Table3[[#This Row],[Käyttöönotto]],4)</f>
        <v>2006</v>
      </c>
      <c r="J198" t="str">
        <f>'Ajoneuvorekisteri-Parse Modern '!AA199</f>
        <v>XK Coup� (AD) 2ov 4190cm3 A</v>
      </c>
      <c r="K198" t="str">
        <f>Ajoneuvorekisteri_Parse_Modern_XK_Range_TieliikenneAvoinData_30_06_2026_csv[[#This Row],[tyyppihyvaksyntanro]]</f>
        <v/>
      </c>
      <c r="L198">
        <f>'Ajoneuvorekisteri-Parse Modern '!M199</f>
        <v>1720</v>
      </c>
      <c r="M198">
        <f t="shared" si="27"/>
        <v>1</v>
      </c>
      <c r="N198">
        <f t="shared" si="28"/>
        <v>0</v>
      </c>
      <c r="O198">
        <f t="shared" si="29"/>
        <v>1</v>
      </c>
      <c r="P198">
        <f t="shared" si="30"/>
        <v>0</v>
      </c>
      <c r="Q198">
        <f>IF(AND(Table3[[#This Row],[Coupe]]&lt;&gt;1, Table3[[#This Row],[Convertible]]&lt;&gt;1), 1, 0)</f>
        <v>0</v>
      </c>
      <c r="R198" t="str">
        <f t="shared" si="31"/>
        <v>Coupe</v>
      </c>
    </row>
    <row r="199" spans="1:18" x14ac:dyDescent="0.25">
      <c r="A199">
        <f>'Ajoneuvorekisteri-Parse Modern '!AO121</f>
        <v>2489110</v>
      </c>
      <c r="B199" t="str">
        <f>'Ajoneuvorekisteri-Parse Modern '!AN121</f>
        <v>SAJAA44R87</v>
      </c>
      <c r="C199" t="str">
        <f t="shared" si="24"/>
        <v>UNKNOWN: [prefix=SAJAA]</v>
      </c>
      <c r="D199" t="str">
        <f t="shared" si="25"/>
        <v>UNKNOWN: [4=A]</v>
      </c>
      <c r="E199" t="str">
        <f t="shared" si="26"/>
        <v>X150_2007MY</v>
      </c>
      <c r="F199" t="str" cm="1">
        <f t="array" ref="F199">_xlfn.LET(_xlpm.v,UPPER(SUBSTITUTE(CLEAN(TRIM(B199)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X150_2007MY_MARKET_A_TRANS_A_BODY_44_EMISSION_R_CHECK_8</v>
      </c>
      <c r="G199" t="str" cm="1">
        <f t="array" ref="G199">_xlfn.LET(_xlpm.vin,SUBSTITUTE(CLEAN(TRIM(B199)),CHAR(160),""),_xlpm.rawDate,LEFT(TRIM(H199)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199">
        <f>'Ajoneuvorekisteri-Parse Modern '!G121</f>
        <v>20061130</v>
      </c>
      <c r="I199" t="str">
        <f>LEFT(Table3[[#This Row],[Käyttöönotto]],4)</f>
        <v>2006</v>
      </c>
      <c r="J199" t="str">
        <f>'Ajoneuvorekisteri-Parse Modern '!AA121</f>
        <v>XK Avoauto (AE) 2ov 4190cm3 A</v>
      </c>
      <c r="K199" t="str">
        <f>Ajoneuvorekisteri_Parse_Modern_XK_Range_TieliikenneAvoinData_30_06_2026_csv[[#This Row],[tyyppihyvaksyntanro]]</f>
        <v>e11*2001/116*0272*01</v>
      </c>
      <c r="L199">
        <f>'Ajoneuvorekisteri-Parse Modern '!M121</f>
        <v>1785</v>
      </c>
      <c r="M199">
        <f t="shared" si="27"/>
        <v>1</v>
      </c>
      <c r="N199">
        <f t="shared" si="28"/>
        <v>0</v>
      </c>
      <c r="O199">
        <f t="shared" si="29"/>
        <v>0</v>
      </c>
      <c r="P199">
        <f t="shared" si="30"/>
        <v>1</v>
      </c>
      <c r="Q199">
        <f>IF(AND(Table3[[#This Row],[Coupe]]&lt;&gt;1, Table3[[#This Row],[Convertible]]&lt;&gt;1), 1, 0)</f>
        <v>0</v>
      </c>
      <c r="R199" t="str">
        <f t="shared" si="31"/>
        <v>Convertible</v>
      </c>
    </row>
    <row r="200" spans="1:18" x14ac:dyDescent="0.25">
      <c r="A200">
        <f>'Ajoneuvorekisteri-Parse Modern '!AO162</f>
        <v>2847660</v>
      </c>
      <c r="B200" t="str">
        <f>'Ajoneuvorekisteri-Parse Modern '!AN162</f>
        <v>SAJAA44R37</v>
      </c>
      <c r="C200" t="str">
        <f t="shared" si="24"/>
        <v>UNKNOWN: [prefix=SAJAA]</v>
      </c>
      <c r="D200" t="str">
        <f t="shared" si="25"/>
        <v>UNKNOWN: [4=A]</v>
      </c>
      <c r="E200" t="str">
        <f t="shared" si="26"/>
        <v>X150_2007MY</v>
      </c>
      <c r="F200" t="str" cm="1">
        <f t="array" ref="F200">_xlfn.LET(_xlpm.v,UPPER(SUBSTITUTE(CLEAN(TRIM(B200)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X150_2007MY_MARKET_A_TRANS_A_BODY_44_EMISSION_R_CHECK_3</v>
      </c>
      <c r="G200" t="str" cm="1">
        <f t="array" ref="G200">_xlfn.LET(_xlpm.vin,SUBSTITUTE(CLEAN(TRIM(B200)),CHAR(160),""),_xlpm.rawDate,LEFT(TRIM(H200)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200">
        <f>'Ajoneuvorekisteri-Parse Modern '!G162</f>
        <v>20061130</v>
      </c>
      <c r="I200" t="str">
        <f>LEFT(Table3[[#This Row],[Käyttöönotto]],4)</f>
        <v>2006</v>
      </c>
      <c r="J200" t="str">
        <f>'Ajoneuvorekisteri-Parse Modern '!AA162</f>
        <v>XK Avoauto (AE) 2ov 4190cm3 A</v>
      </c>
      <c r="K200" t="str">
        <f>Ajoneuvorekisteri_Parse_Modern_XK_Range_TieliikenneAvoinData_30_06_2026_csv[[#This Row],[tyyppihyvaksyntanro]]</f>
        <v/>
      </c>
      <c r="L200">
        <f>'Ajoneuvorekisteri-Parse Modern '!M162</f>
        <v>1785</v>
      </c>
      <c r="M200">
        <f t="shared" si="27"/>
        <v>1</v>
      </c>
      <c r="N200">
        <f t="shared" si="28"/>
        <v>0</v>
      </c>
      <c r="O200">
        <f t="shared" si="29"/>
        <v>0</v>
      </c>
      <c r="P200">
        <f t="shared" si="30"/>
        <v>1</v>
      </c>
      <c r="Q200">
        <f>IF(AND(Table3[[#This Row],[Coupe]]&lt;&gt;1, Table3[[#This Row],[Convertible]]&lt;&gt;1), 1, 0)</f>
        <v>0</v>
      </c>
      <c r="R200" t="str">
        <f t="shared" si="31"/>
        <v>Convertible</v>
      </c>
    </row>
    <row r="201" spans="1:18" x14ac:dyDescent="0.25">
      <c r="A201">
        <f>'Ajoneuvorekisteri-Parse Modern '!AO194</f>
        <v>3290322</v>
      </c>
      <c r="B201" t="str">
        <f>'Ajoneuvorekisteri-Parse Modern '!AN194</f>
        <v>SAJAA43R87</v>
      </c>
      <c r="C201" t="str">
        <f t="shared" si="24"/>
        <v>UNKNOWN: [prefix=SAJAA]</v>
      </c>
      <c r="D201" t="str">
        <f t="shared" si="25"/>
        <v>UNKNOWN: [4=A]</v>
      </c>
      <c r="E201" t="str">
        <f t="shared" si="26"/>
        <v>X150_2007MY</v>
      </c>
      <c r="F201" t="str" cm="1">
        <f t="array" ref="F201">_xlfn.LET(_xlpm.v,UPPER(SUBSTITUTE(CLEAN(TRIM(B201)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X150_2007MY_MARKET_A_TRANS_A_BODY_43_EMISSION_R_CHECK_8</v>
      </c>
      <c r="G201" t="str" cm="1">
        <f t="array" ref="G201">_xlfn.LET(_xlpm.vin,SUBSTITUTE(CLEAN(TRIM(B201)),CHAR(160),""),_xlpm.rawDate,LEFT(TRIM(H201)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201">
        <f>'Ajoneuvorekisteri-Parse Modern '!G194</f>
        <v>20061220</v>
      </c>
      <c r="I201" t="str">
        <f>LEFT(Table3[[#This Row],[Käyttöönotto]],4)</f>
        <v>2006</v>
      </c>
      <c r="J201" t="str">
        <f>'Ajoneuvorekisteri-Parse Modern '!AA194</f>
        <v>XKR Coup� (AD) 2ov 4190cm3</v>
      </c>
      <c r="K201" t="str">
        <f>Ajoneuvorekisteri_Parse_Modern_XK_Range_TieliikenneAvoinData_30_06_2026_csv[[#This Row],[tyyppihyvaksyntanro]]</f>
        <v>e11*95/54*0061*03</v>
      </c>
      <c r="L201">
        <f>'Ajoneuvorekisteri-Parse Modern '!M194</f>
        <v>1770</v>
      </c>
      <c r="M201">
        <f t="shared" si="27"/>
        <v>0</v>
      </c>
      <c r="N201">
        <f t="shared" si="28"/>
        <v>1</v>
      </c>
      <c r="O201">
        <f t="shared" si="29"/>
        <v>1</v>
      </c>
      <c r="P201">
        <f t="shared" si="30"/>
        <v>0</v>
      </c>
      <c r="Q201">
        <f>IF(AND(Table3[[#This Row],[Coupe]]&lt;&gt;1, Table3[[#This Row],[Convertible]]&lt;&gt;1), 1, 0)</f>
        <v>0</v>
      </c>
      <c r="R201" t="str">
        <f t="shared" si="31"/>
        <v>Coupe</v>
      </c>
    </row>
    <row r="202" spans="1:18" x14ac:dyDescent="0.25">
      <c r="A202">
        <f>'Ajoneuvorekisteri-Parse Modern '!AO206</f>
        <v>3408637</v>
      </c>
      <c r="B202" t="str">
        <f>'Ajoneuvorekisteri-Parse Modern '!AN206</f>
        <v>SAJAA43RX7</v>
      </c>
      <c r="C202" t="str">
        <f t="shared" si="24"/>
        <v>UNKNOWN: [prefix=SAJAA]</v>
      </c>
      <c r="D202" t="str">
        <f t="shared" si="25"/>
        <v>UNKNOWN: [4=A]</v>
      </c>
      <c r="E202" t="str">
        <f t="shared" si="26"/>
        <v>X150_2007MY</v>
      </c>
      <c r="F202" t="str" cm="1">
        <f t="array" ref="F202">_xlfn.LET(_xlpm.v,UPPER(SUBSTITUTE(CLEAN(TRIM(B202)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X150_2007MY_MARKET_A_TRANS_A_BODY_43_EMISSION_R_CHECK_X</v>
      </c>
      <c r="G202" t="str" cm="1">
        <f t="array" ref="G202">_xlfn.LET(_xlpm.vin,SUBSTITUTE(CLEAN(TRIM(B202)),CHAR(160),""),_xlpm.rawDate,LEFT(TRIM(H202)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202">
        <f>'Ajoneuvorekisteri-Parse Modern '!G206</f>
        <v>20061220</v>
      </c>
      <c r="I202" t="str">
        <f>LEFT(Table3[[#This Row],[Käyttöönotto]],4)</f>
        <v>2006</v>
      </c>
      <c r="J202" t="str">
        <f>'Ajoneuvorekisteri-Parse Modern '!AA206</f>
        <v>XKR COUPE Coup� (AD) 2ov 4196cm3 A</v>
      </c>
      <c r="K202" t="str">
        <f>Ajoneuvorekisteri_Parse_Modern_XK_Range_TieliikenneAvoinData_30_06_2026_csv[[#This Row],[tyyppihyvaksyntanro]]</f>
        <v/>
      </c>
      <c r="L202">
        <f>'Ajoneuvorekisteri-Parse Modern '!M206</f>
        <v>1770</v>
      </c>
      <c r="M202">
        <f t="shared" si="27"/>
        <v>0</v>
      </c>
      <c r="N202">
        <f t="shared" si="28"/>
        <v>1</v>
      </c>
      <c r="O202">
        <f t="shared" si="29"/>
        <v>1</v>
      </c>
      <c r="P202">
        <f t="shared" si="30"/>
        <v>0</v>
      </c>
      <c r="Q202">
        <f>IF(AND(Table3[[#This Row],[Coupe]]&lt;&gt;1, Table3[[#This Row],[Convertible]]&lt;&gt;1), 1, 0)</f>
        <v>0</v>
      </c>
      <c r="R202" t="str">
        <f t="shared" si="31"/>
        <v>Coupe</v>
      </c>
    </row>
    <row r="203" spans="1:18" x14ac:dyDescent="0.25">
      <c r="A203">
        <f>'Ajoneuvorekisteri-Parse Modern '!AO72</f>
        <v>1943688</v>
      </c>
      <c r="B203" t="str">
        <f>'Ajoneuvorekisteri-Parse Modern '!AN246</f>
        <v>SAJAA44F47</v>
      </c>
      <c r="C203" t="str">
        <f t="shared" si="24"/>
        <v>UNKNOWN: [prefix=SAJAA]</v>
      </c>
      <c r="D203" t="str">
        <f t="shared" si="25"/>
        <v>UNKNOWN: [4=A]</v>
      </c>
      <c r="E203" t="str">
        <f t="shared" si="26"/>
        <v>X150_2007MY</v>
      </c>
      <c r="F203" t="str" cm="1">
        <f t="array" ref="F203">_xlfn.LET(_xlpm.v,UPPER(SUBSTITUTE(CLEAN(TRIM(B203)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X150_2007MY_MARKET_A_TRANS_A_BODY_44_EMISSION_F_CHECK_4</v>
      </c>
      <c r="G203" t="str" cm="1">
        <f t="array" ref="G203">_xlfn.LET(_xlpm.vin,SUBSTITUTE(CLEAN(TRIM(B203)),CHAR(160),""),_xlpm.rawDate,LEFT(TRIM(H203)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203">
        <f>'Ajoneuvorekisteri-Parse Modern '!G246</f>
        <v>20070000</v>
      </c>
      <c r="I203" t="str">
        <f>LEFT(Table3[[#This Row],[Käyttöönotto]],4)</f>
        <v>2007</v>
      </c>
      <c r="J203" t="str">
        <f>'Ajoneuvorekisteri-Parse Modern '!AA246</f>
        <v>XK Avoauto (AE) 2ov 4190cm3 A</v>
      </c>
      <c r="K203" t="str">
        <f>Ajoneuvorekisteri_Parse_Modern_XK_Range_TieliikenneAvoinData_30_06_2026_csv[[#This Row],[tyyppihyvaksyntanro]]</f>
        <v/>
      </c>
      <c r="L203">
        <f>'Ajoneuvorekisteri-Parse Modern '!M246</f>
        <v>1815</v>
      </c>
      <c r="M203">
        <f t="shared" si="27"/>
        <v>1</v>
      </c>
      <c r="N203">
        <f t="shared" si="28"/>
        <v>0</v>
      </c>
      <c r="O203">
        <f t="shared" si="29"/>
        <v>0</v>
      </c>
      <c r="P203">
        <f t="shared" si="30"/>
        <v>1</v>
      </c>
      <c r="Q203">
        <f>IF(AND(Table3[[#This Row],[Coupe]]&lt;&gt;1, Table3[[#This Row],[Convertible]]&lt;&gt;1), 1, 0)</f>
        <v>0</v>
      </c>
      <c r="R203" t="str">
        <f t="shared" si="31"/>
        <v>Convertible</v>
      </c>
    </row>
    <row r="204" spans="1:18" x14ac:dyDescent="0.25">
      <c r="A204">
        <f>'Ajoneuvorekisteri-Parse Modern '!AO74</f>
        <v>1949855</v>
      </c>
      <c r="B204" t="str">
        <f>'Ajoneuvorekisteri-Parse Modern '!AN256</f>
        <v>SAJFA44B17</v>
      </c>
      <c r="C204" t="str">
        <f t="shared" si="24"/>
        <v>UNKNOWN: [prefix=SAJFA]</v>
      </c>
      <c r="D204" t="str">
        <f t="shared" si="25"/>
        <v>UNKNOWN: [6-7=44]</v>
      </c>
      <c r="E204" t="str">
        <f t="shared" si="26"/>
        <v>X150_2007MY</v>
      </c>
      <c r="F204" t="str" cm="1">
        <f t="array" ref="F204">_xlfn.LET(_xlpm.v,UPPER(SUBSTITUTE(CLEAN(TRIM(B204)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X150_2007MY_MARKET_F_TRANS_A_BODY_44_EMISSION_B_CHECK_1</v>
      </c>
      <c r="G204" t="str" cm="1">
        <f t="array" ref="G204">_xlfn.LET(_xlpm.vin,SUBSTITUTE(CLEAN(TRIM(B204)),CHAR(160),""),_xlpm.rawDate,LEFT(TRIM(H204)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204">
        <f>'Ajoneuvorekisteri-Parse Modern '!G256</f>
        <v>20070000</v>
      </c>
      <c r="I204" t="str">
        <f>LEFT(Table3[[#This Row],[Käyttöönotto]],4)</f>
        <v>2007</v>
      </c>
      <c r="J204" t="str">
        <f>'Ajoneuvorekisteri-Parse Modern '!AA256</f>
        <v>XK Avoauto (AE) 2ov 4190cm3 A</v>
      </c>
      <c r="K204" t="str">
        <f>Ajoneuvorekisteri_Parse_Modern_XK_Range_TieliikenneAvoinData_30_06_2026_csv[[#This Row],[tyyppihyvaksyntanro]]</f>
        <v>e11*2001/116*0272*01</v>
      </c>
      <c r="L204">
        <f>'Ajoneuvorekisteri-Parse Modern '!M256</f>
        <v>1735</v>
      </c>
      <c r="M204">
        <f t="shared" si="27"/>
        <v>1</v>
      </c>
      <c r="N204">
        <f t="shared" si="28"/>
        <v>0</v>
      </c>
      <c r="O204">
        <f t="shared" si="29"/>
        <v>0</v>
      </c>
      <c r="P204">
        <f t="shared" si="30"/>
        <v>1</v>
      </c>
      <c r="Q204">
        <f>IF(AND(Table3[[#This Row],[Coupe]]&lt;&gt;1, Table3[[#This Row],[Convertible]]&lt;&gt;1), 1, 0)</f>
        <v>0</v>
      </c>
      <c r="R204" t="str">
        <f t="shared" si="31"/>
        <v>Convertible</v>
      </c>
    </row>
    <row r="205" spans="1:18" x14ac:dyDescent="0.25">
      <c r="A205">
        <f>'Ajoneuvorekisteri-Parse Modern '!AO216</f>
        <v>3590269</v>
      </c>
      <c r="B205" t="str">
        <f>'Ajoneuvorekisteri-Parse Modern '!AN254</f>
        <v>SAJWA43C77</v>
      </c>
      <c r="C205" t="str">
        <f t="shared" si="24"/>
        <v>UNKNOWN: [prefix=SAJWA]</v>
      </c>
      <c r="D205" t="str">
        <f t="shared" si="25"/>
        <v>UNKNOWN: [6-7=43]</v>
      </c>
      <c r="E205" t="str">
        <f t="shared" si="26"/>
        <v>X150_2007MY</v>
      </c>
      <c r="F205" t="str" cm="1">
        <f t="array" ref="F205">_xlfn.LET(_xlpm.v,UPPER(SUBSTITUTE(CLEAN(TRIM(B205)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X150_2007MY_MARKET_W_TRANS_A_BODY_43_EMISSION_C_CHECK_7</v>
      </c>
      <c r="G205" t="str" cm="1">
        <f t="array" ref="G205">_xlfn.LET(_xlpm.vin,SUBSTITUTE(CLEAN(TRIM(B205)),CHAR(160),""),_xlpm.rawDate,LEFT(TRIM(H205)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205">
        <f>'Ajoneuvorekisteri-Parse Modern '!G254</f>
        <v>20070000</v>
      </c>
      <c r="I205" t="str">
        <f>LEFT(Table3[[#This Row],[Käyttöönotto]],4)</f>
        <v>2007</v>
      </c>
      <c r="J205" t="str">
        <f>'Ajoneuvorekisteri-Parse Modern '!AA254</f>
        <v>XK Coup� (AD) 2ov 4200cm3 A</v>
      </c>
      <c r="K205" t="str">
        <f>Ajoneuvorekisteri_Parse_Modern_XK_Range_TieliikenneAvoinData_30_06_2026_csv[[#This Row],[tyyppihyvaksyntanro]]</f>
        <v>e11*2001/116*0272*01</v>
      </c>
      <c r="L205">
        <f>'Ajoneuvorekisteri-Parse Modern '!M254</f>
        <v>1595</v>
      </c>
      <c r="M205">
        <f t="shared" si="27"/>
        <v>1</v>
      </c>
      <c r="N205">
        <f t="shared" si="28"/>
        <v>0</v>
      </c>
      <c r="O205">
        <f t="shared" si="29"/>
        <v>1</v>
      </c>
      <c r="P205">
        <f t="shared" si="30"/>
        <v>0</v>
      </c>
      <c r="Q205">
        <f>IF(AND(Table3[[#This Row],[Coupe]]&lt;&gt;1, Table3[[#This Row],[Convertible]]&lt;&gt;1), 1, 0)</f>
        <v>0</v>
      </c>
      <c r="R205" t="str">
        <f t="shared" si="31"/>
        <v>Coupe</v>
      </c>
    </row>
    <row r="206" spans="1:18" x14ac:dyDescent="0.25">
      <c r="A206">
        <f>'Ajoneuvorekisteri-Parse Modern '!AO251</f>
        <v>4608297</v>
      </c>
      <c r="B206" t="str">
        <f>'Ajoneuvorekisteri-Parse Modern '!AN216</f>
        <v>SAJWA43C87</v>
      </c>
      <c r="C206" t="str">
        <f t="shared" si="24"/>
        <v>UNKNOWN: [prefix=SAJWA]</v>
      </c>
      <c r="D206" t="str">
        <f t="shared" si="25"/>
        <v>UNKNOWN: [6-7=43]</v>
      </c>
      <c r="E206" t="str">
        <f t="shared" si="26"/>
        <v>X150_2007MY</v>
      </c>
      <c r="F206" t="str" cm="1">
        <f t="array" ref="F206">_xlfn.LET(_xlpm.v,UPPER(SUBSTITUTE(CLEAN(TRIM(B206)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X150_2007MY_MARKET_W_TRANS_A_BODY_43_EMISSION_C_CHECK_8</v>
      </c>
      <c r="G206" t="str" cm="1">
        <f t="array" ref="G206">_xlfn.LET(_xlpm.vin,SUBSTITUTE(CLEAN(TRIM(B206)),CHAR(160),""),_xlpm.rawDate,LEFT(TRIM(H206)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206">
        <f>'Ajoneuvorekisteri-Parse Modern '!G216</f>
        <v>20070000</v>
      </c>
      <c r="I206" t="str">
        <f>LEFT(Table3[[#This Row],[Käyttöönotto]],4)</f>
        <v>2007</v>
      </c>
      <c r="J206" t="str">
        <f>'Ajoneuvorekisteri-Parse Modern '!AA216</f>
        <v>XKR COUPE Coup� (AD) 2ov 4196cm3 A</v>
      </c>
      <c r="K206" t="str">
        <f>Ajoneuvorekisteri_Parse_Modern_XK_Range_TieliikenneAvoinData_30_06_2026_csv[[#This Row],[tyyppihyvaksyntanro]]</f>
        <v>e11*2001/116*0272*01</v>
      </c>
      <c r="L206">
        <f>'Ajoneuvorekisteri-Parse Modern '!M216</f>
        <v>1770</v>
      </c>
      <c r="M206">
        <f t="shared" si="27"/>
        <v>0</v>
      </c>
      <c r="N206">
        <f t="shared" si="28"/>
        <v>1</v>
      </c>
      <c r="O206">
        <f t="shared" si="29"/>
        <v>1</v>
      </c>
      <c r="P206">
        <f t="shared" si="30"/>
        <v>0</v>
      </c>
      <c r="Q206">
        <f>IF(AND(Table3[[#This Row],[Coupe]]&lt;&gt;1, Table3[[#This Row],[Convertible]]&lt;&gt;1), 1, 0)</f>
        <v>0</v>
      </c>
      <c r="R206" t="str">
        <f t="shared" si="31"/>
        <v>Coupe</v>
      </c>
    </row>
    <row r="207" spans="1:18" x14ac:dyDescent="0.25">
      <c r="A207">
        <f>'Ajoneuvorekisteri-Parse Modern '!AO69</f>
        <v>1879806</v>
      </c>
      <c r="B207" t="str">
        <f>'Ajoneuvorekisteri-Parse Modern '!AN242</f>
        <v>SAJDA44B37</v>
      </c>
      <c r="C207" t="str">
        <f t="shared" si="24"/>
        <v>UNKNOWN: [prefix=SAJDA]</v>
      </c>
      <c r="D207" t="str">
        <f t="shared" si="25"/>
        <v>UNKNOWN: [6-7=44]</v>
      </c>
      <c r="E207" t="str">
        <f t="shared" si="26"/>
        <v>X150_2007MY</v>
      </c>
      <c r="F207" t="str" cm="1">
        <f t="array" ref="F207">_xlfn.LET(_xlpm.v,UPPER(SUBSTITUTE(CLEAN(TRIM(B207)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X150_2007MY_MARKET_D_TRANS_A_BODY_44_EMISSION_B_CHECK_3</v>
      </c>
      <c r="G207" t="str" cm="1">
        <f t="array" ref="G207">_xlfn.LET(_xlpm.vin,SUBSTITUTE(CLEAN(TRIM(B207)),CHAR(160),""),_xlpm.rawDate,LEFT(TRIM(H207)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207">
        <f>'Ajoneuvorekisteri-Parse Modern '!G242</f>
        <v>20070101</v>
      </c>
      <c r="I207" t="str">
        <f>LEFT(Table3[[#This Row],[Käyttöönotto]],4)</f>
        <v>2007</v>
      </c>
      <c r="J207" t="str">
        <f>'Ajoneuvorekisteri-Parse Modern '!AA242</f>
        <v>XK Avoauto (AE) 2ov 4190cm3 A</v>
      </c>
      <c r="K207" t="str">
        <f>Ajoneuvorekisteri_Parse_Modern_XK_Range_TieliikenneAvoinData_30_06_2026_csv[[#This Row],[tyyppihyvaksyntanro]]</f>
        <v/>
      </c>
      <c r="L207">
        <f>'Ajoneuvorekisteri-Parse Modern '!M242</f>
        <v>1735</v>
      </c>
      <c r="M207">
        <f t="shared" si="27"/>
        <v>1</v>
      </c>
      <c r="N207">
        <f t="shared" si="28"/>
        <v>0</v>
      </c>
      <c r="O207">
        <f t="shared" si="29"/>
        <v>0</v>
      </c>
      <c r="P207">
        <f t="shared" si="30"/>
        <v>1</v>
      </c>
      <c r="Q207">
        <f>IF(AND(Table3[[#This Row],[Coupe]]&lt;&gt;1, Table3[[#This Row],[Convertible]]&lt;&gt;1), 1, 0)</f>
        <v>0</v>
      </c>
      <c r="R207" t="str">
        <f t="shared" si="31"/>
        <v>Convertible</v>
      </c>
    </row>
    <row r="208" spans="1:18" x14ac:dyDescent="0.25">
      <c r="A208">
        <f>'Ajoneuvorekisteri-Parse Modern '!AO3</f>
        <v>78053</v>
      </c>
      <c r="B208" t="str">
        <f>'Ajoneuvorekisteri-Parse Modern '!AN25</f>
        <v>SAJAA44P57</v>
      </c>
      <c r="C208" t="str">
        <f t="shared" si="24"/>
        <v>UNKNOWN: [prefix=SAJAA]</v>
      </c>
      <c r="D208" t="str">
        <f t="shared" si="25"/>
        <v>UNKNOWN: [4=A]</v>
      </c>
      <c r="E208" t="str">
        <f t="shared" si="26"/>
        <v>X150_2007MY</v>
      </c>
      <c r="F208" t="str" cm="1">
        <f t="array" ref="F208">_xlfn.LET(_xlpm.v,UPPER(SUBSTITUTE(CLEAN(TRIM(B208)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X150_2007MY_MARKET_A_TRANS_A_BODY_44_EMISSION_P_CHECK_5</v>
      </c>
      <c r="G208" t="str" cm="1">
        <f t="array" ref="G208">_xlfn.LET(_xlpm.vin,SUBSTITUTE(CLEAN(TRIM(B208)),CHAR(160),""),_xlpm.rawDate,LEFT(TRIM(H208)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208">
        <f>'Ajoneuvorekisteri-Parse Modern '!G25</f>
        <v>20070116</v>
      </c>
      <c r="I208" t="str">
        <f>LEFT(Table3[[#This Row],[Käyttöönotto]],4)</f>
        <v>2007</v>
      </c>
      <c r="J208" t="str">
        <f>'Ajoneuvorekisteri-Parse Modern '!AA25</f>
        <v>2D CONVERTIBLE XK 4.2 AUTOMATIC QQ6/275</v>
      </c>
      <c r="K208" t="str">
        <f>Ajoneuvorekisteri_Parse_Modern_XK_Range_TieliikenneAvoinData_30_06_2026_csv[[#This Row],[tyyppihyvaksyntanro]]</f>
        <v/>
      </c>
      <c r="L208">
        <f>'Ajoneuvorekisteri-Parse Modern '!M25</f>
        <v>1735</v>
      </c>
      <c r="M208">
        <f t="shared" si="27"/>
        <v>1</v>
      </c>
      <c r="N208">
        <f t="shared" si="28"/>
        <v>0</v>
      </c>
      <c r="O208">
        <f t="shared" si="29"/>
        <v>0</v>
      </c>
      <c r="P208">
        <f t="shared" si="30"/>
        <v>1</v>
      </c>
      <c r="Q208">
        <f>IF(AND(Table3[[#This Row],[Coupe]]&lt;&gt;1, Table3[[#This Row],[Convertible]]&lt;&gt;1), 1, 0)</f>
        <v>0</v>
      </c>
      <c r="R208" t="str">
        <f t="shared" si="31"/>
        <v>Convertible</v>
      </c>
    </row>
    <row r="209" spans="1:18" x14ac:dyDescent="0.25">
      <c r="A209">
        <f>'Ajoneuvorekisteri-Parse Modern '!AO246</f>
        <v>4280591</v>
      </c>
      <c r="B209" t="str">
        <f>'Ajoneuvorekisteri-Parse Modern '!AN196</f>
        <v>SAJWA43C67</v>
      </c>
      <c r="C209" t="str">
        <f t="shared" si="24"/>
        <v>UNKNOWN: [prefix=SAJWA]</v>
      </c>
      <c r="D209" t="str">
        <f t="shared" si="25"/>
        <v>UNKNOWN: [6-7=43]</v>
      </c>
      <c r="E209" t="str">
        <f t="shared" si="26"/>
        <v>X150_2007MY</v>
      </c>
      <c r="F209" t="str" cm="1">
        <f t="array" ref="F209">_xlfn.LET(_xlpm.v,UPPER(SUBSTITUTE(CLEAN(TRIM(B209)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X150_2007MY_MARKET_W_TRANS_A_BODY_43_EMISSION_C_CHECK_6</v>
      </c>
      <c r="G209" t="str" cm="1">
        <f t="array" ref="G209">_xlfn.LET(_xlpm.vin,SUBSTITUTE(CLEAN(TRIM(B209)),CHAR(160),""),_xlpm.rawDate,LEFT(TRIM(H209)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209">
        <f>'Ajoneuvorekisteri-Parse Modern '!G196</f>
        <v>20070130</v>
      </c>
      <c r="I209" t="str">
        <f>LEFT(Table3[[#This Row],[Käyttöönotto]],4)</f>
        <v>2007</v>
      </c>
      <c r="J209" t="str">
        <f>'Ajoneuvorekisteri-Parse Modern '!AA196</f>
        <v>XKR Coupe Coup� (AD) 2ov 4196cm3 A</v>
      </c>
      <c r="K209" t="str">
        <f>Ajoneuvorekisteri_Parse_Modern_XK_Range_TieliikenneAvoinData_30_06_2026_csv[[#This Row],[tyyppihyvaksyntanro]]</f>
        <v/>
      </c>
      <c r="L209">
        <f>'Ajoneuvorekisteri-Parse Modern '!M196</f>
        <v>1760</v>
      </c>
      <c r="M209">
        <f t="shared" si="27"/>
        <v>0</v>
      </c>
      <c r="N209">
        <f t="shared" si="28"/>
        <v>1</v>
      </c>
      <c r="O209">
        <f t="shared" si="29"/>
        <v>1</v>
      </c>
      <c r="P209">
        <f t="shared" si="30"/>
        <v>0</v>
      </c>
      <c r="Q209">
        <f>IF(AND(Table3[[#This Row],[Coupe]]&lt;&gt;1, Table3[[#This Row],[Convertible]]&lt;&gt;1), 1, 0)</f>
        <v>0</v>
      </c>
      <c r="R209" t="str">
        <f t="shared" si="31"/>
        <v>Coupe</v>
      </c>
    </row>
    <row r="210" spans="1:18" x14ac:dyDescent="0.25">
      <c r="A210">
        <f>'Ajoneuvorekisteri-Parse Modern '!AO241</f>
        <v>4195214</v>
      </c>
      <c r="B210" t="str">
        <f>'Ajoneuvorekisteri-Parse Modern '!AN158</f>
        <v>SAJAA43R87</v>
      </c>
      <c r="C210" t="str">
        <f t="shared" si="24"/>
        <v>UNKNOWN: [prefix=SAJAA]</v>
      </c>
      <c r="D210" t="str">
        <f t="shared" si="25"/>
        <v>UNKNOWN: [4=A]</v>
      </c>
      <c r="E210" t="str">
        <f t="shared" si="26"/>
        <v>X150_2007MY</v>
      </c>
      <c r="F210" t="str" cm="1">
        <f t="array" ref="F210">_xlfn.LET(_xlpm.v,UPPER(SUBSTITUTE(CLEAN(TRIM(B210)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X150_2007MY_MARKET_A_TRANS_A_BODY_43_EMISSION_R_CHECK_8</v>
      </c>
      <c r="G210" t="str" cm="1">
        <f t="array" ref="G210">_xlfn.LET(_xlpm.vin,SUBSTITUTE(CLEAN(TRIM(B210)),CHAR(160),""),_xlpm.rawDate,LEFT(TRIM(H210)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210">
        <f>'Ajoneuvorekisteri-Parse Modern '!G158</f>
        <v>20070205</v>
      </c>
      <c r="I210" t="str">
        <f>LEFT(Table3[[#This Row],[Käyttöönotto]],4)</f>
        <v>2007</v>
      </c>
      <c r="J210" t="str">
        <f>'Ajoneuvorekisteri-Parse Modern '!AA158</f>
        <v>XKR COUPE  2ov 4196cm3 A</v>
      </c>
      <c r="K210" t="str">
        <f>Ajoneuvorekisteri_Parse_Modern_XK_Range_TieliikenneAvoinData_30_06_2026_csv[[#This Row],[tyyppihyvaksyntanro]]</f>
        <v/>
      </c>
      <c r="L210">
        <f>'Ajoneuvorekisteri-Parse Modern '!M158</f>
        <v>1770</v>
      </c>
      <c r="M210">
        <f t="shared" si="27"/>
        <v>0</v>
      </c>
      <c r="N210">
        <f t="shared" si="28"/>
        <v>1</v>
      </c>
      <c r="O210">
        <f t="shared" si="29"/>
        <v>1</v>
      </c>
      <c r="P210">
        <f t="shared" si="30"/>
        <v>0</v>
      </c>
      <c r="Q210">
        <f>IF(AND(Table3[[#This Row],[Coupe]]&lt;&gt;1, Table3[[#This Row],[Convertible]]&lt;&gt;1), 1, 0)</f>
        <v>0</v>
      </c>
      <c r="R210" t="str">
        <f t="shared" si="31"/>
        <v>Coupe</v>
      </c>
    </row>
    <row r="211" spans="1:18" x14ac:dyDescent="0.25">
      <c r="A211">
        <f>'Ajoneuvorekisteri-Parse Modern '!AO222</f>
        <v>3710560</v>
      </c>
      <c r="B211" t="str">
        <f>'Ajoneuvorekisteri-Parse Modern '!AN58</f>
        <v>SAJAA43R87</v>
      </c>
      <c r="C211" t="str">
        <f t="shared" si="24"/>
        <v>UNKNOWN: [prefix=SAJAA]</v>
      </c>
      <c r="D211" t="str">
        <f t="shared" si="25"/>
        <v>UNKNOWN: [4=A]</v>
      </c>
      <c r="E211" t="str">
        <f t="shared" si="26"/>
        <v>X150_2007MY</v>
      </c>
      <c r="F211" t="str" cm="1">
        <f t="array" ref="F211">_xlfn.LET(_xlpm.v,UPPER(SUBSTITUTE(CLEAN(TRIM(B211)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X150_2007MY_MARKET_A_TRANS_A_BODY_43_EMISSION_R_CHECK_8</v>
      </c>
      <c r="G211" t="str" cm="1">
        <f t="array" ref="G211">_xlfn.LET(_xlpm.vin,SUBSTITUTE(CLEAN(TRIM(B211)),CHAR(160),""),_xlpm.rawDate,LEFT(TRIM(H211)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211">
        <f>'Ajoneuvorekisteri-Parse Modern '!G58</f>
        <v>20070208</v>
      </c>
      <c r="I211" t="str">
        <f>LEFT(Table3[[#This Row],[Käyttöönotto]],4)</f>
        <v>2007</v>
      </c>
      <c r="J211" t="str">
        <f>'Ajoneuvorekisteri-Parse Modern '!AA58</f>
        <v>COUPE XKR 4.2 AUTOMATIC QQ6/275</v>
      </c>
      <c r="K211" t="str">
        <f>Ajoneuvorekisteri_Parse_Modern_XK_Range_TieliikenneAvoinData_30_06_2026_csv[[#This Row],[tyyppihyvaksyntanro]]</f>
        <v>e11*95/54*0062*06</v>
      </c>
      <c r="L211">
        <f>'Ajoneuvorekisteri-Parse Modern '!M58</f>
        <v>1770</v>
      </c>
      <c r="M211">
        <f t="shared" si="27"/>
        <v>0</v>
      </c>
      <c r="N211">
        <f t="shared" si="28"/>
        <v>1</v>
      </c>
      <c r="O211">
        <f t="shared" si="29"/>
        <v>1</v>
      </c>
      <c r="P211">
        <f t="shared" si="30"/>
        <v>0</v>
      </c>
      <c r="Q211">
        <f>IF(AND(Table3[[#This Row],[Coupe]]&lt;&gt;1, Table3[[#This Row],[Convertible]]&lt;&gt;1), 1, 0)</f>
        <v>0</v>
      </c>
      <c r="R211" t="str">
        <f t="shared" si="31"/>
        <v>Coupe</v>
      </c>
    </row>
    <row r="212" spans="1:18" x14ac:dyDescent="0.25">
      <c r="A212">
        <f>'Ajoneuvorekisteri-Parse Modern '!AO187</f>
        <v>3213919</v>
      </c>
      <c r="B212" t="str">
        <f>'Ajoneuvorekisteri-Parse Modern '!AN3</f>
        <v>SAJAA43P07</v>
      </c>
      <c r="C212" t="str">
        <f t="shared" si="24"/>
        <v>UNKNOWN: [prefix=SAJAA]</v>
      </c>
      <c r="D212" t="str">
        <f t="shared" si="25"/>
        <v>UNKNOWN: [4=A]</v>
      </c>
      <c r="E212" t="str">
        <f t="shared" si="26"/>
        <v>X150_2007MY</v>
      </c>
      <c r="F212" t="str" cm="1">
        <f t="array" ref="F212">_xlfn.LET(_xlpm.v,UPPER(SUBSTITUTE(CLEAN(TRIM(B212)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X150_2007MY_MARKET_A_TRANS_A_BODY_43_EMISSION_P_CHECK_0</v>
      </c>
      <c r="G212" t="str" cm="1">
        <f t="array" ref="G212">_xlfn.LET(_xlpm.vin,SUBSTITUTE(CLEAN(TRIM(B212)),CHAR(160),""),_xlpm.rawDate,LEFT(TRIM(H212)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212">
        <f>'Ajoneuvorekisteri-Parse Modern '!G3</f>
        <v>20070222</v>
      </c>
      <c r="I212" t="str">
        <f>LEFT(Table3[[#This Row],[Käyttöönotto]],4)</f>
        <v>2007</v>
      </c>
      <c r="J212" t="str">
        <f>'Ajoneuvorekisteri-Parse Modern '!AA3</f>
        <v>COUPE XK 4.2 AUTOMATIC QQ6/275</v>
      </c>
      <c r="K212" t="str">
        <f>Ajoneuvorekisteri_Parse_Modern_XK_Range_TieliikenneAvoinData_30_06_2026_csv[[#This Row],[tyyppihyvaksyntanro]]</f>
        <v>e11*2001/116*0272*02</v>
      </c>
      <c r="L212">
        <f>'Ajoneuvorekisteri-Parse Modern '!M3</f>
        <v>1720</v>
      </c>
      <c r="M212">
        <f t="shared" si="27"/>
        <v>1</v>
      </c>
      <c r="N212">
        <f t="shared" si="28"/>
        <v>0</v>
      </c>
      <c r="O212">
        <f t="shared" si="29"/>
        <v>1</v>
      </c>
      <c r="P212">
        <f t="shared" si="30"/>
        <v>0</v>
      </c>
      <c r="Q212">
        <f>IF(AND(Table3[[#This Row],[Coupe]]&lt;&gt;1, Table3[[#This Row],[Convertible]]&lt;&gt;1), 1, 0)</f>
        <v>0</v>
      </c>
      <c r="R212" t="str">
        <f t="shared" si="31"/>
        <v>Coupe</v>
      </c>
    </row>
    <row r="213" spans="1:18" x14ac:dyDescent="0.25">
      <c r="A213">
        <f>'Ajoneuvorekisteri-Parse Modern '!AO196</f>
        <v>3350827</v>
      </c>
      <c r="B213" t="str">
        <f>'Ajoneuvorekisteri-Parse Modern '!AN178</f>
        <v>SAJAA43P87</v>
      </c>
      <c r="C213" t="str">
        <f t="shared" si="24"/>
        <v>UNKNOWN: [prefix=SAJAA]</v>
      </c>
      <c r="D213" t="str">
        <f t="shared" si="25"/>
        <v>UNKNOWN: [4=A]</v>
      </c>
      <c r="E213" t="str">
        <f t="shared" si="26"/>
        <v>X150_2007MY</v>
      </c>
      <c r="F213" t="str" cm="1">
        <f t="array" ref="F213">_xlfn.LET(_xlpm.v,UPPER(SUBSTITUTE(CLEAN(TRIM(B213)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X150_2007MY_MARKET_A_TRANS_A_BODY_43_EMISSION_P_CHECK_8</v>
      </c>
      <c r="G213" t="str" cm="1">
        <f t="array" ref="G213">_xlfn.LET(_xlpm.vin,SUBSTITUTE(CLEAN(TRIM(B213)),CHAR(160),""),_xlpm.rawDate,LEFT(TRIM(H213)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213">
        <f>'Ajoneuvorekisteri-Parse Modern '!G178</f>
        <v>20070301</v>
      </c>
      <c r="I213" t="str">
        <f>LEFT(Table3[[#This Row],[Käyttöönotto]],4)</f>
        <v>2007</v>
      </c>
      <c r="J213" t="str">
        <f>'Ajoneuvorekisteri-Parse Modern '!AA178</f>
        <v>XK COUPE Coup� (AD) 2ov 4190cm3 A</v>
      </c>
      <c r="K213" t="str">
        <f>Ajoneuvorekisteri_Parse_Modern_XK_Range_TieliikenneAvoinData_30_06_2026_csv[[#This Row],[tyyppihyvaksyntanro]]</f>
        <v>e11*2001/116*0272*03</v>
      </c>
      <c r="L213">
        <f>'Ajoneuvorekisteri-Parse Modern '!M178</f>
        <v>1720</v>
      </c>
      <c r="M213">
        <f t="shared" si="27"/>
        <v>1</v>
      </c>
      <c r="N213">
        <f t="shared" si="28"/>
        <v>0</v>
      </c>
      <c r="O213">
        <f t="shared" si="29"/>
        <v>1</v>
      </c>
      <c r="P213">
        <f t="shared" si="30"/>
        <v>0</v>
      </c>
      <c r="Q213">
        <f>IF(AND(Table3[[#This Row],[Coupe]]&lt;&gt;1, Table3[[#This Row],[Convertible]]&lt;&gt;1), 1, 0)</f>
        <v>0</v>
      </c>
      <c r="R213" t="str">
        <f t="shared" si="31"/>
        <v>Coupe</v>
      </c>
    </row>
    <row r="214" spans="1:18" x14ac:dyDescent="0.25">
      <c r="A214">
        <f>'Ajoneuvorekisteri-Parse Modern '!AO257</f>
        <v>5164401</v>
      </c>
      <c r="B214" t="str">
        <f>'Ajoneuvorekisteri-Parse Modern '!AN251</f>
        <v>SAJWA44C57</v>
      </c>
      <c r="C214" t="str">
        <f t="shared" si="24"/>
        <v>UNKNOWN: [prefix=SAJWA]</v>
      </c>
      <c r="D214" t="str">
        <f t="shared" si="25"/>
        <v>UNKNOWN: [6-7=44]</v>
      </c>
      <c r="E214" t="str">
        <f t="shared" si="26"/>
        <v>X150_2007MY</v>
      </c>
      <c r="F214" t="str" cm="1">
        <f t="array" ref="F214">_xlfn.LET(_xlpm.v,UPPER(SUBSTITUTE(CLEAN(TRIM(B214)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X150_2007MY_MARKET_W_TRANS_A_BODY_44_EMISSION_C_CHECK_5</v>
      </c>
      <c r="G214" t="str" cm="1">
        <f t="array" ref="G214">_xlfn.LET(_xlpm.vin,SUBSTITUTE(CLEAN(TRIM(B214)),CHAR(160),""),_xlpm.rawDate,LEFT(TRIM(H214)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214">
        <f>'Ajoneuvorekisteri-Parse Modern '!G251</f>
        <v>20070317</v>
      </c>
      <c r="I214" t="str">
        <f>LEFT(Table3[[#This Row],[Käyttöönotto]],4)</f>
        <v>2007</v>
      </c>
      <c r="J214" t="str">
        <f>'Ajoneuvorekisteri-Parse Modern '!AA251</f>
        <v>XKR  2ov 4196cm3 A</v>
      </c>
      <c r="K214" t="str">
        <f>Ajoneuvorekisteri_Parse_Modern_XK_Range_TieliikenneAvoinData_30_06_2026_csv[[#This Row],[tyyppihyvaksyntanro]]</f>
        <v>e11*2001/116*0272*03</v>
      </c>
      <c r="L214">
        <f>'Ajoneuvorekisteri-Parse Modern '!M251</f>
        <v>1800</v>
      </c>
      <c r="M214">
        <f t="shared" si="27"/>
        <v>0</v>
      </c>
      <c r="N214">
        <f t="shared" si="28"/>
        <v>1</v>
      </c>
      <c r="O214">
        <f t="shared" si="29"/>
        <v>0</v>
      </c>
      <c r="P214">
        <f t="shared" si="30"/>
        <v>0</v>
      </c>
      <c r="Q214">
        <f>IF(AND(Table3[[#This Row],[Coupe]]&lt;&gt;1, Table3[[#This Row],[Convertible]]&lt;&gt;1), 1, 0)</f>
        <v>1</v>
      </c>
      <c r="R214" t="str">
        <f t="shared" si="31"/>
        <v>Unknown</v>
      </c>
    </row>
    <row r="215" spans="1:18" x14ac:dyDescent="0.25">
      <c r="A215">
        <f>'Ajoneuvorekisteri-Parse Modern '!AO25</f>
        <v>840818</v>
      </c>
      <c r="B215" t="str">
        <f>'Ajoneuvorekisteri-Parse Modern '!AN69</f>
        <v>SAJAA44P97</v>
      </c>
      <c r="C215" t="str">
        <f t="shared" si="24"/>
        <v>UNKNOWN: [prefix=SAJAA]</v>
      </c>
      <c r="D215" t="str">
        <f t="shared" si="25"/>
        <v>UNKNOWN: [4=A]</v>
      </c>
      <c r="E215" t="str">
        <f t="shared" si="26"/>
        <v>X150_2007MY</v>
      </c>
      <c r="F215" t="str" cm="1">
        <f t="array" ref="F215">_xlfn.LET(_xlpm.v,UPPER(SUBSTITUTE(CLEAN(TRIM(B215)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X150_2007MY_MARKET_A_TRANS_A_BODY_44_EMISSION_P_CHECK_9</v>
      </c>
      <c r="G215" t="str" cm="1">
        <f t="array" ref="G215">_xlfn.LET(_xlpm.vin,SUBSTITUTE(CLEAN(TRIM(B215)),CHAR(160),""),_xlpm.rawDate,LEFT(TRIM(H215)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215">
        <f>'Ajoneuvorekisteri-Parse Modern '!G69</f>
        <v>20070426</v>
      </c>
      <c r="I215" t="str">
        <f>LEFT(Table3[[#This Row],[Käyttöönotto]],4)</f>
        <v>2007</v>
      </c>
      <c r="J215" t="str">
        <f>'Ajoneuvorekisteri-Parse Modern '!AA69</f>
        <v>2D CONVERTIBLE XK 4.2 AUTOMATIC QQ6/275</v>
      </c>
      <c r="K215" t="str">
        <f>Ajoneuvorekisteri_Parse_Modern_XK_Range_TieliikenneAvoinData_30_06_2026_csv[[#This Row],[tyyppihyvaksyntanro]]</f>
        <v/>
      </c>
      <c r="L215">
        <f>'Ajoneuvorekisteri-Parse Modern '!M69</f>
        <v>1735</v>
      </c>
      <c r="M215">
        <f t="shared" si="27"/>
        <v>1</v>
      </c>
      <c r="N215">
        <f t="shared" si="28"/>
        <v>0</v>
      </c>
      <c r="O215">
        <f t="shared" si="29"/>
        <v>0</v>
      </c>
      <c r="P215">
        <f t="shared" si="30"/>
        <v>1</v>
      </c>
      <c r="Q215">
        <f>IF(AND(Table3[[#This Row],[Coupe]]&lt;&gt;1, Table3[[#This Row],[Convertible]]&lt;&gt;1), 1, 0)</f>
        <v>0</v>
      </c>
      <c r="R215" t="str">
        <f t="shared" si="31"/>
        <v>Convertible</v>
      </c>
    </row>
    <row r="216" spans="1:18" x14ac:dyDescent="0.25">
      <c r="A216">
        <f>'Ajoneuvorekisteri-Parse Modern '!AO204</f>
        <v>3400012</v>
      </c>
      <c r="B216" t="str">
        <f>'Ajoneuvorekisteri-Parse Modern '!AN205</f>
        <v>SAJAA43P77</v>
      </c>
      <c r="C216" t="str">
        <f t="shared" si="24"/>
        <v>UNKNOWN: [prefix=SAJAA]</v>
      </c>
      <c r="D216" t="str">
        <f t="shared" si="25"/>
        <v>UNKNOWN: [4=A]</v>
      </c>
      <c r="E216" t="str">
        <f t="shared" si="26"/>
        <v>X150_2007MY</v>
      </c>
      <c r="F216" t="str" cm="1">
        <f t="array" ref="F216">_xlfn.LET(_xlpm.v,UPPER(SUBSTITUTE(CLEAN(TRIM(B216)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X150_2007MY_MARKET_A_TRANS_A_BODY_43_EMISSION_P_CHECK_7</v>
      </c>
      <c r="G216" t="str" cm="1">
        <f t="array" ref="G216">_xlfn.LET(_xlpm.vin,SUBSTITUTE(CLEAN(TRIM(B216)),CHAR(160),""),_xlpm.rawDate,LEFT(TRIM(H216)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216">
        <f>'Ajoneuvorekisteri-Parse Modern '!G205</f>
        <v>20070427</v>
      </c>
      <c r="I216" t="str">
        <f>LEFT(Table3[[#This Row],[Käyttöönotto]],4)</f>
        <v>2007</v>
      </c>
      <c r="J216" t="str">
        <f>'Ajoneuvorekisteri-Parse Modern '!AA205</f>
        <v>XK COUPE Coup� (AD) 2ov 4190cm3 A</v>
      </c>
      <c r="K216" t="str">
        <f>Ajoneuvorekisteri_Parse_Modern_XK_Range_TieliikenneAvoinData_30_06_2026_csv[[#This Row],[tyyppihyvaksyntanro]]</f>
        <v/>
      </c>
      <c r="L216">
        <f>'Ajoneuvorekisteri-Parse Modern '!M205</f>
        <v>1720</v>
      </c>
      <c r="M216">
        <f t="shared" si="27"/>
        <v>1</v>
      </c>
      <c r="N216">
        <f t="shared" si="28"/>
        <v>0</v>
      </c>
      <c r="O216">
        <f t="shared" si="29"/>
        <v>1</v>
      </c>
      <c r="P216">
        <f t="shared" si="30"/>
        <v>0</v>
      </c>
      <c r="Q216">
        <f>IF(AND(Table3[[#This Row],[Coupe]]&lt;&gt;1, Table3[[#This Row],[Convertible]]&lt;&gt;1), 1, 0)</f>
        <v>0</v>
      </c>
      <c r="R216" t="str">
        <f t="shared" si="31"/>
        <v>Coupe</v>
      </c>
    </row>
    <row r="217" spans="1:18" x14ac:dyDescent="0.25">
      <c r="A217">
        <f>'Ajoneuvorekisteri-Parse Modern '!AO218</f>
        <v>3601127</v>
      </c>
      <c r="B217" t="str">
        <f>'Ajoneuvorekisteri-Parse Modern '!AN257</f>
        <v>SAJAA43P77</v>
      </c>
      <c r="C217" t="str">
        <f t="shared" si="24"/>
        <v>UNKNOWN: [prefix=SAJAA]</v>
      </c>
      <c r="D217" t="str">
        <f t="shared" si="25"/>
        <v>UNKNOWN: [4=A]</v>
      </c>
      <c r="E217" t="str">
        <f t="shared" si="26"/>
        <v>X150_2007MY</v>
      </c>
      <c r="F217" t="str" cm="1">
        <f t="array" ref="F217">_xlfn.LET(_xlpm.v,UPPER(SUBSTITUTE(CLEAN(TRIM(B217)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X150_2007MY_MARKET_A_TRANS_A_BODY_43_EMISSION_P_CHECK_7</v>
      </c>
      <c r="G217" t="str" cm="1">
        <f t="array" ref="G217">_xlfn.LET(_xlpm.vin,SUBSTITUTE(CLEAN(TRIM(B217)),CHAR(160),""),_xlpm.rawDate,LEFT(TRIM(H217)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217">
        <f>'Ajoneuvorekisteri-Parse Modern '!G257</f>
        <v>20070516</v>
      </c>
      <c r="I217" t="str">
        <f>LEFT(Table3[[#This Row],[Käyttöönotto]],4)</f>
        <v>2007</v>
      </c>
      <c r="J217" t="str">
        <f>'Ajoneuvorekisteri-Parse Modern '!AA257</f>
        <v>XK Coup� (AD) 2ov 4196cm3 A</v>
      </c>
      <c r="K217" t="str">
        <f>Ajoneuvorekisteri_Parse_Modern_XK_Range_TieliikenneAvoinData_30_06_2026_csv[[#This Row],[tyyppihyvaksyntanro]]</f>
        <v/>
      </c>
      <c r="L217">
        <f>'Ajoneuvorekisteri-Parse Modern '!M257</f>
        <v>1720</v>
      </c>
      <c r="M217">
        <f t="shared" si="27"/>
        <v>1</v>
      </c>
      <c r="N217">
        <f t="shared" si="28"/>
        <v>0</v>
      </c>
      <c r="O217">
        <f t="shared" si="29"/>
        <v>1</v>
      </c>
      <c r="P217">
        <f t="shared" si="30"/>
        <v>0</v>
      </c>
      <c r="Q217">
        <f>IF(AND(Table3[[#This Row],[Coupe]]&lt;&gt;1, Table3[[#This Row],[Convertible]]&lt;&gt;1), 1, 0)</f>
        <v>0</v>
      </c>
      <c r="R217" t="str">
        <f t="shared" si="31"/>
        <v>Coupe</v>
      </c>
    </row>
    <row r="218" spans="1:18" x14ac:dyDescent="0.25">
      <c r="A218">
        <f>'Ajoneuvorekisteri-Parse Modern '!AO242</f>
        <v>4236658</v>
      </c>
      <c r="B218" t="str">
        <f>'Ajoneuvorekisteri-Parse Modern '!AN189</f>
        <v>SAJAA43R97</v>
      </c>
      <c r="C218" t="str">
        <f t="shared" si="24"/>
        <v>UNKNOWN: [prefix=SAJAA]</v>
      </c>
      <c r="D218" t="str">
        <f t="shared" si="25"/>
        <v>UNKNOWN: [4=A]</v>
      </c>
      <c r="E218" t="str">
        <f t="shared" si="26"/>
        <v>X150_2007MY</v>
      </c>
      <c r="F218" t="str" cm="1">
        <f t="array" ref="F218">_xlfn.LET(_xlpm.v,UPPER(SUBSTITUTE(CLEAN(TRIM(B218)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X150_2007MY_MARKET_A_TRANS_A_BODY_43_EMISSION_R_CHECK_9</v>
      </c>
      <c r="G218" t="str" cm="1">
        <f t="array" ref="G218">_xlfn.LET(_xlpm.vin,SUBSTITUTE(CLEAN(TRIM(B218)),CHAR(160),""),_xlpm.rawDate,LEFT(TRIM(H218)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218">
        <f>'Ajoneuvorekisteri-Parse Modern '!G189</f>
        <v>20070529</v>
      </c>
      <c r="I218" t="str">
        <f>LEFT(Table3[[#This Row],[Käyttöönotto]],4)</f>
        <v>2007</v>
      </c>
      <c r="J218" t="str">
        <f>'Ajoneuvorekisteri-Parse Modern '!AA189</f>
        <v>XKR COUPE Coup� (AD) 2ov 4196cm3 A</v>
      </c>
      <c r="K218" t="str">
        <f>Ajoneuvorekisteri_Parse_Modern_XK_Range_TieliikenneAvoinData_30_06_2026_csv[[#This Row],[tyyppihyvaksyntanro]]</f>
        <v>e11*2001/116*0272*02</v>
      </c>
      <c r="L218">
        <f>'Ajoneuvorekisteri-Parse Modern '!M189</f>
        <v>1770</v>
      </c>
      <c r="M218">
        <f t="shared" si="27"/>
        <v>0</v>
      </c>
      <c r="N218">
        <f t="shared" si="28"/>
        <v>1</v>
      </c>
      <c r="O218">
        <f t="shared" si="29"/>
        <v>1</v>
      </c>
      <c r="P218">
        <f t="shared" si="30"/>
        <v>0</v>
      </c>
      <c r="Q218">
        <f>IF(AND(Table3[[#This Row],[Coupe]]&lt;&gt;1, Table3[[#This Row],[Convertible]]&lt;&gt;1), 1, 0)</f>
        <v>0</v>
      </c>
      <c r="R218" t="str">
        <f t="shared" si="31"/>
        <v>Coupe</v>
      </c>
    </row>
    <row r="219" spans="1:18" x14ac:dyDescent="0.25">
      <c r="A219">
        <f>'Ajoneuvorekisteri-Parse Modern '!AO212</f>
        <v>3549450</v>
      </c>
      <c r="B219" t="str">
        <f>'Ajoneuvorekisteri-Parse Modern '!AN222</f>
        <v>SAJAA43P07</v>
      </c>
      <c r="C219" t="str">
        <f t="shared" si="24"/>
        <v>UNKNOWN: [prefix=SAJAA]</v>
      </c>
      <c r="D219" t="str">
        <f t="shared" si="25"/>
        <v>UNKNOWN: [4=A]</v>
      </c>
      <c r="E219" t="str">
        <f t="shared" si="26"/>
        <v>X150_2007MY</v>
      </c>
      <c r="F219" t="str" cm="1">
        <f t="array" ref="F219">_xlfn.LET(_xlpm.v,UPPER(SUBSTITUTE(CLEAN(TRIM(B219)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X150_2007MY_MARKET_A_TRANS_A_BODY_43_EMISSION_P_CHECK_0</v>
      </c>
      <c r="G219" t="str" cm="1">
        <f t="array" ref="G219">_xlfn.LET(_xlpm.vin,SUBSTITUTE(CLEAN(TRIM(B219)),CHAR(160),""),_xlpm.rawDate,LEFT(TRIM(H219)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219">
        <f>'Ajoneuvorekisteri-Parse Modern '!G222</f>
        <v>20070601</v>
      </c>
      <c r="I219" t="str">
        <f>LEFT(Table3[[#This Row],[Käyttöönotto]],4)</f>
        <v>2007</v>
      </c>
      <c r="J219" t="str">
        <f>'Ajoneuvorekisteri-Parse Modern '!AA222</f>
        <v>XK Coup� (AD) 2ov 4190cm3 A</v>
      </c>
      <c r="K219" t="str">
        <f>Ajoneuvorekisteri_Parse_Modern_XK_Range_TieliikenneAvoinData_30_06_2026_csv[[#This Row],[tyyppihyvaksyntanro]]</f>
        <v>e11*95/54*0062*05</v>
      </c>
      <c r="L219">
        <f>'Ajoneuvorekisteri-Parse Modern '!M222</f>
        <v>1720</v>
      </c>
      <c r="M219">
        <f t="shared" si="27"/>
        <v>1</v>
      </c>
      <c r="N219">
        <f t="shared" si="28"/>
        <v>0</v>
      </c>
      <c r="O219">
        <f t="shared" si="29"/>
        <v>1</v>
      </c>
      <c r="P219">
        <f t="shared" si="30"/>
        <v>0</v>
      </c>
      <c r="Q219">
        <f>IF(AND(Table3[[#This Row],[Coupe]]&lt;&gt;1, Table3[[#This Row],[Convertible]]&lt;&gt;1), 1, 0)</f>
        <v>0</v>
      </c>
      <c r="R219" t="str">
        <f t="shared" si="31"/>
        <v>Coupe</v>
      </c>
    </row>
    <row r="220" spans="1:18" x14ac:dyDescent="0.25">
      <c r="A220">
        <f>'Ajoneuvorekisteri-Parse Modern '!AO158</f>
        <v>2806459</v>
      </c>
      <c r="B220" t="str">
        <f>'Ajoneuvorekisteri-Parse Modern '!AN60</f>
        <v>SAJAA44R77</v>
      </c>
      <c r="C220" t="str">
        <f t="shared" si="24"/>
        <v>UNKNOWN: [prefix=SAJAA]</v>
      </c>
      <c r="D220" t="str">
        <f t="shared" si="25"/>
        <v>UNKNOWN: [4=A]</v>
      </c>
      <c r="E220" t="str">
        <f t="shared" si="26"/>
        <v>X150_2007MY</v>
      </c>
      <c r="F220" t="str" cm="1">
        <f t="array" ref="F220">_xlfn.LET(_xlpm.v,UPPER(SUBSTITUTE(CLEAN(TRIM(B220)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X150_2007MY_MARKET_A_TRANS_A_BODY_44_EMISSION_R_CHECK_7</v>
      </c>
      <c r="G220" t="str" cm="1">
        <f t="array" ref="G220">_xlfn.LET(_xlpm.vin,SUBSTITUTE(CLEAN(TRIM(B220)),CHAR(160),""),_xlpm.rawDate,LEFT(TRIM(H220)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220">
        <f>'Ajoneuvorekisteri-Parse Modern '!G60</f>
        <v>20070619</v>
      </c>
      <c r="I220" t="str">
        <f>LEFT(Table3[[#This Row],[Käyttöönotto]],4)</f>
        <v>2007</v>
      </c>
      <c r="J220" t="str">
        <f>'Ajoneuvorekisteri-Parse Modern '!AA60</f>
        <v>2D CONVERTIBLE XKR 4.2 AUTOMATIC QQ6/275</v>
      </c>
      <c r="K220" t="str">
        <f>Ajoneuvorekisteri_Parse_Modern_XK_Range_TieliikenneAvoinData_30_06_2026_csv[[#This Row],[tyyppihyvaksyntanro]]</f>
        <v/>
      </c>
      <c r="L220">
        <f>'Ajoneuvorekisteri-Parse Modern '!M60</f>
        <v>1785</v>
      </c>
      <c r="M220">
        <f t="shared" si="27"/>
        <v>0</v>
      </c>
      <c r="N220">
        <f t="shared" si="28"/>
        <v>1</v>
      </c>
      <c r="O220">
        <f t="shared" si="29"/>
        <v>0</v>
      </c>
      <c r="P220">
        <f t="shared" si="30"/>
        <v>1</v>
      </c>
      <c r="Q220">
        <f>IF(AND(Table3[[#This Row],[Coupe]]&lt;&gt;1, Table3[[#This Row],[Convertible]]&lt;&gt;1), 1, 0)</f>
        <v>0</v>
      </c>
      <c r="R220" t="str">
        <f t="shared" si="31"/>
        <v>Convertible</v>
      </c>
    </row>
    <row r="221" spans="1:18" x14ac:dyDescent="0.25">
      <c r="A221">
        <f>'Ajoneuvorekisteri-Parse Modern '!AO58</f>
        <v>1642190</v>
      </c>
      <c r="B221" t="str">
        <f>'Ajoneuvorekisteri-Parse Modern '!AN175</f>
        <v>SAJDA44B57</v>
      </c>
      <c r="C221" t="str">
        <f t="shared" si="24"/>
        <v>UNKNOWN: [prefix=SAJDA]</v>
      </c>
      <c r="D221" t="str">
        <f t="shared" si="25"/>
        <v>UNKNOWN: [6-7=44]</v>
      </c>
      <c r="E221" t="str">
        <f t="shared" si="26"/>
        <v>X150_2007MY</v>
      </c>
      <c r="F221" t="str" cm="1">
        <f t="array" ref="F221">_xlfn.LET(_xlpm.v,UPPER(SUBSTITUTE(CLEAN(TRIM(B221)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X150_2007MY_MARKET_D_TRANS_A_BODY_44_EMISSION_B_CHECK_5</v>
      </c>
      <c r="G221" t="str" cm="1">
        <f t="array" ref="G221">_xlfn.LET(_xlpm.vin,SUBSTITUTE(CLEAN(TRIM(B221)),CHAR(160),""),_xlpm.rawDate,LEFT(TRIM(H221)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221">
        <f>'Ajoneuvorekisteri-Parse Modern '!G175</f>
        <v>20070701</v>
      </c>
      <c r="I221" t="str">
        <f>LEFT(Table3[[#This Row],[Käyttöönotto]],4)</f>
        <v>2007</v>
      </c>
      <c r="J221" t="str">
        <f>'Ajoneuvorekisteri-Parse Modern '!AA175</f>
        <v>JAGUAR XK8 CONVERTIBLE Avoauto (AE) 2ov 4196cm3 A</v>
      </c>
      <c r="K221" t="str">
        <f>Ajoneuvorekisteri_Parse_Modern_XK_Range_TieliikenneAvoinData_30_06_2026_csv[[#This Row],[tyyppihyvaksyntanro]]</f>
        <v>e11*2001/116*0272*03</v>
      </c>
      <c r="L221">
        <f>'Ajoneuvorekisteri-Parse Modern '!M175</f>
        <v>1760</v>
      </c>
      <c r="M221">
        <f t="shared" si="27"/>
        <v>1</v>
      </c>
      <c r="N221">
        <f t="shared" si="28"/>
        <v>0</v>
      </c>
      <c r="O221">
        <f t="shared" si="29"/>
        <v>0</v>
      </c>
      <c r="P221">
        <f t="shared" si="30"/>
        <v>1</v>
      </c>
      <c r="Q221">
        <f>IF(AND(Table3[[#This Row],[Coupe]]&lt;&gt;1, Table3[[#This Row],[Convertible]]&lt;&gt;1), 1, 0)</f>
        <v>0</v>
      </c>
      <c r="R221" t="str">
        <f t="shared" si="31"/>
        <v>Convertible</v>
      </c>
    </row>
    <row r="222" spans="1:18" x14ac:dyDescent="0.25">
      <c r="A222">
        <f>'Ajoneuvorekisteri-Parse Modern '!AO60</f>
        <v>1645196</v>
      </c>
      <c r="B222" t="str">
        <f>'Ajoneuvorekisteri-Parse Modern '!AN204</f>
        <v>SAJAA44R67</v>
      </c>
      <c r="C222" t="str">
        <f t="shared" si="24"/>
        <v>UNKNOWN: [prefix=SAJAA]</v>
      </c>
      <c r="D222" t="str">
        <f t="shared" si="25"/>
        <v>UNKNOWN: [4=A]</v>
      </c>
      <c r="E222" t="str">
        <f t="shared" si="26"/>
        <v>X150_2007MY</v>
      </c>
      <c r="F222" t="str" cm="1">
        <f t="array" ref="F222">_xlfn.LET(_xlpm.v,UPPER(SUBSTITUTE(CLEAN(TRIM(B222)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X150_2007MY_MARKET_A_TRANS_A_BODY_44_EMISSION_R_CHECK_6</v>
      </c>
      <c r="G222" t="str" cm="1">
        <f t="array" ref="G222">_xlfn.LET(_xlpm.vin,SUBSTITUTE(CLEAN(TRIM(B222)),CHAR(160),""),_xlpm.rawDate,LEFT(TRIM(H222)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222">
        <f>'Ajoneuvorekisteri-Parse Modern '!G204</f>
        <v>20070913</v>
      </c>
      <c r="I222" t="str">
        <f>LEFT(Table3[[#This Row],[Käyttöönotto]],4)</f>
        <v>2007</v>
      </c>
      <c r="J222" t="str">
        <f>'Ajoneuvorekisteri-Parse Modern '!AA204</f>
        <v>XK Avoauto (AE) 2ov 4190cm3 A</v>
      </c>
      <c r="K222" t="str">
        <f>Ajoneuvorekisteri_Parse_Modern_XK_Range_TieliikenneAvoinData_30_06_2026_csv[[#This Row],[tyyppihyvaksyntanro]]</f>
        <v>e11*2001/116*0272*02</v>
      </c>
      <c r="L222">
        <f>'Ajoneuvorekisteri-Parse Modern '!M204</f>
        <v>1785</v>
      </c>
      <c r="M222">
        <f t="shared" si="27"/>
        <v>1</v>
      </c>
      <c r="N222">
        <f t="shared" si="28"/>
        <v>0</v>
      </c>
      <c r="O222">
        <f t="shared" si="29"/>
        <v>0</v>
      </c>
      <c r="P222">
        <f t="shared" si="30"/>
        <v>1</v>
      </c>
      <c r="Q222">
        <f>IF(AND(Table3[[#This Row],[Coupe]]&lt;&gt;1, Table3[[#This Row],[Convertible]]&lt;&gt;1), 1, 0)</f>
        <v>0</v>
      </c>
      <c r="R222" t="str">
        <f t="shared" si="31"/>
        <v>Convertible</v>
      </c>
    </row>
    <row r="223" spans="1:18" x14ac:dyDescent="0.25">
      <c r="A223">
        <f>'Ajoneuvorekisteri-Parse Modern '!AO175</f>
        <v>3032721</v>
      </c>
      <c r="B223" t="str">
        <f>'Ajoneuvorekisteri-Parse Modern '!AN187</f>
        <v>SAJAA44R88</v>
      </c>
      <c r="C223" t="str">
        <f t="shared" si="24"/>
        <v>UNKNOWN: [prefix=SAJAA]</v>
      </c>
      <c r="D223" t="str">
        <f t="shared" si="25"/>
        <v>UNKNOWN: [4=A]</v>
      </c>
      <c r="E223" t="str">
        <f t="shared" si="26"/>
        <v>X150_2008MY</v>
      </c>
      <c r="F223" t="str" cm="1">
        <f t="array" ref="F223">_xlfn.LET(_xlpm.v,UPPER(SUBSTITUTE(CLEAN(TRIM(B223)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X150_2008MY_MARKET_A_TRANS_A_BODY_44_EMISSION_R_CHECK_8</v>
      </c>
      <c r="G223" t="str" cm="1">
        <f t="array" ref="G223">_xlfn.LET(_xlpm.vin,SUBSTITUTE(CLEAN(TRIM(B223)),CHAR(160),""),_xlpm.rawDate,LEFT(TRIM(H223)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H223">
        <f>'Ajoneuvorekisteri-Parse Modern '!G187</f>
        <v>20071001</v>
      </c>
      <c r="I223" t="str">
        <f>LEFT(Table3[[#This Row],[Käyttöönotto]],4)</f>
        <v>2007</v>
      </c>
      <c r="J223" t="str">
        <f>'Ajoneuvorekisteri-Parse Modern '!AA187</f>
        <v>XKR CONVERTIBLE Avoauto (AE) 2ov 4190cm3 A</v>
      </c>
      <c r="K223" t="str">
        <f>Ajoneuvorekisteri_Parse_Modern_XK_Range_TieliikenneAvoinData_30_06_2026_csv[[#This Row],[tyyppihyvaksyntanro]]</f>
        <v/>
      </c>
      <c r="L223">
        <f>'Ajoneuvorekisteri-Parse Modern '!M187</f>
        <v>1785</v>
      </c>
      <c r="M223">
        <f t="shared" si="27"/>
        <v>0</v>
      </c>
      <c r="N223">
        <f t="shared" si="28"/>
        <v>1</v>
      </c>
      <c r="O223">
        <f t="shared" si="29"/>
        <v>0</v>
      </c>
      <c r="P223">
        <f t="shared" si="30"/>
        <v>1</v>
      </c>
      <c r="Q223">
        <f>IF(AND(Table3[[#This Row],[Coupe]]&lt;&gt;1, Table3[[#This Row],[Convertible]]&lt;&gt;1), 1, 0)</f>
        <v>0</v>
      </c>
      <c r="R223" t="str">
        <f t="shared" si="31"/>
        <v>Convertible</v>
      </c>
    </row>
    <row r="224" spans="1:18" x14ac:dyDescent="0.25">
      <c r="A224">
        <f>'Ajoneuvorekisteri-Parse Modern '!AO205</f>
        <v>3406411</v>
      </c>
      <c r="B224" t="str">
        <f>'Ajoneuvorekisteri-Parse Modern '!AN212</f>
        <v>SAJAA43P48</v>
      </c>
      <c r="C224" t="str">
        <f t="shared" si="24"/>
        <v>UNKNOWN: [prefix=SAJAA]</v>
      </c>
      <c r="D224" t="str">
        <f t="shared" si="25"/>
        <v>UNKNOWN: [4=A]</v>
      </c>
      <c r="E224" t="str">
        <f t="shared" si="26"/>
        <v>X150_2008MY</v>
      </c>
      <c r="F224" t="str" cm="1">
        <f t="array" ref="F224">_xlfn.LET(_xlpm.v,UPPER(SUBSTITUTE(CLEAN(TRIM(B224)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X150_2008MY_MARKET_A_TRANS_A_BODY_43_EMISSION_P_CHECK_4</v>
      </c>
      <c r="G224" t="str" cm="1">
        <f t="array" ref="G224">_xlfn.LET(_xlpm.vin,SUBSTITUTE(CLEAN(TRIM(B224)),CHAR(160),""),_xlpm.rawDate,LEFT(TRIM(H224)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H224">
        <f>'Ajoneuvorekisteri-Parse Modern '!G212</f>
        <v>20071001</v>
      </c>
      <c r="I224" t="str">
        <f>LEFT(Table3[[#This Row],[Käyttöönotto]],4)</f>
        <v>2007</v>
      </c>
      <c r="J224" t="str">
        <f>'Ajoneuvorekisteri-Parse Modern '!AA212</f>
        <v>XK COUPE Coup� (AD) 2ov 4196cm3 A</v>
      </c>
      <c r="K224" t="str">
        <f>Ajoneuvorekisteri_Parse_Modern_XK_Range_TieliikenneAvoinData_30_06_2026_csv[[#This Row],[tyyppihyvaksyntanro]]</f>
        <v/>
      </c>
      <c r="L224">
        <f>'Ajoneuvorekisteri-Parse Modern '!M212</f>
        <v>1720</v>
      </c>
      <c r="M224">
        <f t="shared" si="27"/>
        <v>1</v>
      </c>
      <c r="N224">
        <f t="shared" si="28"/>
        <v>0</v>
      </c>
      <c r="O224">
        <f t="shared" si="29"/>
        <v>1</v>
      </c>
      <c r="P224">
        <f t="shared" si="30"/>
        <v>0</v>
      </c>
      <c r="Q224">
        <f>IF(AND(Table3[[#This Row],[Coupe]]&lt;&gt;1, Table3[[#This Row],[Convertible]]&lt;&gt;1), 1, 0)</f>
        <v>0</v>
      </c>
      <c r="R224" t="str">
        <f t="shared" si="31"/>
        <v>Coupe</v>
      </c>
    </row>
    <row r="225" spans="1:18" x14ac:dyDescent="0.25">
      <c r="A225">
        <f>'Ajoneuvorekisteri-Parse Modern '!AO254</f>
        <v>5043868</v>
      </c>
      <c r="B225" t="str">
        <f>'Ajoneuvorekisteri-Parse Modern '!AN218</f>
        <v>SAJAA43R67</v>
      </c>
      <c r="C225" t="str">
        <f t="shared" si="24"/>
        <v>UNKNOWN: [prefix=SAJAA]</v>
      </c>
      <c r="D225" t="str">
        <f t="shared" si="25"/>
        <v>UNKNOWN: [4=A]</v>
      </c>
      <c r="E225" t="str">
        <f t="shared" si="26"/>
        <v>X150_2007MY</v>
      </c>
      <c r="F225" t="str" cm="1">
        <f t="array" ref="F225">_xlfn.LET(_xlpm.v,UPPER(SUBSTITUTE(CLEAN(TRIM(B225)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X150_2007MY_MARKET_A_TRANS_A_BODY_43_EMISSION_R_CHECK_6</v>
      </c>
      <c r="G225" t="str" cm="1">
        <f t="array" ref="G225">_xlfn.LET(_xlpm.vin,SUBSTITUTE(CLEAN(TRIM(B225)),CHAR(160),""),_xlpm.rawDate,LEFT(TRIM(H225)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225">
        <f>'Ajoneuvorekisteri-Parse Modern '!G218</f>
        <v>20071012</v>
      </c>
      <c r="I225" t="str">
        <f>LEFT(Table3[[#This Row],[Käyttöönotto]],4)</f>
        <v>2007</v>
      </c>
      <c r="J225" t="str">
        <f>'Ajoneuvorekisteri-Parse Modern '!AA218</f>
        <v>XKR COUPE Coup� (AD) 2ov 4190cm3 A</v>
      </c>
      <c r="K225" t="str">
        <f>Ajoneuvorekisteri_Parse_Modern_XK_Range_TieliikenneAvoinData_30_06_2026_csv[[#This Row],[tyyppihyvaksyntanro]]</f>
        <v/>
      </c>
      <c r="L225">
        <f>'Ajoneuvorekisteri-Parse Modern '!M218</f>
        <v>1770</v>
      </c>
      <c r="M225">
        <f t="shared" si="27"/>
        <v>0</v>
      </c>
      <c r="N225">
        <f t="shared" si="28"/>
        <v>1</v>
      </c>
      <c r="O225">
        <f t="shared" si="29"/>
        <v>1</v>
      </c>
      <c r="P225">
        <f t="shared" si="30"/>
        <v>0</v>
      </c>
      <c r="Q225">
        <f>IF(AND(Table3[[#This Row],[Coupe]]&lt;&gt;1, Table3[[#This Row],[Convertible]]&lt;&gt;1), 1, 0)</f>
        <v>0</v>
      </c>
      <c r="R225" t="str">
        <f t="shared" si="31"/>
        <v>Coupe</v>
      </c>
    </row>
    <row r="226" spans="1:18" x14ac:dyDescent="0.25">
      <c r="A226">
        <f>'Ajoneuvorekisteri-Parse Modern '!AO256</f>
        <v>5162537</v>
      </c>
      <c r="B226" t="str">
        <f>'Ajoneuvorekisteri-Parse Modern '!AN241</f>
        <v>SAJAA43R18</v>
      </c>
      <c r="C226" t="str">
        <f t="shared" si="24"/>
        <v>UNKNOWN: [prefix=SAJAA]</v>
      </c>
      <c r="D226" t="str">
        <f t="shared" si="25"/>
        <v>UNKNOWN: [4=A]</v>
      </c>
      <c r="E226" t="str">
        <f t="shared" si="26"/>
        <v>X150_2008MY</v>
      </c>
      <c r="F226" t="str" cm="1">
        <f t="array" ref="F226">_xlfn.LET(_xlpm.v,UPPER(SUBSTITUTE(CLEAN(TRIM(B226)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X150_2008MY_MARKET_A_TRANS_A_BODY_43_EMISSION_R_CHECK_1</v>
      </c>
      <c r="G226" t="str" cm="1">
        <f t="array" ref="G226">_xlfn.LET(_xlpm.vin,SUBSTITUTE(CLEAN(TRIM(B226)),CHAR(160),""),_xlpm.rawDate,LEFT(TRIM(H226)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H226">
        <f>'Ajoneuvorekisteri-Parse Modern '!G241</f>
        <v>20071128</v>
      </c>
      <c r="I226" t="str">
        <f>LEFT(Table3[[#This Row],[Käyttöönotto]],4)</f>
        <v>2007</v>
      </c>
      <c r="J226" t="str">
        <f>'Ajoneuvorekisteri-Parse Modern '!AA241</f>
        <v>XKR COUPE Coup� (AD) 2ov 4190cm3</v>
      </c>
      <c r="K226" t="str">
        <f>Ajoneuvorekisteri_Parse_Modern_XK_Range_TieliikenneAvoinData_30_06_2026_csv[[#This Row],[tyyppihyvaksyntanro]]</f>
        <v>e11*95/54*0061*00</v>
      </c>
      <c r="L226">
        <f>'Ajoneuvorekisteri-Parse Modern '!M241</f>
        <v>1770</v>
      </c>
      <c r="M226">
        <f t="shared" si="27"/>
        <v>0</v>
      </c>
      <c r="N226">
        <f t="shared" si="28"/>
        <v>1</v>
      </c>
      <c r="O226">
        <f t="shared" si="29"/>
        <v>1</v>
      </c>
      <c r="P226">
        <f t="shared" si="30"/>
        <v>0</v>
      </c>
      <c r="Q226">
        <f>IF(AND(Table3[[#This Row],[Coupe]]&lt;&gt;1, Table3[[#This Row],[Convertible]]&lt;&gt;1), 1, 0)</f>
        <v>0</v>
      </c>
      <c r="R226" t="str">
        <f t="shared" si="31"/>
        <v>Coupe</v>
      </c>
    </row>
    <row r="227" spans="1:18" x14ac:dyDescent="0.25">
      <c r="A227">
        <f>'Ajoneuvorekisteri-Parse Modern '!AO178</f>
        <v>3052705</v>
      </c>
      <c r="B227" t="str">
        <f>'Ajoneuvorekisteri-Parse Modern '!AN238</f>
        <v>SAJAA44R58</v>
      </c>
      <c r="C227" t="str">
        <f t="shared" si="24"/>
        <v>UNKNOWN: [prefix=SAJAA]</v>
      </c>
      <c r="D227" t="str">
        <f t="shared" si="25"/>
        <v>UNKNOWN: [4=A]</v>
      </c>
      <c r="E227" t="str">
        <f t="shared" si="26"/>
        <v>X150_2008MY</v>
      </c>
      <c r="F227" t="str" cm="1">
        <f t="array" ref="F227">_xlfn.LET(_xlpm.v,UPPER(SUBSTITUTE(CLEAN(TRIM(B227)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X150_2008MY_MARKET_A_TRANS_A_BODY_44_EMISSION_R_CHECK_5</v>
      </c>
      <c r="G227" t="str" cm="1">
        <f t="array" ref="G227">_xlfn.LET(_xlpm.vin,SUBSTITUTE(CLEAN(TRIM(B227)),CHAR(160),""),_xlpm.rawDate,LEFT(TRIM(H227)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H227">
        <f>'Ajoneuvorekisteri-Parse Modern '!G238</f>
        <v>20071203</v>
      </c>
      <c r="I227" t="str">
        <f>LEFT(Table3[[#This Row],[Käyttöönotto]],4)</f>
        <v>2007</v>
      </c>
      <c r="J227" t="str">
        <f>'Ajoneuvorekisteri-Parse Modern '!AA238</f>
        <v>XKR CONVERTIBLE Avoauto (AE) 2ov 4196cm3 A</v>
      </c>
      <c r="K227" t="str">
        <f>Ajoneuvorekisteri_Parse_Modern_XK_Range_TieliikenneAvoinData_30_06_2026_csv[[#This Row],[tyyppihyvaksyntanro]]</f>
        <v/>
      </c>
      <c r="L227">
        <f>'Ajoneuvorekisteri-Parse Modern '!M238</f>
        <v>1785</v>
      </c>
      <c r="M227">
        <f t="shared" si="27"/>
        <v>0</v>
      </c>
      <c r="N227">
        <f t="shared" si="28"/>
        <v>1</v>
      </c>
      <c r="O227">
        <f t="shared" si="29"/>
        <v>0</v>
      </c>
      <c r="P227">
        <f t="shared" si="30"/>
        <v>1</v>
      </c>
      <c r="Q227">
        <f>IF(AND(Table3[[#This Row],[Coupe]]&lt;&gt;1, Table3[[#This Row],[Convertible]]&lt;&gt;1), 1, 0)</f>
        <v>0</v>
      </c>
      <c r="R227" t="str">
        <f t="shared" si="31"/>
        <v>Convertible</v>
      </c>
    </row>
    <row r="228" spans="1:18" x14ac:dyDescent="0.25">
      <c r="A228">
        <f>'Ajoneuvorekisteri-Parse Modern '!AO238</f>
        <v>4125878</v>
      </c>
      <c r="B228" t="str">
        <f>'Ajoneuvorekisteri-Parse Modern '!AN72</f>
        <v>SAJAA43R88</v>
      </c>
      <c r="C228" t="str">
        <f t="shared" si="24"/>
        <v>UNKNOWN: [prefix=SAJAA]</v>
      </c>
      <c r="D228" t="str">
        <f t="shared" si="25"/>
        <v>UNKNOWN: [4=A]</v>
      </c>
      <c r="E228" t="str">
        <f t="shared" si="26"/>
        <v>X150_2008MY</v>
      </c>
      <c r="F228" t="str" cm="1">
        <f t="array" ref="F228">_xlfn.LET(_xlpm.v,UPPER(SUBSTITUTE(CLEAN(TRIM(B228)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X150_2008MY_MARKET_A_TRANS_A_BODY_43_EMISSION_R_CHECK_8</v>
      </c>
      <c r="G228" t="str" cm="1">
        <f t="array" ref="G228">_xlfn.LET(_xlpm.vin,SUBSTITUTE(CLEAN(TRIM(B228)),CHAR(160),""),_xlpm.rawDate,LEFT(TRIM(H228)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H228">
        <f>'Ajoneuvorekisteri-Parse Modern '!G72</f>
        <v>20071210</v>
      </c>
      <c r="I228" t="str">
        <f>LEFT(Table3[[#This Row],[Käyttöönotto]],4)</f>
        <v>2007</v>
      </c>
      <c r="J228" t="str">
        <f>'Ajoneuvorekisteri-Parse Modern '!AA72</f>
        <v>XKR COUPE Coup� (AD) 4190cm3</v>
      </c>
      <c r="K228" t="str">
        <f>Ajoneuvorekisteri_Parse_Modern_XK_Range_TieliikenneAvoinData_30_06_2026_csv[[#This Row],[tyyppihyvaksyntanro]]</f>
        <v>e11*95/54*0062*00</v>
      </c>
      <c r="L228">
        <f>'Ajoneuvorekisteri-Parse Modern '!M72</f>
        <v>1770</v>
      </c>
      <c r="M228">
        <f t="shared" si="27"/>
        <v>0</v>
      </c>
      <c r="N228">
        <f t="shared" si="28"/>
        <v>1</v>
      </c>
      <c r="O228">
        <f t="shared" si="29"/>
        <v>1</v>
      </c>
      <c r="P228">
        <f t="shared" si="30"/>
        <v>0</v>
      </c>
      <c r="Q228">
        <f>IF(AND(Table3[[#This Row],[Coupe]]&lt;&gt;1, Table3[[#This Row],[Convertible]]&lt;&gt;1), 1, 0)</f>
        <v>0</v>
      </c>
      <c r="R228" t="str">
        <f t="shared" si="31"/>
        <v>Coupe</v>
      </c>
    </row>
    <row r="229" spans="1:18" x14ac:dyDescent="0.25">
      <c r="A229">
        <f>'Ajoneuvorekisteri-Parse Modern '!AO189</f>
        <v>3223068</v>
      </c>
      <c r="B229" t="str">
        <f>'Ajoneuvorekisteri-Parse Modern '!AN74</f>
        <v>SAJAA43R57</v>
      </c>
      <c r="C229" t="str">
        <f t="shared" si="24"/>
        <v>UNKNOWN: [prefix=SAJAA]</v>
      </c>
      <c r="D229" t="str">
        <f t="shared" si="25"/>
        <v>UNKNOWN: [4=A]</v>
      </c>
      <c r="E229" t="str">
        <f t="shared" si="26"/>
        <v>X150_2007MY</v>
      </c>
      <c r="F229" t="str" cm="1">
        <f t="array" ref="F229">_xlfn.LET(_xlpm.v,UPPER(SUBSTITUTE(CLEAN(TRIM(B229)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X150_2007MY_MARKET_A_TRANS_A_BODY_43_EMISSION_R_CHECK_5</v>
      </c>
      <c r="G229" t="str" cm="1">
        <f t="array" ref="G229">_xlfn.LET(_xlpm.vin,SUBSTITUTE(CLEAN(TRIM(B229)),CHAR(160),""),_xlpm.rawDate,LEFT(TRIM(H229)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229">
        <f>'Ajoneuvorekisteri-Parse Modern '!G74</f>
        <v>20071214</v>
      </c>
      <c r="I229" t="str">
        <f>LEFT(Table3[[#This Row],[Käyttöönotto]],4)</f>
        <v>2007</v>
      </c>
      <c r="J229" t="str">
        <f>'Ajoneuvorekisteri-Parse Modern '!AA74</f>
        <v>XK Coup� (AD) 4190cm3</v>
      </c>
      <c r="K229" t="str">
        <f>Ajoneuvorekisteri_Parse_Modern_XK_Range_TieliikenneAvoinData_30_06_2026_csv[[#This Row],[tyyppihyvaksyntanro]]</f>
        <v/>
      </c>
      <c r="L229">
        <f>'Ajoneuvorekisteri-Parse Modern '!M74</f>
        <v>1770</v>
      </c>
      <c r="M229">
        <f t="shared" si="27"/>
        <v>1</v>
      </c>
      <c r="N229">
        <f t="shared" si="28"/>
        <v>0</v>
      </c>
      <c r="O229">
        <f t="shared" si="29"/>
        <v>1</v>
      </c>
      <c r="P229">
        <f t="shared" si="30"/>
        <v>0</v>
      </c>
      <c r="Q229">
        <f>IF(AND(Table3[[#This Row],[Coupe]]&lt;&gt;1, Table3[[#This Row],[Convertible]]&lt;&gt;1), 1, 0)</f>
        <v>0</v>
      </c>
      <c r="R229" t="str">
        <f t="shared" si="31"/>
        <v>Coupe</v>
      </c>
    </row>
    <row r="230" spans="1:18" x14ac:dyDescent="0.25">
      <c r="A230">
        <f>'Ajoneuvorekisteri-Parse Modern '!AO224</f>
        <v>3735485</v>
      </c>
      <c r="B230" t="str">
        <f>'Ajoneuvorekisteri-Parse Modern '!AN224</f>
        <v>SAJWA43CX8</v>
      </c>
      <c r="C230" t="str">
        <f t="shared" si="24"/>
        <v>UNKNOWN: [prefix=SAJWA]</v>
      </c>
      <c r="D230" t="str">
        <f t="shared" si="25"/>
        <v>UNKNOWN: [6-7=43]</v>
      </c>
      <c r="E230" t="str">
        <f t="shared" si="26"/>
        <v>X150_2008MY</v>
      </c>
      <c r="F230" t="str" cm="1">
        <f t="array" ref="F230">_xlfn.LET(_xlpm.v,UPPER(SUBSTITUTE(CLEAN(TRIM(B230)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X150_2008MY_MARKET_W_TRANS_A_BODY_43_EMISSION_C_CHECK_X</v>
      </c>
      <c r="G230" t="str" cm="1">
        <f t="array" ref="G230">_xlfn.LET(_xlpm.vin,SUBSTITUTE(CLEAN(TRIM(B230)),CHAR(160),""),_xlpm.rawDate,LEFT(TRIM(H230)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H230">
        <f>'Ajoneuvorekisteri-Parse Modern '!G224</f>
        <v>20080000</v>
      </c>
      <c r="I230" t="str">
        <f>LEFT(Table3[[#This Row],[Käyttöönotto]],4)</f>
        <v>2008</v>
      </c>
      <c r="J230" t="str">
        <f>'Ajoneuvorekisteri-Parse Modern '!AA224</f>
        <v>XKR Coup� (AD) 2ov 4196cm3 A</v>
      </c>
      <c r="K230" t="str">
        <f>Ajoneuvorekisteri_Parse_Modern_XK_Range_TieliikenneAvoinData_30_06_2026_csv[[#This Row],[tyyppihyvaksyntanro]]</f>
        <v/>
      </c>
      <c r="L230">
        <f>'Ajoneuvorekisteri-Parse Modern '!M224</f>
        <v>1685</v>
      </c>
      <c r="M230">
        <f t="shared" si="27"/>
        <v>0</v>
      </c>
      <c r="N230">
        <f t="shared" si="28"/>
        <v>1</v>
      </c>
      <c r="O230">
        <f t="shared" si="29"/>
        <v>1</v>
      </c>
      <c r="P230">
        <f t="shared" si="30"/>
        <v>0</v>
      </c>
      <c r="Q230">
        <f>IF(AND(Table3[[#This Row],[Coupe]]&lt;&gt;1, Table3[[#This Row],[Convertible]]&lt;&gt;1), 1, 0)</f>
        <v>0</v>
      </c>
      <c r="R230" t="str">
        <f t="shared" si="31"/>
        <v>Coupe</v>
      </c>
    </row>
    <row r="231" spans="1:18" x14ac:dyDescent="0.25">
      <c r="A231">
        <f>'Ajoneuvorekisteri-Parse Modern '!AO253</f>
        <v>4965347</v>
      </c>
      <c r="B231" t="str">
        <f>'Ajoneuvorekisteri-Parse Modern '!AN253</f>
        <v>SAJWA44B68</v>
      </c>
      <c r="C231" t="str">
        <f t="shared" si="24"/>
        <v>UNKNOWN: [prefix=SAJWA]</v>
      </c>
      <c r="D231" t="str">
        <f t="shared" si="25"/>
        <v>UNKNOWN: [6-7=44]</v>
      </c>
      <c r="E231" t="str">
        <f t="shared" si="26"/>
        <v>X150_2008MY</v>
      </c>
      <c r="F231" t="str" cm="1">
        <f t="array" ref="F231">_xlfn.LET(_xlpm.v,UPPER(SUBSTITUTE(CLEAN(TRIM(B231)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X150_2008MY_MARKET_W_TRANS_A_BODY_44_EMISSION_B_CHECK_6</v>
      </c>
      <c r="G231" t="str" cm="1">
        <f t="array" ref="G231">_xlfn.LET(_xlpm.vin,SUBSTITUTE(CLEAN(TRIM(B231)),CHAR(160),""),_xlpm.rawDate,LEFT(TRIM(H231)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H231">
        <f>'Ajoneuvorekisteri-Parse Modern '!G253</f>
        <v>20080000</v>
      </c>
      <c r="I231" t="str">
        <f>LEFT(Table3[[#This Row],[Käyttöönotto]],4)</f>
        <v>2008</v>
      </c>
      <c r="J231" t="str">
        <f>'Ajoneuvorekisteri-Parse Modern '!AA253</f>
        <v>XK Avoauto (AE) 2ov 4190cm3 A</v>
      </c>
      <c r="K231" t="str">
        <f>Ajoneuvorekisteri_Parse_Modern_XK_Range_TieliikenneAvoinData_30_06_2026_csv[[#This Row],[tyyppihyvaksyntanro]]</f>
        <v>e11*95/54*0061*08</v>
      </c>
      <c r="L231">
        <f>'Ajoneuvorekisteri-Parse Modern '!M253</f>
        <v>1735</v>
      </c>
      <c r="M231">
        <f t="shared" si="27"/>
        <v>1</v>
      </c>
      <c r="N231">
        <f t="shared" si="28"/>
        <v>0</v>
      </c>
      <c r="O231">
        <f t="shared" si="29"/>
        <v>0</v>
      </c>
      <c r="P231">
        <f t="shared" si="30"/>
        <v>1</v>
      </c>
      <c r="Q231">
        <f>IF(AND(Table3[[#This Row],[Coupe]]&lt;&gt;1, Table3[[#This Row],[Convertible]]&lt;&gt;1), 1, 0)</f>
        <v>0</v>
      </c>
      <c r="R231" t="str">
        <f t="shared" si="31"/>
        <v>Convertible</v>
      </c>
    </row>
    <row r="232" spans="1:18" x14ac:dyDescent="0.25">
      <c r="A232">
        <f>'Ajoneuvorekisteri-Parse Modern '!AO221</f>
        <v>3692168</v>
      </c>
      <c r="B232" t="str">
        <f>'Ajoneuvorekisteri-Parse Modern '!AN221</f>
        <v>SAJAA43P68</v>
      </c>
      <c r="C232" t="str">
        <f t="shared" si="24"/>
        <v>UNKNOWN: [prefix=SAJAA]</v>
      </c>
      <c r="D232" t="str">
        <f t="shared" si="25"/>
        <v>UNKNOWN: [4=A]</v>
      </c>
      <c r="E232" t="str">
        <f t="shared" si="26"/>
        <v>X150_2008MY</v>
      </c>
      <c r="F232" t="str" cm="1">
        <f t="array" ref="F232">_xlfn.LET(_xlpm.v,UPPER(SUBSTITUTE(CLEAN(TRIM(B232)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X150_2008MY_MARKET_A_TRANS_A_BODY_43_EMISSION_P_CHECK_6</v>
      </c>
      <c r="G232" t="str" cm="1">
        <f t="array" ref="G232">_xlfn.LET(_xlpm.vin,SUBSTITUTE(CLEAN(TRIM(B232)),CHAR(160),""),_xlpm.rawDate,LEFT(TRIM(H232)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H232">
        <f>'Ajoneuvorekisteri-Parse Modern '!G221</f>
        <v>20080218</v>
      </c>
      <c r="I232" t="str">
        <f>LEFT(Table3[[#This Row],[Käyttöönotto]],4)</f>
        <v>2008</v>
      </c>
      <c r="J232" t="str">
        <f>'Ajoneuvorekisteri-Parse Modern '!AA221</f>
        <v>Jaguar XK Coupe Coup� (AD) 2ov 4196cm3 A</v>
      </c>
      <c r="K232" t="str">
        <f>Ajoneuvorekisteri_Parse_Modern_XK_Range_TieliikenneAvoinData_30_06_2026_csv[[#This Row],[tyyppihyvaksyntanro]]</f>
        <v>e11*95/54*0062*06</v>
      </c>
      <c r="L232">
        <f>'Ajoneuvorekisteri-Parse Modern '!M221</f>
        <v>1720</v>
      </c>
      <c r="M232">
        <f t="shared" si="27"/>
        <v>1</v>
      </c>
      <c r="N232">
        <f t="shared" si="28"/>
        <v>0</v>
      </c>
      <c r="O232">
        <f t="shared" si="29"/>
        <v>1</v>
      </c>
      <c r="P232">
        <f t="shared" si="30"/>
        <v>0</v>
      </c>
      <c r="Q232">
        <f>IF(AND(Table3[[#This Row],[Coupe]]&lt;&gt;1, Table3[[#This Row],[Convertible]]&lt;&gt;1), 1, 0)</f>
        <v>0</v>
      </c>
      <c r="R232" t="str">
        <f t="shared" si="31"/>
        <v>Coupe</v>
      </c>
    </row>
    <row r="233" spans="1:18" x14ac:dyDescent="0.25">
      <c r="A233">
        <f>'Ajoneuvorekisteri-Parse Modern '!AO75</f>
        <v>1973359</v>
      </c>
      <c r="B233" t="str">
        <f>'Ajoneuvorekisteri-Parse Modern '!AN75</f>
        <v>SAJAA43P78</v>
      </c>
      <c r="C233" t="str">
        <f t="shared" si="24"/>
        <v>UNKNOWN: [prefix=SAJAA]</v>
      </c>
      <c r="D233" t="str">
        <f t="shared" si="25"/>
        <v>UNKNOWN: [4=A]</v>
      </c>
      <c r="E233" t="str">
        <f t="shared" si="26"/>
        <v>X150_2008MY</v>
      </c>
      <c r="F233" t="str" cm="1">
        <f t="array" ref="F233">_xlfn.LET(_xlpm.v,UPPER(SUBSTITUTE(CLEAN(TRIM(B233)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X150_2008MY_MARKET_A_TRANS_A_BODY_43_EMISSION_P_CHECK_7</v>
      </c>
      <c r="G233" t="str" cm="1">
        <f t="array" ref="G233">_xlfn.LET(_xlpm.vin,SUBSTITUTE(CLEAN(TRIM(B233)),CHAR(160),""),_xlpm.rawDate,LEFT(TRIM(H233)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H233">
        <f>'Ajoneuvorekisteri-Parse Modern '!G75</f>
        <v>20080229</v>
      </c>
      <c r="I233" t="str">
        <f>LEFT(Table3[[#This Row],[Käyttöönotto]],4)</f>
        <v>2008</v>
      </c>
      <c r="J233" t="str">
        <f>'Ajoneuvorekisteri-Parse Modern '!AA75</f>
        <v>XK COUPE Coup� (AD) 4190cm3</v>
      </c>
      <c r="K233" t="str">
        <f>Ajoneuvorekisteri_Parse_Modern_XK_Range_TieliikenneAvoinData_30_06_2026_csv[[#This Row],[tyyppihyvaksyntanro]]</f>
        <v/>
      </c>
      <c r="L233">
        <f>'Ajoneuvorekisteri-Parse Modern '!M75</f>
        <v>1720</v>
      </c>
      <c r="M233">
        <f t="shared" si="27"/>
        <v>1</v>
      </c>
      <c r="N233">
        <f t="shared" si="28"/>
        <v>0</v>
      </c>
      <c r="O233">
        <f t="shared" si="29"/>
        <v>1</v>
      </c>
      <c r="P233">
        <f t="shared" si="30"/>
        <v>0</v>
      </c>
      <c r="Q233">
        <f>IF(AND(Table3[[#This Row],[Coupe]]&lt;&gt;1, Table3[[#This Row],[Convertible]]&lt;&gt;1), 1, 0)</f>
        <v>0</v>
      </c>
      <c r="R233" t="str">
        <f t="shared" si="31"/>
        <v>Coupe</v>
      </c>
    </row>
    <row r="234" spans="1:18" x14ac:dyDescent="0.25">
      <c r="A234">
        <f>'Ajoneuvorekisteri-Parse Modern '!AO78</f>
        <v>1989661</v>
      </c>
      <c r="B234" t="str">
        <f>'Ajoneuvorekisteri-Parse Modern '!AN78</f>
        <v>SAJAA44P87</v>
      </c>
      <c r="C234" t="str">
        <f t="shared" si="24"/>
        <v>UNKNOWN: [prefix=SAJAA]</v>
      </c>
      <c r="D234" t="str">
        <f t="shared" si="25"/>
        <v>UNKNOWN: [4=A]</v>
      </c>
      <c r="E234" t="str">
        <f t="shared" si="26"/>
        <v>X150_2007MY</v>
      </c>
      <c r="F234" t="str" cm="1">
        <f t="array" ref="F234">_xlfn.LET(_xlpm.v,UPPER(SUBSTITUTE(CLEAN(TRIM(B234)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X150_2007MY_MARKET_A_TRANS_A_BODY_44_EMISSION_P_CHECK_8</v>
      </c>
      <c r="G234" t="str" cm="1">
        <f t="array" ref="G234">_xlfn.LET(_xlpm.vin,SUBSTITUTE(CLEAN(TRIM(B234)),CHAR(160),""),_xlpm.rawDate,LEFT(TRIM(H234)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234">
        <f>'Ajoneuvorekisteri-Parse Modern '!G78</f>
        <v>20080314</v>
      </c>
      <c r="I234" t="str">
        <f>LEFT(Table3[[#This Row],[Käyttöönotto]],4)</f>
        <v>2008</v>
      </c>
      <c r="J234" t="str">
        <f>'Ajoneuvorekisteri-Parse Modern '!AA78</f>
        <v>XK Avoauto (AE) 2ov 4190cm3</v>
      </c>
      <c r="K234" t="str">
        <f>Ajoneuvorekisteri_Parse_Modern_XK_Range_TieliikenneAvoinData_30_06_2026_csv[[#This Row],[tyyppihyvaksyntanro]]</f>
        <v/>
      </c>
      <c r="L234">
        <f>'Ajoneuvorekisteri-Parse Modern '!M78</f>
        <v>1735</v>
      </c>
      <c r="M234">
        <f t="shared" si="27"/>
        <v>1</v>
      </c>
      <c r="N234">
        <f t="shared" si="28"/>
        <v>0</v>
      </c>
      <c r="O234">
        <f t="shared" si="29"/>
        <v>0</v>
      </c>
      <c r="P234">
        <f t="shared" si="30"/>
        <v>1</v>
      </c>
      <c r="Q234">
        <f>IF(AND(Table3[[#This Row],[Coupe]]&lt;&gt;1, Table3[[#This Row],[Convertible]]&lt;&gt;1), 1, 0)</f>
        <v>0</v>
      </c>
      <c r="R234" t="str">
        <f t="shared" si="31"/>
        <v>Convertible</v>
      </c>
    </row>
    <row r="235" spans="1:18" x14ac:dyDescent="0.25">
      <c r="A235">
        <f>'Ajoneuvorekisteri-Parse Modern '!AO77</f>
        <v>1988252</v>
      </c>
      <c r="B235" t="str">
        <f>'Ajoneuvorekisteri-Parse Modern '!AN77</f>
        <v>SAJAA44R58</v>
      </c>
      <c r="C235" t="str">
        <f t="shared" si="24"/>
        <v>UNKNOWN: [prefix=SAJAA]</v>
      </c>
      <c r="D235" t="str">
        <f t="shared" si="25"/>
        <v>UNKNOWN: [4=A]</v>
      </c>
      <c r="E235" t="str">
        <f t="shared" si="26"/>
        <v>X150_2008MY</v>
      </c>
      <c r="F235" t="str" cm="1">
        <f t="array" ref="F235">_xlfn.LET(_xlpm.v,UPPER(SUBSTITUTE(CLEAN(TRIM(B235)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X150_2008MY_MARKET_A_TRANS_A_BODY_44_EMISSION_R_CHECK_5</v>
      </c>
      <c r="G235" t="str" cm="1">
        <f t="array" ref="G235">_xlfn.LET(_xlpm.vin,SUBSTITUTE(CLEAN(TRIM(B235)),CHAR(160),""),_xlpm.rawDate,LEFT(TRIM(H235)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H235">
        <f>'Ajoneuvorekisteri-Parse Modern '!G77</f>
        <v>20080320</v>
      </c>
      <c r="I235" t="str">
        <f>LEFT(Table3[[#This Row],[Käyttöönotto]],4)</f>
        <v>2008</v>
      </c>
      <c r="J235" t="str">
        <f>'Ajoneuvorekisteri-Parse Modern '!AA77</f>
        <v>XKR CONVERTIBLE Avoauto (AE) 2ov 4196cm3 A</v>
      </c>
      <c r="K235" t="str">
        <f>Ajoneuvorekisteri_Parse_Modern_XK_Range_TieliikenneAvoinData_30_06_2026_csv[[#This Row],[tyyppihyvaksyntanro]]</f>
        <v>e11*2001/116*0272*03</v>
      </c>
      <c r="L235">
        <f>'Ajoneuvorekisteri-Parse Modern '!M77</f>
        <v>1785</v>
      </c>
      <c r="M235">
        <f t="shared" si="27"/>
        <v>0</v>
      </c>
      <c r="N235">
        <f t="shared" si="28"/>
        <v>1</v>
      </c>
      <c r="O235">
        <f t="shared" si="29"/>
        <v>0</v>
      </c>
      <c r="P235">
        <f t="shared" si="30"/>
        <v>1</v>
      </c>
      <c r="Q235">
        <f>IF(AND(Table3[[#This Row],[Coupe]]&lt;&gt;1, Table3[[#This Row],[Convertible]]&lt;&gt;1), 1, 0)</f>
        <v>0</v>
      </c>
      <c r="R235" t="str">
        <f t="shared" si="31"/>
        <v>Convertible</v>
      </c>
    </row>
    <row r="236" spans="1:18" x14ac:dyDescent="0.25">
      <c r="A236">
        <f>'Ajoneuvorekisteri-Parse Modern '!AO236</f>
        <v>4108587</v>
      </c>
      <c r="B236" t="str">
        <f>'Ajoneuvorekisteri-Parse Modern '!AN236</f>
        <v>SAJAC44R28</v>
      </c>
      <c r="C236" t="str">
        <f t="shared" si="24"/>
        <v>UNKNOWN: [prefix=SAJAC]</v>
      </c>
      <c r="D236" t="str">
        <f t="shared" si="25"/>
        <v>UNKNOWN: [4=A]</v>
      </c>
      <c r="E236" t="str">
        <f t="shared" si="26"/>
        <v>X150_2008MY</v>
      </c>
      <c r="F236" t="str" cm="1">
        <f t="array" ref="F236">_xlfn.LET(_xlpm.v,UPPER(SUBSTITUTE(CLEAN(TRIM(B236)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X150_2008MY_MARKET_A_TRANS_C_BODY_44_EMISSION_R_CHECK_2</v>
      </c>
      <c r="G236" t="str" cm="1">
        <f t="array" ref="G236">_xlfn.LET(_xlpm.vin,SUBSTITUTE(CLEAN(TRIM(B236)),CHAR(160),""),_xlpm.rawDate,LEFT(TRIM(H236)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H236">
        <f>'Ajoneuvorekisteri-Parse Modern '!G236</f>
        <v>20080331</v>
      </c>
      <c r="I236" t="str">
        <f>LEFT(Table3[[#This Row],[Käyttöönotto]],4)</f>
        <v>2008</v>
      </c>
      <c r="J236" t="str">
        <f>'Ajoneuvorekisteri-Parse Modern '!AA236</f>
        <v>XKR CONVERTIBLE Avoauto (AE) 2ov 4196cm3 A</v>
      </c>
      <c r="K236" t="str">
        <f>Ajoneuvorekisteri_Parse_Modern_XK_Range_TieliikenneAvoinData_30_06_2026_csv[[#This Row],[tyyppihyvaksyntanro]]</f>
        <v>e11*2001/116*0272*03</v>
      </c>
      <c r="L236">
        <f>'Ajoneuvorekisteri-Parse Modern '!M236</f>
        <v>1785</v>
      </c>
      <c r="M236">
        <f t="shared" si="27"/>
        <v>0</v>
      </c>
      <c r="N236">
        <f t="shared" si="28"/>
        <v>1</v>
      </c>
      <c r="O236">
        <f t="shared" si="29"/>
        <v>0</v>
      </c>
      <c r="P236">
        <f t="shared" si="30"/>
        <v>1</v>
      </c>
      <c r="Q236">
        <f>IF(AND(Table3[[#This Row],[Coupe]]&lt;&gt;1, Table3[[#This Row],[Convertible]]&lt;&gt;1), 1, 0)</f>
        <v>0</v>
      </c>
      <c r="R236" t="str">
        <f t="shared" si="31"/>
        <v>Convertible</v>
      </c>
    </row>
    <row r="237" spans="1:18" x14ac:dyDescent="0.25">
      <c r="A237">
        <f>'Ajoneuvorekisteri-Parse Modern '!AO230</f>
        <v>3815961</v>
      </c>
      <c r="B237" t="str">
        <f>'Ajoneuvorekisteri-Parse Modern '!AN230</f>
        <v>SAJWA44C38</v>
      </c>
      <c r="C237" t="str">
        <f t="shared" si="24"/>
        <v>UNKNOWN: [prefix=SAJWA]</v>
      </c>
      <c r="D237" t="str">
        <f t="shared" si="25"/>
        <v>UNKNOWN: [6-7=44]</v>
      </c>
      <c r="E237" t="str">
        <f t="shared" si="26"/>
        <v>X150_2008MY</v>
      </c>
      <c r="F237" t="str" cm="1">
        <f t="array" ref="F237">_xlfn.LET(_xlpm.v,UPPER(SUBSTITUTE(CLEAN(TRIM(B237)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X150_2008MY_MARKET_W_TRANS_A_BODY_44_EMISSION_C_CHECK_3</v>
      </c>
      <c r="G237" t="str" cm="1">
        <f t="array" ref="G237">_xlfn.LET(_xlpm.vin,SUBSTITUTE(CLEAN(TRIM(B237)),CHAR(160),""),_xlpm.rawDate,LEFT(TRIM(H237)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H237">
        <f>'Ajoneuvorekisteri-Parse Modern '!G230</f>
        <v>20080407</v>
      </c>
      <c r="I237" t="str">
        <f>LEFT(Table3[[#This Row],[Käyttöönotto]],4)</f>
        <v>2008</v>
      </c>
      <c r="J237" t="str">
        <f>'Ajoneuvorekisteri-Parse Modern '!AA230</f>
        <v>XKR  2ov 4196cm3 A</v>
      </c>
      <c r="K237" t="str">
        <f>Ajoneuvorekisteri_Parse_Modern_XK_Range_TieliikenneAvoinData_30_06_2026_csv[[#This Row],[tyyppihyvaksyntanro]]</f>
        <v/>
      </c>
      <c r="L237">
        <f>'Ajoneuvorekisteri-Parse Modern '!M230</f>
        <v>1801</v>
      </c>
      <c r="M237">
        <f t="shared" si="27"/>
        <v>0</v>
      </c>
      <c r="N237">
        <f t="shared" si="28"/>
        <v>1</v>
      </c>
      <c r="O237">
        <f t="shared" si="29"/>
        <v>0</v>
      </c>
      <c r="P237">
        <f t="shared" si="30"/>
        <v>0</v>
      </c>
      <c r="Q237">
        <f>IF(AND(Table3[[#This Row],[Coupe]]&lt;&gt;1, Table3[[#This Row],[Convertible]]&lt;&gt;1), 1, 0)</f>
        <v>1</v>
      </c>
      <c r="R237" t="str">
        <f t="shared" si="31"/>
        <v>Unknown</v>
      </c>
    </row>
    <row r="238" spans="1:18" x14ac:dyDescent="0.25">
      <c r="A238">
        <f>'Ajoneuvorekisteri-Parse Modern '!AO195</f>
        <v>3314916</v>
      </c>
      <c r="B238" t="str">
        <f>'Ajoneuvorekisteri-Parse Modern '!AN195</f>
        <v>SAJAA43R18</v>
      </c>
      <c r="C238" t="str">
        <f t="shared" si="24"/>
        <v>UNKNOWN: [prefix=SAJAA]</v>
      </c>
      <c r="D238" t="str">
        <f t="shared" si="25"/>
        <v>UNKNOWN: [4=A]</v>
      </c>
      <c r="E238" t="str">
        <f t="shared" si="26"/>
        <v>X150_2008MY</v>
      </c>
      <c r="F238" t="str" cm="1">
        <f t="array" ref="F238">_xlfn.LET(_xlpm.v,UPPER(SUBSTITUTE(CLEAN(TRIM(B238)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X150_2008MY_MARKET_A_TRANS_A_BODY_43_EMISSION_R_CHECK_1</v>
      </c>
      <c r="G238" t="str" cm="1">
        <f t="array" ref="G238">_xlfn.LET(_xlpm.vin,SUBSTITUTE(CLEAN(TRIM(B238)),CHAR(160),""),_xlpm.rawDate,LEFT(TRIM(H238)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H238">
        <f>'Ajoneuvorekisteri-Parse Modern '!G195</f>
        <v>20080424</v>
      </c>
      <c r="I238" t="str">
        <f>LEFT(Table3[[#This Row],[Käyttöönotto]],4)</f>
        <v>2008</v>
      </c>
      <c r="J238" t="str">
        <f>'Ajoneuvorekisteri-Parse Modern '!AA195</f>
        <v>XKR COUPE Coup� (AD) 2ov 4196cm3 A</v>
      </c>
      <c r="K238" t="str">
        <f>Ajoneuvorekisteri_Parse_Modern_XK_Range_TieliikenneAvoinData_30_06_2026_csv[[#This Row],[tyyppihyvaksyntanro]]</f>
        <v>e11*2001/116*0272*02</v>
      </c>
      <c r="L238">
        <f>'Ajoneuvorekisteri-Parse Modern '!M195</f>
        <v>1770</v>
      </c>
      <c r="M238">
        <f t="shared" si="27"/>
        <v>0</v>
      </c>
      <c r="N238">
        <f t="shared" si="28"/>
        <v>1</v>
      </c>
      <c r="O238">
        <f t="shared" si="29"/>
        <v>1</v>
      </c>
      <c r="P238">
        <f t="shared" si="30"/>
        <v>0</v>
      </c>
      <c r="Q238">
        <f>IF(AND(Table3[[#This Row],[Coupe]]&lt;&gt;1, Table3[[#This Row],[Convertible]]&lt;&gt;1), 1, 0)</f>
        <v>0</v>
      </c>
      <c r="R238" t="str">
        <f t="shared" si="31"/>
        <v>Coupe</v>
      </c>
    </row>
    <row r="239" spans="1:18" x14ac:dyDescent="0.25">
      <c r="A239">
        <f>'Ajoneuvorekisteri-Parse Modern '!AO107</f>
        <v>2308012</v>
      </c>
      <c r="B239" t="str">
        <f>'Ajoneuvorekisteri-Parse Modern '!AN107</f>
        <v>SAJAA43R28</v>
      </c>
      <c r="C239" t="str">
        <f t="shared" si="24"/>
        <v>UNKNOWN: [prefix=SAJAA]</v>
      </c>
      <c r="D239" t="str">
        <f t="shared" si="25"/>
        <v>UNKNOWN: [4=A]</v>
      </c>
      <c r="E239" t="str">
        <f t="shared" si="26"/>
        <v>X150_2008MY</v>
      </c>
      <c r="F239" t="str" cm="1">
        <f t="array" ref="F239">_xlfn.LET(_xlpm.v,UPPER(SUBSTITUTE(CLEAN(TRIM(B239)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X150_2008MY_MARKET_A_TRANS_A_BODY_43_EMISSION_R_CHECK_2</v>
      </c>
      <c r="G239" t="str" cm="1">
        <f t="array" ref="G239">_xlfn.LET(_xlpm.vin,SUBSTITUTE(CLEAN(TRIM(B239)),CHAR(160),""),_xlpm.rawDate,LEFT(TRIM(H239)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H239">
        <f>'Ajoneuvorekisteri-Parse Modern '!G107</f>
        <v>20080516</v>
      </c>
      <c r="I239" t="str">
        <f>LEFT(Table3[[#This Row],[Käyttöönotto]],4)</f>
        <v>2008</v>
      </c>
      <c r="J239" t="str">
        <f>'Ajoneuvorekisteri-Parse Modern '!AA107</f>
        <v>XKR COUPE Coup� (AD) 2ov 4196cm3 A</v>
      </c>
      <c r="K239" t="str">
        <f>Ajoneuvorekisteri_Parse_Modern_XK_Range_TieliikenneAvoinData_30_06_2026_csv[[#This Row],[tyyppihyvaksyntanro]]</f>
        <v>e11*2001/116*0272*00</v>
      </c>
      <c r="L239">
        <f>'Ajoneuvorekisteri-Parse Modern '!M107</f>
        <v>1770</v>
      </c>
      <c r="M239">
        <f t="shared" si="27"/>
        <v>0</v>
      </c>
      <c r="N239">
        <f t="shared" si="28"/>
        <v>1</v>
      </c>
      <c r="O239">
        <f t="shared" si="29"/>
        <v>1</v>
      </c>
      <c r="P239">
        <f t="shared" si="30"/>
        <v>0</v>
      </c>
      <c r="Q239">
        <f>IF(AND(Table3[[#This Row],[Coupe]]&lt;&gt;1, Table3[[#This Row],[Convertible]]&lt;&gt;1), 1, 0)</f>
        <v>0</v>
      </c>
      <c r="R239" t="str">
        <f t="shared" si="31"/>
        <v>Coupe</v>
      </c>
    </row>
    <row r="240" spans="1:18" x14ac:dyDescent="0.25">
      <c r="A240">
        <f>'Ajoneuvorekisteri-Parse Modern '!AO213</f>
        <v>3555492</v>
      </c>
      <c r="B240" t="str">
        <f>'Ajoneuvorekisteri-Parse Modern '!AN213</f>
        <v>SAJAA43P69</v>
      </c>
      <c r="C240" t="str">
        <f t="shared" si="24"/>
        <v>UNKNOWN: [prefix=SAJAA]</v>
      </c>
      <c r="D240" t="str">
        <f t="shared" si="25"/>
        <v>UNKNOWN: [4=A]</v>
      </c>
      <c r="E240" t="str">
        <f t="shared" si="26"/>
        <v>X150_2009MY</v>
      </c>
      <c r="F240" t="str" cm="1">
        <f t="array" ref="F240">_xlfn.LET(_xlpm.v,UPPER(SUBSTITUTE(CLEAN(TRIM(B240)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X150_2009MY_MARKET_A_TRANS_A_BODY_43_EMISSION_P_CHECK_6</v>
      </c>
      <c r="G240" t="str" cm="1">
        <f t="array" ref="G240">_xlfn.LET(_xlpm.vin,SUBSTITUTE(CLEAN(TRIM(B240)),CHAR(160),""),_xlpm.rawDate,LEFT(TRIM(H240)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B27987–B32752</v>
      </c>
      <c r="H240">
        <f>'Ajoneuvorekisteri-Parse Modern '!G213</f>
        <v>20080924</v>
      </c>
      <c r="I240" t="str">
        <f>LEFT(Table3[[#This Row],[Käyttöönotto]],4)</f>
        <v>2008</v>
      </c>
      <c r="J240" t="str">
        <f>'Ajoneuvorekisteri-Parse Modern '!AA213</f>
        <v>XK COUPE Coup� (AD) 2ov 4196cm3 A</v>
      </c>
      <c r="K240" t="str">
        <f>Ajoneuvorekisteri_Parse_Modern_XK_Range_TieliikenneAvoinData_30_06_2026_csv[[#This Row],[tyyppihyvaksyntanro]]</f>
        <v/>
      </c>
      <c r="L240">
        <f>'Ajoneuvorekisteri-Parse Modern '!M213</f>
        <v>1720</v>
      </c>
      <c r="M240">
        <f t="shared" si="27"/>
        <v>1</v>
      </c>
      <c r="N240">
        <f t="shared" si="28"/>
        <v>0</v>
      </c>
      <c r="O240">
        <f t="shared" si="29"/>
        <v>1</v>
      </c>
      <c r="P240">
        <f t="shared" si="30"/>
        <v>0</v>
      </c>
      <c r="Q240">
        <f>IF(AND(Table3[[#This Row],[Coupe]]&lt;&gt;1, Table3[[#This Row],[Convertible]]&lt;&gt;1), 1, 0)</f>
        <v>0</v>
      </c>
      <c r="R240" t="str">
        <f t="shared" si="31"/>
        <v>Coupe</v>
      </c>
    </row>
    <row r="241" spans="1:18" x14ac:dyDescent="0.25">
      <c r="A241">
        <f>'Ajoneuvorekisteri-Parse Modern '!AO214</f>
        <v>3567960</v>
      </c>
      <c r="B241" t="str">
        <f>'Ajoneuvorekisteri-Parse Modern '!AN214</f>
        <v>SAJAA43P78</v>
      </c>
      <c r="C241" t="str">
        <f t="shared" si="24"/>
        <v>UNKNOWN: [prefix=SAJAA]</v>
      </c>
      <c r="D241" t="str">
        <f t="shared" si="25"/>
        <v>UNKNOWN: [4=A]</v>
      </c>
      <c r="E241" t="str">
        <f t="shared" si="26"/>
        <v>X150_2008MY</v>
      </c>
      <c r="F241" t="str" cm="1">
        <f t="array" ref="F241">_xlfn.LET(_xlpm.v,UPPER(SUBSTITUTE(CLEAN(TRIM(B241)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X150_2008MY_MARKET_A_TRANS_A_BODY_43_EMISSION_P_CHECK_7</v>
      </c>
      <c r="G241" t="str" cm="1">
        <f t="array" ref="G241">_xlfn.LET(_xlpm.vin,SUBSTITUTE(CLEAN(TRIM(B241)),CHAR(160),""),_xlpm.rawDate,LEFT(TRIM(H241)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H241">
        <f>'Ajoneuvorekisteri-Parse Modern '!G214</f>
        <v>20080930</v>
      </c>
      <c r="I241" t="str">
        <f>LEFT(Table3[[#This Row],[Käyttöönotto]],4)</f>
        <v>2008</v>
      </c>
      <c r="J241" t="str">
        <f>'Ajoneuvorekisteri-Parse Modern '!AA214</f>
        <v>XK COUPE Coup� (AD) 2ov 4196cm3 A</v>
      </c>
      <c r="K241" t="str">
        <f>Ajoneuvorekisteri_Parse_Modern_XK_Range_TieliikenneAvoinData_30_06_2026_csv[[#This Row],[tyyppihyvaksyntanro]]</f>
        <v>e11*2001/116*0272*02</v>
      </c>
      <c r="L241">
        <f>'Ajoneuvorekisteri-Parse Modern '!M214</f>
        <v>1720</v>
      </c>
      <c r="M241">
        <f t="shared" si="27"/>
        <v>1</v>
      </c>
      <c r="N241">
        <f t="shared" si="28"/>
        <v>0</v>
      </c>
      <c r="O241">
        <f t="shared" si="29"/>
        <v>1</v>
      </c>
      <c r="P241">
        <f t="shared" si="30"/>
        <v>0</v>
      </c>
      <c r="Q241">
        <f>IF(AND(Table3[[#This Row],[Coupe]]&lt;&gt;1, Table3[[#This Row],[Convertible]]&lt;&gt;1), 1, 0)</f>
        <v>0</v>
      </c>
      <c r="R241" t="str">
        <f t="shared" si="31"/>
        <v>Coupe</v>
      </c>
    </row>
    <row r="242" spans="1:18" x14ac:dyDescent="0.25">
      <c r="A242">
        <f>'Ajoneuvorekisteri-Parse Modern '!AO163</f>
        <v>2856975</v>
      </c>
      <c r="B242" t="str">
        <f>'Ajoneuvorekisteri-Parse Modern '!AN163</f>
        <v>SAJAA44R87</v>
      </c>
      <c r="C242" t="str">
        <f t="shared" si="24"/>
        <v>UNKNOWN: [prefix=SAJAA]</v>
      </c>
      <c r="D242" t="str">
        <f t="shared" si="25"/>
        <v>UNKNOWN: [4=A]</v>
      </c>
      <c r="E242" t="str">
        <f t="shared" si="26"/>
        <v>X150_2007MY</v>
      </c>
      <c r="F242" t="str" cm="1">
        <f t="array" ref="F242">_xlfn.LET(_xlpm.v,UPPER(SUBSTITUTE(CLEAN(TRIM(B242)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X150_2007MY_MARKET_A_TRANS_A_BODY_44_EMISSION_R_CHECK_8</v>
      </c>
      <c r="G242" t="str" cm="1">
        <f t="array" ref="G242">_xlfn.LET(_xlpm.vin,SUBSTITUTE(CLEAN(TRIM(B242)),CHAR(160),""),_xlpm.rawDate,LEFT(TRIM(H242)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242">
        <f>'Ajoneuvorekisteri-Parse Modern '!G163</f>
        <v>20081016</v>
      </c>
      <c r="I242" t="str">
        <f>LEFT(Table3[[#This Row],[Käyttöönotto]],4)</f>
        <v>2008</v>
      </c>
      <c r="J242" t="str">
        <f>'Ajoneuvorekisteri-Parse Modern '!AA163</f>
        <v>XK Avoauto (AE) 2ov 4190cm3 A</v>
      </c>
      <c r="K242" t="str">
        <f>Ajoneuvorekisteri_Parse_Modern_XK_Range_TieliikenneAvoinData_30_06_2026_csv[[#This Row],[tyyppihyvaksyntanro]]</f>
        <v/>
      </c>
      <c r="L242">
        <f>'Ajoneuvorekisteri-Parse Modern '!M163</f>
        <v>1785</v>
      </c>
      <c r="M242">
        <f t="shared" si="27"/>
        <v>1</v>
      </c>
      <c r="N242">
        <f t="shared" si="28"/>
        <v>0</v>
      </c>
      <c r="O242">
        <f t="shared" si="29"/>
        <v>0</v>
      </c>
      <c r="P242">
        <f t="shared" si="30"/>
        <v>1</v>
      </c>
      <c r="Q242">
        <f>IF(AND(Table3[[#This Row],[Coupe]]&lt;&gt;1, Table3[[#This Row],[Convertible]]&lt;&gt;1), 1, 0)</f>
        <v>0</v>
      </c>
      <c r="R242" t="str">
        <f t="shared" si="31"/>
        <v>Convertible</v>
      </c>
    </row>
    <row r="243" spans="1:18" x14ac:dyDescent="0.25">
      <c r="A243">
        <f>'Ajoneuvorekisteri-Parse Modern '!AO237</f>
        <v>4122647</v>
      </c>
      <c r="B243" t="str">
        <f>'Ajoneuvorekisteri-Parse Modern '!AN237</f>
        <v>SAJWA46C39</v>
      </c>
      <c r="C243" t="str">
        <f t="shared" si="24"/>
        <v>UNKNOWN: [prefix=SAJWA]</v>
      </c>
      <c r="D243" t="str">
        <f t="shared" si="25"/>
        <v>UNKNOWN: [6-7=46]</v>
      </c>
      <c r="E243" t="str">
        <f t="shared" si="26"/>
        <v>X150_2009MY</v>
      </c>
      <c r="F243" t="str" cm="1">
        <f t="array" ref="F243">_xlfn.LET(_xlpm.v,UPPER(SUBSTITUTE(CLEAN(TRIM(B243)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X150_2009MY_MARKET_W_TRANS_A_BODY_46_EMISSION_C_CHECK_3</v>
      </c>
      <c r="G243" t="str" cm="1">
        <f t="array" ref="G243">_xlfn.LET(_xlpm.vin,SUBSTITUTE(CLEAN(TRIM(B243)),CHAR(160),""),_xlpm.rawDate,LEFT(TRIM(H243)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B27987–B32752</v>
      </c>
      <c r="H243">
        <f>'Ajoneuvorekisteri-Parse Modern '!G237</f>
        <v>20090000</v>
      </c>
      <c r="I243" t="str">
        <f>LEFT(Table3[[#This Row],[Käyttöönotto]],4)</f>
        <v>2009</v>
      </c>
      <c r="J243" t="str">
        <f>'Ajoneuvorekisteri-Parse Modern '!AA237</f>
        <v>XKR Avoauto (AE) 2ov 4196cm3 A</v>
      </c>
      <c r="K243" t="str">
        <f>Ajoneuvorekisteri_Parse_Modern_XK_Range_TieliikenneAvoinData_30_06_2026_csv[[#This Row],[tyyppihyvaksyntanro]]</f>
        <v/>
      </c>
      <c r="L243">
        <f>'Ajoneuvorekisteri-Parse Modern '!M237</f>
        <v>1813</v>
      </c>
      <c r="M243">
        <f t="shared" si="27"/>
        <v>0</v>
      </c>
      <c r="N243">
        <f t="shared" si="28"/>
        <v>1</v>
      </c>
      <c r="O243">
        <f t="shared" si="29"/>
        <v>0</v>
      </c>
      <c r="P243">
        <f t="shared" si="30"/>
        <v>1</v>
      </c>
      <c r="Q243">
        <f>IF(AND(Table3[[#This Row],[Coupe]]&lt;&gt;1, Table3[[#This Row],[Convertible]]&lt;&gt;1), 1, 0)</f>
        <v>0</v>
      </c>
      <c r="R243" t="str">
        <f t="shared" si="31"/>
        <v>Convertible</v>
      </c>
    </row>
    <row r="244" spans="1:18" x14ac:dyDescent="0.25">
      <c r="A244">
        <f>'Ajoneuvorekisteri-Parse Modern '!AO88</f>
        <v>2143903</v>
      </c>
      <c r="B244" t="str">
        <f>'Ajoneuvorekisteri-Parse Modern '!AN88</f>
        <v>SAJAA44R69</v>
      </c>
      <c r="C244" t="str">
        <f t="shared" si="24"/>
        <v>UNKNOWN: [prefix=SAJAA]</v>
      </c>
      <c r="D244" t="str">
        <f t="shared" si="25"/>
        <v>UNKNOWN: [4=A]</v>
      </c>
      <c r="E244" t="str">
        <f t="shared" si="26"/>
        <v>X150_2009MY</v>
      </c>
      <c r="F244" t="str" cm="1">
        <f t="array" ref="F244">_xlfn.LET(_xlpm.v,UPPER(SUBSTITUTE(CLEAN(TRIM(B244)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X150_2009MY_MARKET_A_TRANS_A_BODY_44_EMISSION_R_CHECK_6</v>
      </c>
      <c r="G244" t="str" cm="1">
        <f t="array" ref="G244">_xlfn.LET(_xlpm.vin,SUBSTITUTE(CLEAN(TRIM(B244)),CHAR(160),""),_xlpm.rawDate,LEFT(TRIM(H244)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B27987–B32752</v>
      </c>
      <c r="H244">
        <f>'Ajoneuvorekisteri-Parse Modern '!G88</f>
        <v>20090312</v>
      </c>
      <c r="I244" t="str">
        <f>LEFT(Table3[[#This Row],[Käyttöönotto]],4)</f>
        <v>2009</v>
      </c>
      <c r="J244" t="str">
        <f>'Ajoneuvorekisteri-Parse Modern '!AA88</f>
        <v>XKR CONVERTIBLE Avoauto (AE) 2ov 4196cm3 A</v>
      </c>
      <c r="K244" t="str">
        <f>Ajoneuvorekisteri_Parse_Modern_XK_Range_TieliikenneAvoinData_30_06_2026_csv[[#This Row],[tyyppihyvaksyntanro]]</f>
        <v>e11*95/54*0061*04</v>
      </c>
      <c r="L244">
        <f>'Ajoneuvorekisteri-Parse Modern '!M88</f>
        <v>1785</v>
      </c>
      <c r="M244">
        <f t="shared" si="27"/>
        <v>0</v>
      </c>
      <c r="N244">
        <f t="shared" si="28"/>
        <v>1</v>
      </c>
      <c r="O244">
        <f t="shared" si="29"/>
        <v>0</v>
      </c>
      <c r="P244">
        <f t="shared" si="30"/>
        <v>1</v>
      </c>
      <c r="Q244">
        <f>IF(AND(Table3[[#This Row],[Coupe]]&lt;&gt;1, Table3[[#This Row],[Convertible]]&lt;&gt;1), 1, 0)</f>
        <v>0</v>
      </c>
      <c r="R244" t="str">
        <f t="shared" si="31"/>
        <v>Convertible</v>
      </c>
    </row>
    <row r="245" spans="1:18" x14ac:dyDescent="0.25">
      <c r="A245">
        <f>'Ajoneuvorekisteri-Parse Modern '!AO235</f>
        <v>4093654</v>
      </c>
      <c r="B245" t="str">
        <f>'Ajoneuvorekisteri-Parse Modern '!AN235</f>
        <v>SAJAA43P68</v>
      </c>
      <c r="C245" t="str">
        <f t="shared" si="24"/>
        <v>UNKNOWN: [prefix=SAJAA]</v>
      </c>
      <c r="D245" t="str">
        <f t="shared" si="25"/>
        <v>UNKNOWN: [4=A]</v>
      </c>
      <c r="E245" t="str">
        <f t="shared" si="26"/>
        <v>X150_2008MY</v>
      </c>
      <c r="F245" t="str" cm="1">
        <f t="array" ref="F245">_xlfn.LET(_xlpm.v,UPPER(SUBSTITUTE(CLEAN(TRIM(B245)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X150_2008MY_MARKET_A_TRANS_A_BODY_43_EMISSION_P_CHECK_6</v>
      </c>
      <c r="G245" t="str" cm="1">
        <f t="array" ref="G245">_xlfn.LET(_xlpm.vin,SUBSTITUTE(CLEAN(TRIM(B245)),CHAR(160),""),_xlpm.rawDate,LEFT(TRIM(H245)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H245">
        <f>'Ajoneuvorekisteri-Parse Modern '!G235</f>
        <v>20090409</v>
      </c>
      <c r="I245" t="str">
        <f>LEFT(Table3[[#This Row],[Käyttöönotto]],4)</f>
        <v>2009</v>
      </c>
      <c r="J245" t="str">
        <f>'Ajoneuvorekisteri-Parse Modern '!AA235</f>
        <v>XK COUPE Coup� (AD) 2ov 4196cm3 A</v>
      </c>
      <c r="K245" t="str">
        <f>Ajoneuvorekisteri_Parse_Modern_XK_Range_TieliikenneAvoinData_30_06_2026_csv[[#This Row],[tyyppihyvaksyntanro]]</f>
        <v>e11*95/54*0061*07</v>
      </c>
      <c r="L245">
        <f>'Ajoneuvorekisteri-Parse Modern '!M235</f>
        <v>1720</v>
      </c>
      <c r="M245">
        <f t="shared" si="27"/>
        <v>1</v>
      </c>
      <c r="N245">
        <f t="shared" si="28"/>
        <v>0</v>
      </c>
      <c r="O245">
        <f t="shared" si="29"/>
        <v>1</v>
      </c>
      <c r="P245">
        <f t="shared" si="30"/>
        <v>0</v>
      </c>
      <c r="Q245">
        <f>IF(AND(Table3[[#This Row],[Coupe]]&lt;&gt;1, Table3[[#This Row],[Convertible]]&lt;&gt;1), 1, 0)</f>
        <v>0</v>
      </c>
      <c r="R245" t="str">
        <f t="shared" si="31"/>
        <v>Coupe</v>
      </c>
    </row>
    <row r="246" spans="1:18" x14ac:dyDescent="0.25">
      <c r="A246">
        <f>'Ajoneuvorekisteri-Parse Modern '!AO89</f>
        <v>2158085</v>
      </c>
      <c r="B246" t="str">
        <f>'Ajoneuvorekisteri-Parse Modern '!AN89</f>
        <v>SAJAA43RX8</v>
      </c>
      <c r="C246" t="str">
        <f t="shared" si="24"/>
        <v>UNKNOWN: [prefix=SAJAA]</v>
      </c>
      <c r="D246" t="str">
        <f t="shared" si="25"/>
        <v>UNKNOWN: [4=A]</v>
      </c>
      <c r="E246" t="str">
        <f t="shared" si="26"/>
        <v>X150_2008MY</v>
      </c>
      <c r="F246" t="str" cm="1">
        <f t="array" ref="F246">_xlfn.LET(_xlpm.v,UPPER(SUBSTITUTE(CLEAN(TRIM(B246)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X150_2008MY_MARKET_A_TRANS_A_BODY_43_EMISSION_R_CHECK_X</v>
      </c>
      <c r="G246" t="str" cm="1">
        <f t="array" ref="G246">_xlfn.LET(_xlpm.vin,SUBSTITUTE(CLEAN(TRIM(B246)),CHAR(160),""),_xlpm.rawDate,LEFT(TRIM(H246)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H246">
        <f>'Ajoneuvorekisteri-Parse Modern '!G89</f>
        <v>20090423</v>
      </c>
      <c r="I246" t="str">
        <f>LEFT(Table3[[#This Row],[Käyttöönotto]],4)</f>
        <v>2009</v>
      </c>
      <c r="J246" t="str">
        <f>'Ajoneuvorekisteri-Parse Modern '!AA89</f>
        <v>XKR COUPE Coup� (AD) 2ov 4196cm3 A</v>
      </c>
      <c r="K246" t="str">
        <f>Ajoneuvorekisteri_Parse_Modern_XK_Range_TieliikenneAvoinData_30_06_2026_csv[[#This Row],[tyyppihyvaksyntanro]]</f>
        <v/>
      </c>
      <c r="L246">
        <f>'Ajoneuvorekisteri-Parse Modern '!M89</f>
        <v>1770</v>
      </c>
      <c r="M246">
        <f t="shared" si="27"/>
        <v>0</v>
      </c>
      <c r="N246">
        <f t="shared" si="28"/>
        <v>1</v>
      </c>
      <c r="O246">
        <f t="shared" si="29"/>
        <v>1</v>
      </c>
      <c r="P246">
        <f t="shared" si="30"/>
        <v>0</v>
      </c>
      <c r="Q246">
        <f>IF(AND(Table3[[#This Row],[Coupe]]&lt;&gt;1, Table3[[#This Row],[Convertible]]&lt;&gt;1), 1, 0)</f>
        <v>0</v>
      </c>
      <c r="R246" t="str">
        <f t="shared" si="31"/>
        <v>Coupe</v>
      </c>
    </row>
    <row r="247" spans="1:18" x14ac:dyDescent="0.25">
      <c r="A247">
        <f>'Ajoneuvorekisteri-Parse Modern '!AO90</f>
        <v>2158087</v>
      </c>
      <c r="B247" t="str">
        <f>'Ajoneuvorekisteri-Parse Modern '!AN90</f>
        <v>SAJAA43R48</v>
      </c>
      <c r="C247" t="str">
        <f t="shared" si="24"/>
        <v>UNKNOWN: [prefix=SAJAA]</v>
      </c>
      <c r="D247" t="str">
        <f t="shared" si="25"/>
        <v>UNKNOWN: [4=A]</v>
      </c>
      <c r="E247" t="str">
        <f t="shared" si="26"/>
        <v>X150_2008MY</v>
      </c>
      <c r="F247" t="str" cm="1">
        <f t="array" ref="F247">_xlfn.LET(_xlpm.v,UPPER(SUBSTITUTE(CLEAN(TRIM(B247)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X150_2008MY_MARKET_A_TRANS_A_BODY_43_EMISSION_R_CHECK_4</v>
      </c>
      <c r="G247" t="str" cm="1">
        <f t="array" ref="G247">_xlfn.LET(_xlpm.vin,SUBSTITUTE(CLEAN(TRIM(B247)),CHAR(160),""),_xlpm.rawDate,LEFT(TRIM(H247)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B20075–B27986</v>
      </c>
      <c r="H247">
        <f>'Ajoneuvorekisteri-Parse Modern '!G90</f>
        <v>20090423</v>
      </c>
      <c r="I247" t="str">
        <f>LEFT(Table3[[#This Row],[Käyttöönotto]],4)</f>
        <v>2009</v>
      </c>
      <c r="J247" t="str">
        <f>'Ajoneuvorekisteri-Parse Modern '!AA90</f>
        <v>XKR COUPE Coup� (AD) 2ov 4196cm3 A</v>
      </c>
      <c r="K247" t="str">
        <f>Ajoneuvorekisteri_Parse_Modern_XK_Range_TieliikenneAvoinData_30_06_2026_csv[[#This Row],[tyyppihyvaksyntanro]]</f>
        <v/>
      </c>
      <c r="L247">
        <f>'Ajoneuvorekisteri-Parse Modern '!M90</f>
        <v>1770</v>
      </c>
      <c r="M247">
        <f t="shared" si="27"/>
        <v>0</v>
      </c>
      <c r="N247">
        <f t="shared" si="28"/>
        <v>1</v>
      </c>
      <c r="O247">
        <f t="shared" si="29"/>
        <v>1</v>
      </c>
      <c r="P247">
        <f t="shared" si="30"/>
        <v>0</v>
      </c>
      <c r="Q247">
        <f>IF(AND(Table3[[#This Row],[Coupe]]&lt;&gt;1, Table3[[#This Row],[Convertible]]&lt;&gt;1), 1, 0)</f>
        <v>0</v>
      </c>
      <c r="R247" t="str">
        <f t="shared" si="31"/>
        <v>Coupe</v>
      </c>
    </row>
    <row r="248" spans="1:18" x14ac:dyDescent="0.25">
      <c r="A248">
        <f>'Ajoneuvorekisteri-Parse Modern '!AO91</f>
        <v>2158088</v>
      </c>
      <c r="B248" t="str">
        <f>'Ajoneuvorekisteri-Parse Modern '!AN91</f>
        <v>SAJAA43PX7</v>
      </c>
      <c r="C248" t="str">
        <f t="shared" si="24"/>
        <v>UNKNOWN: [prefix=SAJAA]</v>
      </c>
      <c r="D248" t="str">
        <f t="shared" si="25"/>
        <v>UNKNOWN: [4=A]</v>
      </c>
      <c r="E248" t="str">
        <f t="shared" si="26"/>
        <v>X150_2007MY</v>
      </c>
      <c r="F248" t="str" cm="1">
        <f t="array" ref="F248">_xlfn.LET(_xlpm.v,UPPER(SUBSTITUTE(CLEAN(TRIM(B248)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X150_2007MY_MARKET_A_TRANS_A_BODY_43_EMISSION_P_CHECK_X</v>
      </c>
      <c r="G248" t="str" cm="1">
        <f t="array" ref="G248">_xlfn.LET(_xlpm.vin,SUBSTITUTE(CLEAN(TRIM(B248)),CHAR(160),""),_xlpm.rawDate,LEFT(TRIM(H248)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B06784–B20074</v>
      </c>
      <c r="H248">
        <f>'Ajoneuvorekisteri-Parse Modern '!G91</f>
        <v>20090423</v>
      </c>
      <c r="I248" t="str">
        <f>LEFT(Table3[[#This Row],[Käyttöönotto]],4)</f>
        <v>2009</v>
      </c>
      <c r="J248" t="str">
        <f>'Ajoneuvorekisteri-Parse Modern '!AA91</f>
        <v>XK Coup� (AD) 4190cm3</v>
      </c>
      <c r="K248" t="str">
        <f>Ajoneuvorekisteri_Parse_Modern_XK_Range_TieliikenneAvoinData_30_06_2026_csv[[#This Row],[tyyppihyvaksyntanro]]</f>
        <v>e11*95/54*0061*04</v>
      </c>
      <c r="L248">
        <f>'Ajoneuvorekisteri-Parse Modern '!M91</f>
        <v>1720</v>
      </c>
      <c r="M248">
        <f t="shared" si="27"/>
        <v>1</v>
      </c>
      <c r="N248">
        <f t="shared" si="28"/>
        <v>0</v>
      </c>
      <c r="O248">
        <f t="shared" si="29"/>
        <v>1</v>
      </c>
      <c r="P248">
        <f t="shared" si="30"/>
        <v>0</v>
      </c>
      <c r="Q248">
        <f>IF(AND(Table3[[#This Row],[Coupe]]&lt;&gt;1, Table3[[#This Row],[Convertible]]&lt;&gt;1), 1, 0)</f>
        <v>0</v>
      </c>
      <c r="R248" t="str">
        <f t="shared" si="31"/>
        <v>Coupe</v>
      </c>
    </row>
    <row r="249" spans="1:18" x14ac:dyDescent="0.25">
      <c r="A249">
        <f>'Ajoneuvorekisteri-Parse Modern '!AO243</f>
        <v>4244187</v>
      </c>
      <c r="B249" t="str">
        <f>'Ajoneuvorekisteri-Parse Modern '!AN243</f>
        <v>SAJWA4EB0A</v>
      </c>
      <c r="C249" t="str">
        <f t="shared" si="24"/>
        <v>UNKNOWN: [prefix=SAJWA]</v>
      </c>
      <c r="D249" t="str">
        <f t="shared" si="25"/>
        <v>UNKNOWN: [6-7=4E]</v>
      </c>
      <c r="E249" t="str">
        <f t="shared" si="26"/>
        <v>X150_2010MY</v>
      </c>
      <c r="F249" t="str" cm="1">
        <f t="array" ref="F249">_xlfn.LET(_xlpm.v,UPPER(SUBSTITUTE(CLEAN(TRIM(B249)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X150_2010MY_MARKET_W_TRANS_A_BODY_4E_EMISSION_B_CHECK_0</v>
      </c>
      <c r="G249" t="str" cm="1">
        <f t="array" ref="G249">_xlfn.LET(_xlpm.vin,SUBSTITUTE(CLEAN(TRIM(B249)),CHAR(160),""),_xlpm.rawDate,LEFT(TRIM(H249)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B32753–B38853</v>
      </c>
      <c r="H249">
        <f>'Ajoneuvorekisteri-Parse Modern '!G243</f>
        <v>20100101</v>
      </c>
      <c r="I249" t="str">
        <f>LEFT(Table3[[#This Row],[Käyttöönotto]],4)</f>
        <v>2010</v>
      </c>
      <c r="J249" t="str">
        <f>'Ajoneuvorekisteri-Parse Modern '!AA243</f>
        <v>XK Avoauto (AE) 2ov A</v>
      </c>
      <c r="K249" t="str">
        <f>Ajoneuvorekisteri_Parse_Modern_XK_Range_TieliikenneAvoinData_30_06_2026_csv[[#This Row],[tyyppihyvaksyntanro]]</f>
        <v>e11*2001/116*0272*00</v>
      </c>
      <c r="L249">
        <f>'Ajoneuvorekisteri-Parse Modern '!M243</f>
        <v>1734</v>
      </c>
      <c r="M249">
        <f t="shared" si="27"/>
        <v>1</v>
      </c>
      <c r="N249">
        <f t="shared" si="28"/>
        <v>0</v>
      </c>
      <c r="O249">
        <f t="shared" si="29"/>
        <v>0</v>
      </c>
      <c r="P249">
        <f t="shared" si="30"/>
        <v>1</v>
      </c>
      <c r="Q249">
        <f>IF(AND(Table3[[#This Row],[Coupe]]&lt;&gt;1, Table3[[#This Row],[Convertible]]&lt;&gt;1), 1, 0)</f>
        <v>0</v>
      </c>
      <c r="R249" t="str">
        <f t="shared" si="31"/>
        <v>Convertible</v>
      </c>
    </row>
    <row r="250" spans="1:18" x14ac:dyDescent="0.25">
      <c r="A250">
        <f>'Ajoneuvorekisteri-Parse Modern '!AO110</f>
        <v>2327372</v>
      </c>
      <c r="B250" t="str">
        <f>'Ajoneuvorekisteri-Parse Modern '!AN110</f>
        <v>SAJAA44P5B</v>
      </c>
      <c r="C250" t="str">
        <f t="shared" si="24"/>
        <v>UNKNOWN: [prefix=SAJAA]</v>
      </c>
      <c r="D250" t="str">
        <f t="shared" si="25"/>
        <v>UNKNOWN: [4=A]</v>
      </c>
      <c r="E250" t="str">
        <f t="shared" si="26"/>
        <v>X150_2011MY</v>
      </c>
      <c r="F250" t="str" cm="1">
        <f t="array" ref="F250">_xlfn.LET(_xlpm.v,UPPER(SUBSTITUTE(CLEAN(TRIM(B250)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X150_2011MY_MARKET_A_TRANS_A_BODY_44_EMISSION_P_CHECK_5</v>
      </c>
      <c r="G250" t="str" cm="1">
        <f t="array" ref="G250">_xlfn.LET(_xlpm.vin,SUBSTITUTE(CLEAN(TRIM(B250)),CHAR(160),""),_xlpm.rawDate,LEFT(TRIM(H250)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B38854–B44939</v>
      </c>
      <c r="H250">
        <f>'Ajoneuvorekisteri-Parse Modern '!G110</f>
        <v>20100624</v>
      </c>
      <c r="I250" t="str">
        <f>LEFT(Table3[[#This Row],[Käyttöönotto]],4)</f>
        <v>2010</v>
      </c>
      <c r="J250" t="str">
        <f>'Ajoneuvorekisteri-Parse Modern '!AA110</f>
        <v>XK CONVERTIBLE Avoauto (AE) 2ov 5000cm3 A</v>
      </c>
      <c r="K250" t="str">
        <f>Ajoneuvorekisteri_Parse_Modern_XK_Range_TieliikenneAvoinData_30_06_2026_csv[[#This Row],[tyyppihyvaksyntanro]]</f>
        <v>e11*95/54*0062*05</v>
      </c>
      <c r="L250">
        <f>'Ajoneuvorekisteri-Parse Modern '!M110</f>
        <v>1734</v>
      </c>
      <c r="M250">
        <f t="shared" si="27"/>
        <v>1</v>
      </c>
      <c r="N250">
        <f t="shared" si="28"/>
        <v>0</v>
      </c>
      <c r="O250">
        <f t="shared" si="29"/>
        <v>0</v>
      </c>
      <c r="P250">
        <f t="shared" si="30"/>
        <v>1</v>
      </c>
      <c r="Q250">
        <f>IF(AND(Table3[[#This Row],[Coupe]]&lt;&gt;1, Table3[[#This Row],[Convertible]]&lt;&gt;1), 1, 0)</f>
        <v>0</v>
      </c>
      <c r="R250" t="str">
        <f t="shared" si="31"/>
        <v>Convertible</v>
      </c>
    </row>
    <row r="251" spans="1:18" x14ac:dyDescent="0.25">
      <c r="A251">
        <f>'Ajoneuvorekisteri-Parse Modern '!AO197</f>
        <v>3353579</v>
      </c>
      <c r="B251" t="str">
        <f>'Ajoneuvorekisteri-Parse Modern '!AN197</f>
        <v>SAJAA45R5B</v>
      </c>
      <c r="C251" t="str">
        <f t="shared" si="24"/>
        <v>UNKNOWN: [prefix=SAJAA]</v>
      </c>
      <c r="D251" t="str">
        <f t="shared" si="25"/>
        <v>UNKNOWN: [4=A]</v>
      </c>
      <c r="E251" t="str">
        <f t="shared" si="26"/>
        <v>X150_2011MY</v>
      </c>
      <c r="F251" t="str" cm="1">
        <f t="array" ref="F251">_xlfn.LET(_xlpm.v,UPPER(SUBSTITUTE(CLEAN(TRIM(B251)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X150_2011MY_MARKET_A_TRANS_A_BODY_45_EMISSION_R_CHECK_5</v>
      </c>
      <c r="G251" t="str" cm="1">
        <f t="array" ref="G251">_xlfn.LET(_xlpm.vin,SUBSTITUTE(CLEAN(TRIM(B251)),CHAR(160),""),_xlpm.rawDate,LEFT(TRIM(H251)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B38854–B44939</v>
      </c>
      <c r="H251">
        <f>'Ajoneuvorekisteri-Parse Modern '!G197</f>
        <v>20100915</v>
      </c>
      <c r="I251" t="str">
        <f>LEFT(Table3[[#This Row],[Käyttöönotto]],4)</f>
        <v>2010</v>
      </c>
      <c r="J251" t="str">
        <f>'Ajoneuvorekisteri-Parse Modern '!AA197</f>
        <v>XKR COUPE Coup� (AD) 2ov 5000cm3 A</v>
      </c>
      <c r="K251" t="str">
        <f>Ajoneuvorekisteri_Parse_Modern_XK_Range_TieliikenneAvoinData_30_06_2026_csv[[#This Row],[tyyppihyvaksyntanro]]</f>
        <v/>
      </c>
      <c r="L251">
        <f>'Ajoneuvorekisteri-Parse Modern '!M197</f>
        <v>1824</v>
      </c>
      <c r="M251">
        <f t="shared" si="27"/>
        <v>0</v>
      </c>
      <c r="N251">
        <f t="shared" si="28"/>
        <v>1</v>
      </c>
      <c r="O251">
        <f t="shared" si="29"/>
        <v>1</v>
      </c>
      <c r="P251">
        <f t="shared" si="30"/>
        <v>0</v>
      </c>
      <c r="Q251">
        <f>IF(AND(Table3[[#This Row],[Coupe]]&lt;&gt;1, Table3[[#This Row],[Convertible]]&lt;&gt;1), 1, 0)</f>
        <v>0</v>
      </c>
      <c r="R251" t="str">
        <f t="shared" si="31"/>
        <v>Coupe</v>
      </c>
    </row>
    <row r="252" spans="1:18" x14ac:dyDescent="0.25">
      <c r="A252">
        <f>'Ajoneuvorekisteri-Parse Modern '!AO252</f>
        <v>4787436</v>
      </c>
      <c r="B252" t="str">
        <f>'Ajoneuvorekisteri-Parse Modern '!AN252</f>
        <v>SAJWA4GB5B</v>
      </c>
      <c r="C252" t="str">
        <f t="shared" si="24"/>
        <v>UNKNOWN: [prefix=SAJWA]</v>
      </c>
      <c r="D252" t="str">
        <f t="shared" si="25"/>
        <v>UNKNOWN: [6-7=4G]</v>
      </c>
      <c r="E252" t="str">
        <f t="shared" si="26"/>
        <v>X150_2011MY</v>
      </c>
      <c r="F252" t="str" cm="1">
        <f t="array" ref="F252">_xlfn.LET(_xlpm.v,UPPER(SUBSTITUTE(CLEAN(TRIM(B252)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X150_2011MY_MARKET_W_TRANS_A_BODY_4G_EMISSION_B_CHECK_5</v>
      </c>
      <c r="G252" t="str" cm="1">
        <f t="array" ref="G252">_xlfn.LET(_xlpm.vin,SUBSTITUTE(CLEAN(TRIM(B252)),CHAR(160),""),_xlpm.rawDate,LEFT(TRIM(H252)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B38854–B44939</v>
      </c>
      <c r="H252">
        <f>'Ajoneuvorekisteri-Parse Modern '!G252</f>
        <v>20110000</v>
      </c>
      <c r="I252" t="str">
        <f>LEFT(Table3[[#This Row],[Käyttöönotto]],4)</f>
        <v>2011</v>
      </c>
      <c r="J252" t="str">
        <f>'Ajoneuvorekisteri-Parse Modern '!AA252</f>
        <v>XK Avoauto (AE) 2ov 5000cm3 A</v>
      </c>
      <c r="K252" t="str">
        <f>Ajoneuvorekisteri_Parse_Modern_XK_Range_TieliikenneAvoinData_30_06_2026_csv[[#This Row],[tyyppihyvaksyntanro]]</f>
        <v/>
      </c>
      <c r="L252">
        <f>'Ajoneuvorekisteri-Parse Modern '!M252</f>
        <v>1865</v>
      </c>
      <c r="M252">
        <f t="shared" si="27"/>
        <v>1</v>
      </c>
      <c r="N252">
        <f t="shared" si="28"/>
        <v>0</v>
      </c>
      <c r="O252">
        <f t="shared" si="29"/>
        <v>0</v>
      </c>
      <c r="P252">
        <f t="shared" si="30"/>
        <v>1</v>
      </c>
      <c r="Q252">
        <f>IF(AND(Table3[[#This Row],[Coupe]]&lt;&gt;1, Table3[[#This Row],[Convertible]]&lt;&gt;1), 1, 0)</f>
        <v>0</v>
      </c>
      <c r="R252" t="str">
        <f t="shared" si="31"/>
        <v>Convertible</v>
      </c>
    </row>
    <row r="253" spans="1:18" x14ac:dyDescent="0.25">
      <c r="A253">
        <f>'Ajoneuvorekisteri-Parse Modern '!AO168</f>
        <v>2898030</v>
      </c>
      <c r="B253" t="str">
        <f>'Ajoneuvorekisteri-Parse Modern '!AN168</f>
        <v>SAJAA44R9B</v>
      </c>
      <c r="C253" t="str">
        <f t="shared" si="24"/>
        <v>UNKNOWN: [prefix=SAJAA]</v>
      </c>
      <c r="D253" t="str">
        <f t="shared" si="25"/>
        <v>UNKNOWN: [4=A]</v>
      </c>
      <c r="E253" t="str">
        <f t="shared" si="26"/>
        <v>X150_2011MY</v>
      </c>
      <c r="F253" t="str" cm="1">
        <f t="array" ref="F253">_xlfn.LET(_xlpm.v,UPPER(SUBSTITUTE(CLEAN(TRIM(B253)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X150_2011MY_MARKET_A_TRANS_A_BODY_44_EMISSION_R_CHECK_9</v>
      </c>
      <c r="G253" t="str" cm="1">
        <f t="array" ref="G253">_xlfn.LET(_xlpm.vin,SUBSTITUTE(CLEAN(TRIM(B253)),CHAR(160),""),_xlpm.rawDate,LEFT(TRIM(H253)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B38854–B44939</v>
      </c>
      <c r="H253">
        <f>'Ajoneuvorekisteri-Parse Modern '!G168</f>
        <v>20110104</v>
      </c>
      <c r="I253" t="str">
        <f>LEFT(Table3[[#This Row],[Käyttöönotto]],4)</f>
        <v>2011</v>
      </c>
      <c r="J253" t="str">
        <f>'Ajoneuvorekisteri-Parse Modern '!AA168</f>
        <v>XKR CONVERTIBLE Avoauto (AE) 2ov 5000cm3 A</v>
      </c>
      <c r="K253" t="str">
        <f>Ajoneuvorekisteri_Parse_Modern_XK_Range_TieliikenneAvoinData_30_06_2026_csv[[#This Row],[tyyppihyvaksyntanro]]</f>
        <v/>
      </c>
      <c r="L253">
        <f>'Ajoneuvorekisteri-Parse Modern '!M168</f>
        <v>1839</v>
      </c>
      <c r="M253">
        <f t="shared" si="27"/>
        <v>0</v>
      </c>
      <c r="N253">
        <f t="shared" si="28"/>
        <v>1</v>
      </c>
      <c r="O253">
        <f t="shared" si="29"/>
        <v>0</v>
      </c>
      <c r="P253">
        <f t="shared" si="30"/>
        <v>1</v>
      </c>
      <c r="Q253">
        <f>IF(AND(Table3[[#This Row],[Coupe]]&lt;&gt;1, Table3[[#This Row],[Convertible]]&lt;&gt;1), 1, 0)</f>
        <v>0</v>
      </c>
      <c r="R253" t="str">
        <f t="shared" si="31"/>
        <v>Convertible</v>
      </c>
    </row>
    <row r="254" spans="1:18" x14ac:dyDescent="0.25">
      <c r="A254">
        <f>'Ajoneuvorekisteri-Parse Modern '!AO141</f>
        <v>2651562</v>
      </c>
      <c r="B254" t="str">
        <f>'Ajoneuvorekisteri-Parse Modern '!AN141</f>
        <v>SAJAA45R8B</v>
      </c>
      <c r="C254" t="str">
        <f t="shared" si="24"/>
        <v>UNKNOWN: [prefix=SAJAA]</v>
      </c>
      <c r="D254" t="str">
        <f t="shared" si="25"/>
        <v>UNKNOWN: [4=A]</v>
      </c>
      <c r="E254" t="str">
        <f t="shared" si="26"/>
        <v>X150_2011MY</v>
      </c>
      <c r="F254" t="str" cm="1">
        <f t="array" ref="F254">_xlfn.LET(_xlpm.v,UPPER(SUBSTITUTE(CLEAN(TRIM(B254)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X150_2011MY_MARKET_A_TRANS_A_BODY_45_EMISSION_R_CHECK_8</v>
      </c>
      <c r="G254" t="str" cm="1">
        <f t="array" ref="G254">_xlfn.LET(_xlpm.vin,SUBSTITUTE(CLEAN(TRIM(B254)),CHAR(160),""),_xlpm.rawDate,LEFT(TRIM(H254)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B38854–B44939</v>
      </c>
      <c r="H254">
        <f>'Ajoneuvorekisteri-Parse Modern '!G141</f>
        <v>20120301</v>
      </c>
      <c r="I254" t="str">
        <f>LEFT(Table3[[#This Row],[Käyttöönotto]],4)</f>
        <v>2012</v>
      </c>
      <c r="J254" t="str">
        <f>'Ajoneuvorekisteri-Parse Modern '!AA141</f>
        <v>XKR COUPE Coup� (AD) 2ov 5000cm3 A</v>
      </c>
      <c r="K254" t="str">
        <f>Ajoneuvorekisteri_Parse_Modern_XK_Range_TieliikenneAvoinData_30_06_2026_csv[[#This Row],[tyyppihyvaksyntanro]]</f>
        <v/>
      </c>
      <c r="L254">
        <f>'Ajoneuvorekisteri-Parse Modern '!M141</f>
        <v>1824</v>
      </c>
      <c r="M254">
        <f t="shared" si="27"/>
        <v>0</v>
      </c>
      <c r="N254">
        <f t="shared" si="28"/>
        <v>1</v>
      </c>
      <c r="O254">
        <f t="shared" si="29"/>
        <v>1</v>
      </c>
      <c r="P254">
        <f t="shared" si="30"/>
        <v>0</v>
      </c>
      <c r="Q254">
        <f>IF(AND(Table3[[#This Row],[Coupe]]&lt;&gt;1, Table3[[#This Row],[Convertible]]&lt;&gt;1), 1, 0)</f>
        <v>0</v>
      </c>
      <c r="R254" t="str">
        <f t="shared" si="31"/>
        <v>Coupe</v>
      </c>
    </row>
    <row r="255" spans="1:18" x14ac:dyDescent="0.25">
      <c r="A255">
        <f>'Ajoneuvorekisteri-Parse Modern '!AO247</f>
        <v>4435768</v>
      </c>
      <c r="B255" t="str">
        <f>'Ajoneuvorekisteri-Parse Modern '!AN247</f>
        <v>SAJWA4GB5D</v>
      </c>
      <c r="C255" t="str">
        <f t="shared" si="24"/>
        <v>UNKNOWN: [prefix=SAJWA]</v>
      </c>
      <c r="D255" t="str">
        <f t="shared" si="25"/>
        <v>UNKNOWN: [6-7=4G]</v>
      </c>
      <c r="E255" t="str">
        <f t="shared" si="26"/>
        <v>X150_2013MY</v>
      </c>
      <c r="F255" t="str" cm="1">
        <f t="array" ref="F255">_xlfn.LET(_xlpm.v,UPPER(SUBSTITUTE(CLEAN(TRIM(B255)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X150_2013MY_MARKET_W_TRANS_A_BODY_4G_EMISSION_B_CHECK_5</v>
      </c>
      <c r="G255" t="str" cm="1">
        <f t="array" ref="G255">_xlfn.LET(_xlpm.vin,SUBSTITUTE(CLEAN(TRIM(B255)),CHAR(160),""),_xlpm.rawDate,LEFT(TRIM(H255)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B48620–B54164</v>
      </c>
      <c r="H255">
        <f>'Ajoneuvorekisteri-Parse Modern '!G247</f>
        <v>20121122</v>
      </c>
      <c r="I255" t="str">
        <f>LEFT(Table3[[#This Row],[Käyttöönotto]],4)</f>
        <v>2012</v>
      </c>
      <c r="J255" t="str">
        <f>'Ajoneuvorekisteri-Parse Modern '!AA247</f>
        <v>XK Avoauto (AE) 2ov 5000cm3 A</v>
      </c>
      <c r="K255" t="str">
        <f>Ajoneuvorekisteri_Parse_Modern_XK_Range_TieliikenneAvoinData_30_06_2026_csv[[#This Row],[tyyppihyvaksyntanro]]</f>
        <v>e11*2001/116*0272*00</v>
      </c>
      <c r="L255">
        <f>'Ajoneuvorekisteri-Parse Modern '!M247</f>
        <v>1802</v>
      </c>
      <c r="M255">
        <f t="shared" si="27"/>
        <v>1</v>
      </c>
      <c r="N255">
        <f t="shared" si="28"/>
        <v>0</v>
      </c>
      <c r="O255">
        <f t="shared" si="29"/>
        <v>0</v>
      </c>
      <c r="P255">
        <f t="shared" si="30"/>
        <v>1</v>
      </c>
      <c r="Q255">
        <f>IF(AND(Table3[[#This Row],[Coupe]]&lt;&gt;1, Table3[[#This Row],[Convertible]]&lt;&gt;1), 1, 0)</f>
        <v>0</v>
      </c>
      <c r="R255" t="str">
        <f t="shared" si="31"/>
        <v>Convertible</v>
      </c>
    </row>
    <row r="256" spans="1:18" x14ac:dyDescent="0.25">
      <c r="A256">
        <f>'Ajoneuvorekisteri-Parse Modern '!AO234</f>
        <v>4078799</v>
      </c>
      <c r="B256" t="str">
        <f>'Ajoneuvorekisteri-Parse Modern '!AN234</f>
        <v>SAJWA4FC5E</v>
      </c>
      <c r="C256" t="str">
        <f t="shared" si="24"/>
        <v>UNKNOWN: [prefix=SAJWA]</v>
      </c>
      <c r="D256" t="str">
        <f t="shared" si="25"/>
        <v>UNKNOWN: [6-7=4F]</v>
      </c>
      <c r="E256" t="str">
        <f t="shared" si="26"/>
        <v>X150_2014MY</v>
      </c>
      <c r="F256" t="str" cm="1">
        <f t="array" ref="F256">_xlfn.LET(_xlpm.v,UPPER(SUBSTITUTE(CLEAN(TRIM(B256)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X150_2014MY_MARKET_W_TRANS_A_BODY_4F_EMISSION_C_CHECK_5</v>
      </c>
      <c r="G256" t="str" cm="1">
        <f t="array" ref="G256">_xlfn.LET(_xlpm.vin,SUBSTITUTE(CLEAN(TRIM(B256)),CHAR(160),""),_xlpm.rawDate,LEFT(TRIM(H256)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B54165–B56794</v>
      </c>
      <c r="H256">
        <f>'Ajoneuvorekisteri-Parse Modern '!G234</f>
        <v>20131212</v>
      </c>
      <c r="I256" t="str">
        <f>LEFT(Table3[[#This Row],[Käyttöönotto]],4)</f>
        <v>2013</v>
      </c>
      <c r="J256" t="str">
        <f>'Ajoneuvorekisteri-Parse Modern '!AA234</f>
        <v>XKR Coup� (AD) 2ov 5000cm3 A</v>
      </c>
      <c r="K256" t="str">
        <f>Ajoneuvorekisteri_Parse_Modern_XK_Range_TieliikenneAvoinData_30_06_2026_csv[[#This Row],[tyyppihyvaksyntanro]]</f>
        <v/>
      </c>
      <c r="L256">
        <f>'Ajoneuvorekisteri-Parse Modern '!M234</f>
        <v>1845</v>
      </c>
      <c r="M256">
        <f t="shared" si="27"/>
        <v>0</v>
      </c>
      <c r="N256">
        <f t="shared" si="28"/>
        <v>1</v>
      </c>
      <c r="O256">
        <f t="shared" si="29"/>
        <v>1</v>
      </c>
      <c r="P256">
        <f t="shared" si="30"/>
        <v>0</v>
      </c>
      <c r="Q256">
        <f>IF(AND(Table3[[#This Row],[Coupe]]&lt;&gt;1, Table3[[#This Row],[Convertible]]&lt;&gt;1), 1, 0)</f>
        <v>0</v>
      </c>
      <c r="R256" t="str">
        <f t="shared" si="31"/>
        <v>Coupe</v>
      </c>
    </row>
    <row r="257" spans="1:18" x14ac:dyDescent="0.25">
      <c r="A257">
        <f>'Ajoneuvorekisteri-Parse Modern '!AO182</f>
        <v>3169850</v>
      </c>
      <c r="B257" t="str">
        <f>'Ajoneuvorekisteri-Parse Modern '!AN182</f>
        <v>SAJAA44P5E</v>
      </c>
      <c r="C257" t="str">
        <f t="shared" si="24"/>
        <v>UNKNOWN: [prefix=SAJAA]</v>
      </c>
      <c r="D257" t="str">
        <f t="shared" si="25"/>
        <v>UNKNOWN: [4=A]</v>
      </c>
      <c r="E257" t="str">
        <f t="shared" si="26"/>
        <v>X150_2014MY</v>
      </c>
      <c r="F257" t="str" cm="1">
        <f t="array" ref="F257">_xlfn.LET(_xlpm.v,UPPER(SUBSTITUTE(CLEAN(TRIM(B257)),CHAR(160),"")),_xlpm.mkt,MID(_xlpm.v,4,1),_xlpm.trans,MID(_xlpm.v,5,1),_xlpm.body,MID(_xlpm.v,6,2),_xlpm.emis,MID(_xlpm.v,8,1),_xlpm.my,MID(_xlpm.v,10,1),_xlfn.IFS(AND(LEN(_xlpm.v)=10,LEFT(_xlpm.v,5)="SAJJG",OR(MID(_xlpm.v,7,1)="E",MID(_xlpm.v,7,1)="F"),OR(_xlpm.emis="D",_xlpm.emis="F"),OR(MID(_xlpm.v,9,1)="3",MID(_xlpm.v,9,1)="4"),_xlpm.my="A"),"X100_EARLY_NORMAL_AR (JDHT)",AND(LEN(_xlpm.v)=10,LEFT(_xlpm.v,5)="SAJJG",MID(_xlpm.v,6,1)="A",OR(MID(_xlpm.v,7,1)="E",MID(_xlpm.v,7,1)="F"),_xlpm.emis="D",OR(MID(_xlpm.v,9,1)="3",MID(_xlpm.v,9,1)="4"),OR(_xlpm.my="V",_xlpm.my="W",_xlpm.my="X")),"X100_NORMAL (JDHT)",AND(LEN(_xlpm.v)=10,LEFT(_xlpm.v,5)="SAJJG",OR(MID(_xlpm.v,6,1)="A",MID(_xlpm.v,6,1)="K",MID(_xlpm.v,6,1)="N",MID(_xlpm.v,6,1)="X"),OR(MID(_xlpm.v,7,1)="E",MID(_xlpm.v,7,1)="F"),OR(_xlpm.emis="D",_xlpm.emis="F"),OR(MID(_xlpm.v,9,1)="3",MID(_xlpm.v,9,1)="4"),OR(_xlpm.my="V",_xlpm.my="W",_xlpm.my="X")),"X100_JLM20300",AND(LEN(_xlpm.v)=10,LEFT(_xlpm.v,5)="SAJJG",OR(MID(_xlpm.v,6,1)="N",MID(_xlpm.v,6,1)="S",MID(_xlpm.v,6,1)="X"),OR(MID(_xlpm.v,7,1)="E",MID(_xlpm.v,7,1)="F"),OR(_xlpm.emis="D",_xlpm.emis="F"),OR(MID(_xlpm.v,9,1)="3",MID(_xlpm.v,9,1)="4"),OR(MID(_xlpm.v,10,1)="V",MID(_xlpm.v,10,1)="W",MID(_xlpm.v,10,1)="X")),"X100_JLM20301",AND(LEN(_xlpm.v)=10,LEFT(_xlpm.v,5)="SAJGX",OR(MID(_xlpm.v,6,1)="2",MID(_xlpm.v,6,1)="5"),OR(MID(_xlpm.v,7,1)="1",MID(_xlpm.v,7,1)="2",MID(_xlpm.v,7,1)="7"),MID(_xlpm.v,8,1)="4",OR(MID(_xlpm.v,10,1)="V",MID(_xlpm.v,10,1)="W",MID(_xlpm.v,10,1)="X")),"X100_AMERICAS_UNIQUE (JLM20301_unique)",AND(LEN(_xlpm.v)=10,LEFT(_xlpm.v,3)="SAJ",OR(_xlpm.mkt="A",_xlpm.mkt="B",_xlpm.mkt="F",_xlpm.mkt="G",_xlpm.mkt="X",_xlpm.mkt="P",_xlpm.mkt="R",_xlpm.mkt="T",_xlpm.mkt="Y",_xlpm.mkt="D",_xlpm.mkt="E",_xlpm.mkt="J",_xlpm.mkt="W"),OR(_xlpm.trans="A",_xlpm.trans="B"),OR(_xlpm.body="41",_xlpm.body="42"),IFERROR(AND(CODE(_xlpm.emis)&gt;=65,CODE(_xlpm.emis)&lt;=88),FALSE),OR(_xlpm.my="X",_xlpm.my="Y",_xlpm.my="1",_xlpm.my="2",_xlpm.my="3",_xlpm.my="4",_xlpm.my="5",_xlpm.my="6",_xlpm.my="7",_xlpm.my="8",_xlpm.my="9")),"XK8-XKR_"&amp;IF(_xlpm.body="41","COUPE_","CONVERTIBLE_")&amp;IF(ISNUMBER(FIND(_xlpm.mkt,"DEJW")),"USA",IF(ISNUMBER(FIND(_xlpm.mkt,"BFGX")),"CANADA","MEXICO"))&amp;IF(_xlpm.trans="A","_AUTO_LHD","_MANUAL_LHD")&amp;"_EMISSION_"&amp;_xlpm.emis&amp;IF(_xlpm.my="X","_1999",IF(_xlpm.my="Y","_2000","_200"&amp;_xlpm.my))&amp;"MY",AND(LEN(_xlpm.v)=10,LEFT(_xlpm.v,3)="SAJ",OR(_xlpm.mkt="A",_xlpm.mkt="B",_xlpm.mkt="D",_xlpm.mkt="E",_xlpm.mkt="F",_xlpm.mkt="J",_xlpm.mkt="K",_xlpm.mkt="P",_xlpm.mkt="R",_xlpm.mkt="W",_xlpm.mkt="X",_xlpm.mkt="Y"),OR(_xlpm.trans="A",_xlpm.trans="C"),OR(_xlpm.body="43",_xlpm.body="4D",_xlpm.body="44",_xlpm.body="4E",_xlpm.body="45",_xlpm.body="46",_xlpm.body="47",_xlpm.body="4F",_xlpm.body="4G"),OR(_xlpm.emis="A",_xlpm.emis="B",_xlpm.emis="C",_xlpm.emis="D",_xlpm.emis="E",_xlpm.emis="F",_xlpm.emis="G",_xlpm.emis="K",_xlpm.emis="N",_xlpm.emis="P",_xlpm.emis="R",_xlpm.emis="S",_xlpm.emis="T",_xlpm.emis="U",_xlpm.emis="V",_xlpm.emis="W",_xlpm.emis="X",_xlpm.emis="Y",_xlpm.emis="1",_xlpm.emis="2",_xlpm.emis="3",_xlpm.emis="4"),OR(_xlpm.my="7",_xlpm.my="8",_xlpm.my="9",_xlpm.my="A",_xlpm.my="B",_xlpm.my="C",_xlpm.my="D",_xlpm.my="E")),"X150_"&amp;IF(_xlpm.my="7","2007MY",IF(_xlpm.my="8","2008MY",IF(_xlpm.my="9","2009MY",IF(_xlpm.my="A","2010MY",IF(_xlpm.my="B","2011MY",IF(_xlpm.my="C","2012MY",IF(_xlpm.my="D","2013MY",IF(_xlpm.my="E","2014MY","UNKNOWN_MY"))))))))&amp;"_MARKET_"&amp;_xlpm.mkt&amp;"_TRANS_"&amp;_xlpm.trans&amp;"_BODY_"&amp;_xlpm.body&amp;"_EMISSION_"&amp;_xlpm.emis&amp;"_CHECK_"&amp;MID(_xlpm.v,9,1),TRUE,IF(LEN(_xlpm.v)&lt;&gt;10,"UNKNOWN: [length="&amp;LEN(_xlpm.v)&amp;"]",IF(LEFT(_xlpm.v,3)&lt;&gt;"SAJ","UNKNOWN: [prefix="&amp;LEFT(_xlpm.v,3)&amp;"]",IF(LEFT(_xlpm.v,5)="SAJJG",IF(NOT(OR(MID(_xlpm.v,7,1)="E",MID(_xlpm.v,7,1)="F")),"UNKNOWN: [7="&amp;MID(_xlpm.v,7,1)&amp;"]",IF(NOT(OR(_xlpm.emis="D",_xlpm.emis="F")),"UNKNOWN: [8="&amp;_xlpm.emis&amp;"]",IF(NOT(OR(MID(_xlpm.v,9,1)="3",MID(_xlpm.v,9,1)="4")),"UNKNOWN: [9="&amp;MID(_xlpm.v,9,1)&amp;"]",IF(NOT(OR(_xlpm.my="A",_xlpm.my="V",_xlpm.my="W",_xlpm.my="X")),"UNKNOWN: [10="&amp;_xlpm.my&amp;"]","UNKNOWN")))),IF(LEFT(_xlpm.v,5)="SAJGX",IF(NOT(OR(MID(_xlpm.v,6,1)="2",MID(_xlpm.v,6,1)="5")),"UNKNOWN: [6="&amp;MID(_xlpm.v,6,1)&amp;"]",IF(NOT(OR(MID(_xlpm.v,7,1)="1",MID(_xlpm.v,7,1)="2",MID(_xlpm.v,7,1)="7")),"UNKNOWN: [7="&amp;MID(_xlpm.v,7,1)&amp;"]",IF(MID(_xlpm.v,8,1)&lt;&gt;"4","UNKNOWN: [8="&amp;MID(_xlpm.v,8,1)&amp;"]",IF(NOT(OR(_xlpm.my="V",_xlpm.my="W",_xlpm.my="X")),"UNKNOWN: [10="&amp;_xlpm.my&amp;"]","UNKNOWN")))),IF(NOT(OR(_xlpm.mkt="A",_xlpm.mkt="B",_xlpm.mkt="F",_xlpm.mkt="G",_xlpm.mkt="X",_xlpm.mkt="P",_xlpm.mkt="R",_xlpm.mkt="T",_xlpm.mkt="Y",_xlpm.mkt="D",_xlpm.mkt="E",_xlpm.mkt="J",_xlpm.mkt="W",_xlpm.mkt="K")),"UNKNOWN: [4="&amp;_xlpm.mkt&amp;"]",IF(NOT(OR(_xlpm.trans="A",_xlpm.trans="B",_xlpm.trans="C")),"UNKNOWN: [5="&amp;_xlpm.trans&amp;"]",IF(NOT(OR(_xlpm.body="41",_xlpm.body="42",_xlpm.body="43",_xlpm.body="4D",_xlpm.body="44",_xlpm.body="45",_xlpm.body="46",_xlpm.body="47",_xlpm.body="4F")),"UNKNOWN: [6-7="&amp;_xlpm.body&amp;"]",IF(NOT(ISNUMBER(SEARCH(_xlpm.emis,"ABCDEFGKNPRSTUVWXY1234"))),"UNKNOWN: [8="&amp;_xlpm.emis&amp;"]",IF(NOT(OR(_xlpm.my="X",_xlpm.my="Y",_xlpm.my="1",_xlpm.my="2",_xlpm.my="3",_xlpm.my="4",_xlpm.my="5",_xlpm.my="6",_xlpm.my="7",_xlpm.my="8",_xlpm.my="9",_xlpm.my="A",_xlpm.my="B",_xlpm.my="C",_xlpm.my="D",_xlpm.my="E")),"UNKNOWN: [10="&amp;_xlpm.my&amp;"]","UNKNOWN")))))))))))</f>
        <v>X150_2014MY_MARKET_A_TRANS_A_BODY_44_EMISSION_P_CHECK_5</v>
      </c>
      <c r="G257" t="str" cm="1">
        <f t="array" ref="G257">_xlfn.LET(_xlpm.vin,SUBSTITUTE(CLEAN(TRIM(B257)),CHAR(160),""),_xlpm.rawDate,LEFT(TRIM(H257)&amp;"",8),_xlpm.useDate,IF(RIGHT(_xlpm.rawDate,4)="0000",LEFT(_xlpm.rawDate,4)&amp;"1231",_xlpm.rawDate),_xlpm.bodyCode,MID(_xlpm.vin,6,2),_xlpm.yearCode,MID(_xlpm.vin,10,1),IF(OR(LEN(_xlpm.vin)&lt;&gt;10,LEN(_xlpm.rawDate)&lt;&gt;8),"UNKNOWN",IF(OR(_xlpm.bodyCode="43",_xlpm.bodyCode="4D",_xlpm.bodyCode="44",_xlpm.bodyCode="4E",_xlpm.bodyCode="45",_xlpm.bodyCode="4F",_xlpm.bodyCode="46",_xlpm.bodyCode="4G",_xlpm.bodyCode="47"),_xlfn.SWITCH(_xlpm.yearCode,"6","B00379–B06783","7","B06784–B20074","8","B20075–B27986","9","B27987–B32752","A","B32753–B38853","B","B38854–B44939","C","B44940–B48619","D","B48620–B54164","E","B54165–B56794","F","B56795+","UNKNOWN"),IF(_xlpm.useDate&lt;"19960601","001001–001245",IF(_xlpm.useDate&lt;"19970101","001246–008106",IF(_xlpm.useDate&lt;"19970801","008107–018107",IF(_xlpm.useDate&lt;"19980101","018108–023017",IF(_xlpm.useDate&lt;"19980201","023018–024686",IF(_xlpm.useDate&lt;"19980801","024687–031302",IF(_xlpm.useDate&lt;"19990801","031303–036193",IF(_xlpm.useDate&lt;"20010101","036194–042775",IF(OR(_xlpm.bodyCode="41",_xlpm.bodyCode="42"),_xlfn.SWITCH(_xlpm.yearCode,"Y","A00001–A11050","1","A11051–A22928","2","A22929–A30644","3","A30645–A36873","4","A36874–A42347","5","A42348–A48684","UNKNOWN"),"UNKNOWN"))))))))))))</f>
        <v>B54165–B56794</v>
      </c>
      <c r="H257">
        <f>'Ajoneuvorekisteri-Parse Modern '!G182</f>
        <v>20140320</v>
      </c>
      <c r="I257" t="str">
        <f>LEFT(Table3[[#This Row],[Käyttöönotto]],4)</f>
        <v>2014</v>
      </c>
      <c r="J257" t="str">
        <f>'Ajoneuvorekisteri-Parse Modern '!AA182</f>
        <v>XK 5.0 V8  CABRIOLET Avoauto (AE) 2ov 5000cm3 A</v>
      </c>
      <c r="K257" t="str">
        <f>Ajoneuvorekisteri_Parse_Modern_XK_Range_TieliikenneAvoinData_30_06_2026_csv[[#This Row],[tyyppihyvaksyntanro]]</f>
        <v>e11*2001/116*0272*01</v>
      </c>
      <c r="L257">
        <f>'Ajoneuvorekisteri-Parse Modern '!M182</f>
        <v>1734</v>
      </c>
      <c r="M257">
        <f t="shared" si="27"/>
        <v>1</v>
      </c>
      <c r="N257">
        <f t="shared" si="28"/>
        <v>0</v>
      </c>
      <c r="O257">
        <f t="shared" si="29"/>
        <v>0</v>
      </c>
      <c r="P257">
        <f t="shared" si="30"/>
        <v>1</v>
      </c>
      <c r="Q257">
        <f>IF(AND(Table3[[#This Row],[Coupe]]&lt;&gt;1, Table3[[#This Row],[Convertible]]&lt;&gt;1), 1, 0)</f>
        <v>0</v>
      </c>
      <c r="R257" t="str">
        <f t="shared" si="31"/>
        <v>Convertible</v>
      </c>
    </row>
    <row r="264" spans="1:18" x14ac:dyDescent="0.25">
      <c r="M264" t="str">
        <f t="shared" ref="M264:M286" si="32">IF(OR(
    ISNUMBER(SEARCH("COUPE", H264)),
    ISNUMBER(SEARCH("COUPÉ", H264)),
    ISNUMBER(SEARCH("COUP�", H264))
), 1, "")</f>
        <v/>
      </c>
      <c r="N264" t="str">
        <f t="shared" ref="N264:N286" si="33">IF(OR(
    ISNUMBER(SEARCH("CONVERTIBLE",H264)),
    ISNUMBER(SEARCH("AVOAUTO",H264)),
    ISNUMBER(SEARCH("AVO",H264)),
    ISNUMBER(SEARCH("CABRIO",H264))
),1,"")</f>
        <v/>
      </c>
    </row>
    <row r="265" spans="1:18" x14ac:dyDescent="0.25">
      <c r="M265" t="str">
        <f t="shared" si="32"/>
        <v/>
      </c>
      <c r="N265" t="str">
        <f t="shared" si="33"/>
        <v/>
      </c>
    </row>
    <row r="266" spans="1:18" x14ac:dyDescent="0.25">
      <c r="M266" t="str">
        <f t="shared" si="32"/>
        <v/>
      </c>
      <c r="N266" t="str">
        <f t="shared" si="33"/>
        <v/>
      </c>
    </row>
    <row r="267" spans="1:18" x14ac:dyDescent="0.25">
      <c r="M267" t="str">
        <f t="shared" si="32"/>
        <v/>
      </c>
      <c r="N267" t="str">
        <f t="shared" si="33"/>
        <v/>
      </c>
    </row>
    <row r="268" spans="1:18" x14ac:dyDescent="0.25">
      <c r="M268" t="str">
        <f t="shared" si="32"/>
        <v/>
      </c>
      <c r="N268" t="str">
        <f t="shared" si="33"/>
        <v/>
      </c>
    </row>
    <row r="269" spans="1:18" x14ac:dyDescent="0.25">
      <c r="M269" t="str">
        <f t="shared" si="32"/>
        <v/>
      </c>
      <c r="N269" t="str">
        <f t="shared" si="33"/>
        <v/>
      </c>
    </row>
    <row r="270" spans="1:18" x14ac:dyDescent="0.25">
      <c r="M270" t="str">
        <f t="shared" si="32"/>
        <v/>
      </c>
      <c r="N270" t="str">
        <f t="shared" si="33"/>
        <v/>
      </c>
    </row>
    <row r="271" spans="1:18" x14ac:dyDescent="0.25">
      <c r="M271" t="str">
        <f t="shared" si="32"/>
        <v/>
      </c>
      <c r="N271" t="str">
        <f t="shared" si="33"/>
        <v/>
      </c>
    </row>
    <row r="272" spans="1:18" x14ac:dyDescent="0.25">
      <c r="M272" t="str">
        <f t="shared" si="32"/>
        <v/>
      </c>
      <c r="N272" t="str">
        <f t="shared" si="33"/>
        <v/>
      </c>
    </row>
    <row r="273" spans="13:14" x14ac:dyDescent="0.25">
      <c r="M273" t="str">
        <f t="shared" si="32"/>
        <v/>
      </c>
      <c r="N273" t="str">
        <f t="shared" si="33"/>
        <v/>
      </c>
    </row>
    <row r="274" spans="13:14" x14ac:dyDescent="0.25">
      <c r="M274" t="str">
        <f t="shared" si="32"/>
        <v/>
      </c>
      <c r="N274" t="str">
        <f t="shared" si="33"/>
        <v/>
      </c>
    </row>
    <row r="275" spans="13:14" x14ac:dyDescent="0.25">
      <c r="M275" t="str">
        <f t="shared" si="32"/>
        <v/>
      </c>
      <c r="N275" t="str">
        <f t="shared" si="33"/>
        <v/>
      </c>
    </row>
    <row r="276" spans="13:14" x14ac:dyDescent="0.25">
      <c r="M276" t="str">
        <f t="shared" si="32"/>
        <v/>
      </c>
      <c r="N276" t="str">
        <f t="shared" si="33"/>
        <v/>
      </c>
    </row>
    <row r="277" spans="13:14" x14ac:dyDescent="0.25">
      <c r="M277" t="str">
        <f t="shared" si="32"/>
        <v/>
      </c>
      <c r="N277" t="str">
        <f t="shared" si="33"/>
        <v/>
      </c>
    </row>
    <row r="278" spans="13:14" x14ac:dyDescent="0.25">
      <c r="M278" t="str">
        <f t="shared" si="32"/>
        <v/>
      </c>
      <c r="N278" t="str">
        <f t="shared" si="33"/>
        <v/>
      </c>
    </row>
    <row r="279" spans="13:14" x14ac:dyDescent="0.25">
      <c r="M279" t="str">
        <f t="shared" si="32"/>
        <v/>
      </c>
      <c r="N279" t="str">
        <f t="shared" si="33"/>
        <v/>
      </c>
    </row>
    <row r="280" spans="13:14" x14ac:dyDescent="0.25">
      <c r="M280" t="str">
        <f t="shared" si="32"/>
        <v/>
      </c>
      <c r="N280" t="str">
        <f t="shared" si="33"/>
        <v/>
      </c>
    </row>
    <row r="281" spans="13:14" x14ac:dyDescent="0.25">
      <c r="M281" t="str">
        <f t="shared" si="32"/>
        <v/>
      </c>
      <c r="N281" t="str">
        <f t="shared" si="33"/>
        <v/>
      </c>
    </row>
    <row r="282" spans="13:14" x14ac:dyDescent="0.25">
      <c r="M282" t="str">
        <f t="shared" si="32"/>
        <v/>
      </c>
      <c r="N282" t="str">
        <f t="shared" si="33"/>
        <v/>
      </c>
    </row>
    <row r="283" spans="13:14" x14ac:dyDescent="0.25">
      <c r="M283" t="str">
        <f t="shared" si="32"/>
        <v/>
      </c>
      <c r="N283" t="str">
        <f t="shared" si="33"/>
        <v/>
      </c>
    </row>
    <row r="284" spans="13:14" x14ac:dyDescent="0.25">
      <c r="M284" t="str">
        <f t="shared" si="32"/>
        <v/>
      </c>
      <c r="N284" t="str">
        <f t="shared" si="33"/>
        <v/>
      </c>
    </row>
    <row r="285" spans="13:14" x14ac:dyDescent="0.25">
      <c r="M285" t="str">
        <f t="shared" si="32"/>
        <v/>
      </c>
      <c r="N285" t="str">
        <f t="shared" si="33"/>
        <v/>
      </c>
    </row>
    <row r="286" spans="13:14" x14ac:dyDescent="0.25">
      <c r="M286" t="str">
        <f t="shared" si="32"/>
        <v/>
      </c>
      <c r="N286" t="str">
        <f t="shared" si="33"/>
        <v/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1F128-FC60-4948-A14A-A94AF21A8CA5}">
  <dimension ref="A1:AO257"/>
  <sheetViews>
    <sheetView workbookViewId="0"/>
  </sheetViews>
  <sheetFormatPr defaultRowHeight="15" x14ac:dyDescent="0.25"/>
  <cols>
    <col min="1" max="1" width="17.5703125" bestFit="1" customWidth="1"/>
    <col min="2" max="2" width="22.42578125" bestFit="1" customWidth="1"/>
    <col min="3" max="3" width="17.28515625" bestFit="1" customWidth="1"/>
    <col min="4" max="4" width="18.42578125" bestFit="1" customWidth="1"/>
    <col min="5" max="5" width="10.7109375" bestFit="1" customWidth="1"/>
    <col min="6" max="6" width="11" bestFit="1" customWidth="1"/>
    <col min="7" max="7" width="18.85546875" bestFit="1" customWidth="1"/>
    <col min="8" max="8" width="6.5703125" bestFit="1" customWidth="1"/>
    <col min="9" max="9" width="18.140625" bestFit="1" customWidth="1"/>
    <col min="10" max="10" width="12.28515625" bestFit="1" customWidth="1"/>
    <col min="11" max="11" width="16.7109375" bestFit="1" customWidth="1"/>
    <col min="12" max="12" width="22.140625" bestFit="1" customWidth="1"/>
    <col min="13" max="13" width="12.85546875" bestFit="1" customWidth="1"/>
    <col min="14" max="14" width="24.140625" bestFit="1" customWidth="1"/>
    <col min="15" max="15" width="25.28515625" bestFit="1" customWidth="1"/>
    <col min="16" max="16" width="16.28515625" bestFit="1" customWidth="1"/>
    <col min="17" max="17" width="13.42578125" bestFit="1" customWidth="1"/>
    <col min="18" max="18" width="14.42578125" bestFit="1" customWidth="1"/>
    <col min="19" max="19" width="14.28515625" bestFit="1" customWidth="1"/>
    <col min="20" max="20" width="14.140625" bestFit="1" customWidth="1"/>
    <col min="21" max="21" width="18.42578125" bestFit="1" customWidth="1"/>
    <col min="22" max="22" width="19.140625" bestFit="1" customWidth="1"/>
    <col min="23" max="23" width="8.28515625" bestFit="1" customWidth="1"/>
    <col min="24" max="24" width="14.85546875" bestFit="1" customWidth="1"/>
    <col min="25" max="25" width="22.140625" bestFit="1" customWidth="1"/>
    <col min="26" max="26" width="21.85546875" bestFit="1" customWidth="1"/>
    <col min="27" max="27" width="68.85546875" bestFit="1" customWidth="1"/>
    <col min="28" max="28" width="12.28515625" bestFit="1" customWidth="1"/>
    <col min="29" max="29" width="16.7109375" bestFit="1" customWidth="1"/>
    <col min="30" max="30" width="43.28515625" bestFit="1" customWidth="1"/>
    <col min="31" max="31" width="29" bestFit="1" customWidth="1"/>
    <col min="32" max="32" width="22.140625" bestFit="1" customWidth="1"/>
    <col min="33" max="33" width="22.28515625" bestFit="1" customWidth="1"/>
    <col min="34" max="34" width="8.28515625" bestFit="1" customWidth="1"/>
    <col min="35" max="35" width="13.140625" bestFit="1" customWidth="1"/>
    <col min="36" max="36" width="14.140625" bestFit="1" customWidth="1"/>
    <col min="37" max="37" width="12.7109375" bestFit="1" customWidth="1"/>
    <col min="38" max="38" width="13.7109375" bestFit="1" customWidth="1"/>
    <col min="39" max="39" width="21.5703125" bestFit="1" customWidth="1"/>
    <col min="40" max="40" width="19.140625" bestFit="1" customWidth="1"/>
    <col min="41" max="41" width="8.5703125" bestFit="1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t="s">
        <v>41</v>
      </c>
      <c r="B2" s="1">
        <v>35524</v>
      </c>
      <c r="C2" t="s">
        <v>42</v>
      </c>
      <c r="D2">
        <v>1</v>
      </c>
      <c r="E2" t="s">
        <v>43</v>
      </c>
      <c r="F2" t="s">
        <v>44</v>
      </c>
      <c r="G2">
        <v>19970404</v>
      </c>
      <c r="H2" t="s">
        <v>45</v>
      </c>
      <c r="J2" t="s">
        <v>46</v>
      </c>
      <c r="L2">
        <v>4</v>
      </c>
      <c r="M2">
        <v>1720</v>
      </c>
      <c r="N2">
        <v>2010</v>
      </c>
      <c r="O2">
        <v>2010</v>
      </c>
      <c r="P2">
        <v>4760</v>
      </c>
      <c r="Q2">
        <v>1830</v>
      </c>
      <c r="S2">
        <v>1</v>
      </c>
      <c r="T2">
        <v>3990</v>
      </c>
      <c r="U2" t="s">
        <v>47</v>
      </c>
      <c r="V2">
        <v>8</v>
      </c>
      <c r="Y2" t="s">
        <v>42</v>
      </c>
      <c r="Z2" t="s">
        <v>48</v>
      </c>
      <c r="AA2" t="s">
        <v>49</v>
      </c>
      <c r="AD2" t="s">
        <v>50</v>
      </c>
      <c r="AE2">
        <v>5</v>
      </c>
      <c r="AF2" t="s">
        <v>51</v>
      </c>
      <c r="AG2">
        <v>1</v>
      </c>
      <c r="AH2">
        <v>609</v>
      </c>
      <c r="AJ2" t="s">
        <v>42</v>
      </c>
      <c r="AK2" t="s">
        <v>42</v>
      </c>
      <c r="AL2" t="s">
        <v>42</v>
      </c>
      <c r="AM2">
        <v>142497</v>
      </c>
      <c r="AN2" t="s">
        <v>52</v>
      </c>
      <c r="AO2">
        <v>18635</v>
      </c>
    </row>
    <row r="3" spans="1:41" x14ac:dyDescent="0.25">
      <c r="A3" t="s">
        <v>41</v>
      </c>
      <c r="B3" s="1">
        <v>39135</v>
      </c>
      <c r="C3" t="s">
        <v>42</v>
      </c>
      <c r="D3">
        <v>1</v>
      </c>
      <c r="E3" t="s">
        <v>53</v>
      </c>
      <c r="F3" t="s">
        <v>54</v>
      </c>
      <c r="G3">
        <v>20070222</v>
      </c>
      <c r="H3" t="s">
        <v>42</v>
      </c>
      <c r="J3" t="s">
        <v>46</v>
      </c>
      <c r="L3">
        <v>4</v>
      </c>
      <c r="M3">
        <v>1720</v>
      </c>
      <c r="N3">
        <v>2035</v>
      </c>
      <c r="O3">
        <v>2035</v>
      </c>
      <c r="P3">
        <v>4790</v>
      </c>
      <c r="Q3">
        <v>1890</v>
      </c>
      <c r="R3">
        <v>1320</v>
      </c>
      <c r="S3">
        <v>1</v>
      </c>
      <c r="T3">
        <v>4190</v>
      </c>
      <c r="U3" t="s">
        <v>55</v>
      </c>
      <c r="V3">
        <v>8</v>
      </c>
      <c r="Y3" t="s">
        <v>42</v>
      </c>
      <c r="Z3" t="s">
        <v>48</v>
      </c>
      <c r="AA3" t="s">
        <v>56</v>
      </c>
      <c r="AD3" t="s">
        <v>50</v>
      </c>
      <c r="AE3">
        <v>5</v>
      </c>
      <c r="AF3" t="s">
        <v>57</v>
      </c>
      <c r="AG3">
        <v>1</v>
      </c>
      <c r="AH3">
        <v>98</v>
      </c>
      <c r="AI3">
        <v>269</v>
      </c>
      <c r="AJ3" t="s">
        <v>42</v>
      </c>
      <c r="AK3" t="s">
        <v>42</v>
      </c>
      <c r="AL3" t="s">
        <v>42</v>
      </c>
      <c r="AM3">
        <v>87179</v>
      </c>
      <c r="AN3" t="s">
        <v>58</v>
      </c>
      <c r="AO3">
        <v>78053</v>
      </c>
    </row>
    <row r="4" spans="1:41" x14ac:dyDescent="0.25">
      <c r="A4" t="s">
        <v>41</v>
      </c>
      <c r="B4" s="1">
        <v>37649</v>
      </c>
      <c r="C4" t="s">
        <v>42</v>
      </c>
      <c r="D4">
        <v>1</v>
      </c>
      <c r="E4" t="s">
        <v>42</v>
      </c>
      <c r="F4" t="s">
        <v>42</v>
      </c>
      <c r="G4">
        <v>19971024</v>
      </c>
      <c r="H4" t="s">
        <v>59</v>
      </c>
      <c r="I4">
        <v>2</v>
      </c>
      <c r="J4" t="s">
        <v>42</v>
      </c>
      <c r="K4">
        <v>1</v>
      </c>
      <c r="L4">
        <v>4</v>
      </c>
      <c r="M4">
        <v>1720</v>
      </c>
      <c r="N4">
        <v>2100</v>
      </c>
      <c r="O4">
        <v>2100</v>
      </c>
      <c r="P4">
        <v>4760</v>
      </c>
      <c r="Q4">
        <v>1830</v>
      </c>
      <c r="S4">
        <v>1</v>
      </c>
      <c r="T4">
        <v>3990</v>
      </c>
      <c r="U4" t="s">
        <v>47</v>
      </c>
      <c r="W4" t="b">
        <v>0</v>
      </c>
      <c r="X4" t="b">
        <v>0</v>
      </c>
      <c r="Y4" t="s">
        <v>42</v>
      </c>
      <c r="Z4" t="s">
        <v>48</v>
      </c>
      <c r="AA4" t="s">
        <v>60</v>
      </c>
      <c r="AD4" t="s">
        <v>42</v>
      </c>
      <c r="AE4">
        <v>5</v>
      </c>
      <c r="AF4" t="s">
        <v>42</v>
      </c>
      <c r="AG4">
        <v>1</v>
      </c>
      <c r="AH4">
        <v>405</v>
      </c>
      <c r="AJ4" t="s">
        <v>42</v>
      </c>
      <c r="AK4" t="s">
        <v>42</v>
      </c>
      <c r="AL4" t="s">
        <v>42</v>
      </c>
      <c r="AM4">
        <v>243407</v>
      </c>
      <c r="AN4" t="s">
        <v>61</v>
      </c>
      <c r="AO4">
        <v>95136</v>
      </c>
    </row>
    <row r="5" spans="1:41" x14ac:dyDescent="0.25">
      <c r="A5" t="s">
        <v>41</v>
      </c>
      <c r="B5" s="1">
        <v>39356</v>
      </c>
      <c r="C5" t="s">
        <v>42</v>
      </c>
      <c r="D5">
        <v>1</v>
      </c>
      <c r="E5" t="s">
        <v>62</v>
      </c>
      <c r="F5" t="s">
        <v>63</v>
      </c>
      <c r="G5">
        <v>19990427</v>
      </c>
      <c r="H5" t="s">
        <v>64</v>
      </c>
      <c r="J5" t="s">
        <v>42</v>
      </c>
      <c r="K5">
        <v>1</v>
      </c>
      <c r="L5">
        <v>4</v>
      </c>
      <c r="M5">
        <v>1845</v>
      </c>
      <c r="N5">
        <v>2100</v>
      </c>
      <c r="O5">
        <v>2100</v>
      </c>
      <c r="P5">
        <v>4760</v>
      </c>
      <c r="Q5">
        <v>1830</v>
      </c>
      <c r="S5">
        <v>1</v>
      </c>
      <c r="T5">
        <v>3990</v>
      </c>
      <c r="U5" t="s">
        <v>65</v>
      </c>
      <c r="W5" t="b">
        <v>1</v>
      </c>
      <c r="Y5" t="s">
        <v>42</v>
      </c>
      <c r="Z5" t="s">
        <v>48</v>
      </c>
      <c r="AA5" t="s">
        <v>66</v>
      </c>
      <c r="AD5" t="s">
        <v>42</v>
      </c>
      <c r="AE5">
        <v>5</v>
      </c>
      <c r="AF5" t="s">
        <v>67</v>
      </c>
      <c r="AG5">
        <v>1</v>
      </c>
      <c r="AH5">
        <v>398</v>
      </c>
      <c r="AI5">
        <v>305</v>
      </c>
      <c r="AJ5" t="s">
        <v>42</v>
      </c>
      <c r="AK5" t="s">
        <v>42</v>
      </c>
      <c r="AL5" t="s">
        <v>42</v>
      </c>
      <c r="AM5">
        <v>131538</v>
      </c>
      <c r="AN5" t="s">
        <v>68</v>
      </c>
      <c r="AO5">
        <v>97573</v>
      </c>
    </row>
    <row r="6" spans="1:41" x14ac:dyDescent="0.25">
      <c r="A6" t="s">
        <v>41</v>
      </c>
      <c r="B6" s="1">
        <v>37504</v>
      </c>
      <c r="C6" t="s">
        <v>42</v>
      </c>
      <c r="D6">
        <v>1</v>
      </c>
      <c r="E6" t="s">
        <v>69</v>
      </c>
      <c r="F6" t="s">
        <v>70</v>
      </c>
      <c r="G6">
        <v>20020905</v>
      </c>
      <c r="H6" t="s">
        <v>42</v>
      </c>
      <c r="J6" t="s">
        <v>71</v>
      </c>
      <c r="L6">
        <v>4</v>
      </c>
      <c r="M6">
        <v>1770</v>
      </c>
      <c r="N6">
        <v>2185</v>
      </c>
      <c r="O6">
        <v>2185</v>
      </c>
      <c r="P6">
        <v>4760</v>
      </c>
      <c r="Q6">
        <v>1830</v>
      </c>
      <c r="R6">
        <v>1310</v>
      </c>
      <c r="S6">
        <v>1</v>
      </c>
      <c r="T6">
        <v>4190</v>
      </c>
      <c r="U6" t="s">
        <v>72</v>
      </c>
      <c r="V6">
        <v>8</v>
      </c>
      <c r="W6" t="b">
        <v>1</v>
      </c>
      <c r="Y6" t="s">
        <v>42</v>
      </c>
      <c r="Z6" t="s">
        <v>48</v>
      </c>
      <c r="AA6" t="s">
        <v>73</v>
      </c>
      <c r="AD6" t="s">
        <v>50</v>
      </c>
      <c r="AE6">
        <v>5</v>
      </c>
      <c r="AF6" t="s">
        <v>74</v>
      </c>
      <c r="AG6">
        <v>1</v>
      </c>
      <c r="AH6">
        <v>91</v>
      </c>
      <c r="AI6">
        <v>304</v>
      </c>
      <c r="AJ6" t="s">
        <v>42</v>
      </c>
      <c r="AK6" t="s">
        <v>42</v>
      </c>
      <c r="AL6" t="s">
        <v>42</v>
      </c>
      <c r="AM6">
        <v>41470</v>
      </c>
      <c r="AN6" t="s">
        <v>75</v>
      </c>
      <c r="AO6">
        <v>99569</v>
      </c>
    </row>
    <row r="7" spans="1:41" x14ac:dyDescent="0.25">
      <c r="A7" t="s">
        <v>41</v>
      </c>
      <c r="B7" s="1">
        <v>35923</v>
      </c>
      <c r="C7" t="s">
        <v>42</v>
      </c>
      <c r="D7">
        <v>1</v>
      </c>
      <c r="E7" t="s">
        <v>42</v>
      </c>
      <c r="F7" t="s">
        <v>76</v>
      </c>
      <c r="G7">
        <v>19980508</v>
      </c>
      <c r="H7" t="s">
        <v>42</v>
      </c>
      <c r="J7" t="s">
        <v>46</v>
      </c>
      <c r="L7">
        <v>4</v>
      </c>
      <c r="M7">
        <v>1735</v>
      </c>
      <c r="N7">
        <v>2010</v>
      </c>
      <c r="O7">
        <v>2010</v>
      </c>
      <c r="P7">
        <v>4760</v>
      </c>
      <c r="Q7">
        <v>1830</v>
      </c>
      <c r="S7">
        <v>1</v>
      </c>
      <c r="T7">
        <v>3990</v>
      </c>
      <c r="U7" t="s">
        <v>65</v>
      </c>
      <c r="V7">
        <v>8</v>
      </c>
      <c r="W7" t="b">
        <v>1</v>
      </c>
      <c r="Y7" t="s">
        <v>42</v>
      </c>
      <c r="Z7" t="s">
        <v>48</v>
      </c>
      <c r="AA7" t="s">
        <v>77</v>
      </c>
      <c r="AD7" t="s">
        <v>50</v>
      </c>
      <c r="AE7">
        <v>5</v>
      </c>
      <c r="AF7" t="s">
        <v>42</v>
      </c>
      <c r="AG7">
        <v>1</v>
      </c>
      <c r="AH7">
        <v>734</v>
      </c>
      <c r="AJ7" t="s">
        <v>42</v>
      </c>
      <c r="AK7" t="s">
        <v>42</v>
      </c>
      <c r="AL7" t="s">
        <v>42</v>
      </c>
      <c r="AM7">
        <v>167409</v>
      </c>
      <c r="AN7" t="s">
        <v>78</v>
      </c>
      <c r="AO7">
        <v>122779</v>
      </c>
    </row>
    <row r="8" spans="1:41" x14ac:dyDescent="0.25">
      <c r="A8" t="s">
        <v>41</v>
      </c>
      <c r="B8" s="1">
        <v>39143</v>
      </c>
      <c r="C8" t="s">
        <v>42</v>
      </c>
      <c r="D8">
        <v>1</v>
      </c>
      <c r="E8" t="s">
        <v>79</v>
      </c>
      <c r="F8" t="s">
        <v>80</v>
      </c>
      <c r="G8">
        <v>20000111</v>
      </c>
      <c r="H8" t="s">
        <v>64</v>
      </c>
      <c r="J8" t="s">
        <v>42</v>
      </c>
      <c r="K8">
        <v>1</v>
      </c>
      <c r="L8">
        <v>4</v>
      </c>
      <c r="M8">
        <v>1735</v>
      </c>
      <c r="N8">
        <v>2010</v>
      </c>
      <c r="O8">
        <v>2010</v>
      </c>
      <c r="P8">
        <v>4760</v>
      </c>
      <c r="Q8">
        <v>1830</v>
      </c>
      <c r="S8">
        <v>1</v>
      </c>
      <c r="T8">
        <v>3990</v>
      </c>
      <c r="U8" t="s">
        <v>65</v>
      </c>
      <c r="W8" t="b">
        <v>1</v>
      </c>
      <c r="Y8" t="s">
        <v>42</v>
      </c>
      <c r="Z8" t="s">
        <v>48</v>
      </c>
      <c r="AA8" t="s">
        <v>77</v>
      </c>
      <c r="AD8" t="s">
        <v>81</v>
      </c>
      <c r="AE8">
        <v>5</v>
      </c>
      <c r="AF8" t="s">
        <v>82</v>
      </c>
      <c r="AG8">
        <v>1</v>
      </c>
      <c r="AH8">
        <v>420</v>
      </c>
      <c r="AJ8" t="s">
        <v>42</v>
      </c>
      <c r="AK8" t="s">
        <v>42</v>
      </c>
      <c r="AL8" t="s">
        <v>42</v>
      </c>
      <c r="AM8">
        <v>239062</v>
      </c>
      <c r="AN8" t="s">
        <v>83</v>
      </c>
      <c r="AO8">
        <v>155675</v>
      </c>
    </row>
    <row r="9" spans="1:41" x14ac:dyDescent="0.25">
      <c r="A9" t="s">
        <v>41</v>
      </c>
      <c r="B9" s="1">
        <v>39118</v>
      </c>
      <c r="C9" t="s">
        <v>42</v>
      </c>
      <c r="D9">
        <v>1</v>
      </c>
      <c r="E9" t="s">
        <v>42</v>
      </c>
      <c r="F9" t="s">
        <v>42</v>
      </c>
      <c r="G9">
        <v>19990225</v>
      </c>
      <c r="H9" t="s">
        <v>84</v>
      </c>
      <c r="J9" t="s">
        <v>42</v>
      </c>
      <c r="K9">
        <v>1</v>
      </c>
      <c r="L9">
        <v>4</v>
      </c>
      <c r="M9">
        <v>1720</v>
      </c>
      <c r="N9">
        <v>2010</v>
      </c>
      <c r="O9">
        <v>2010</v>
      </c>
      <c r="P9">
        <v>4760</v>
      </c>
      <c r="Q9">
        <v>1830</v>
      </c>
      <c r="S9">
        <v>1</v>
      </c>
      <c r="T9">
        <v>3990</v>
      </c>
      <c r="U9" t="s">
        <v>47</v>
      </c>
      <c r="Y9" t="s">
        <v>42</v>
      </c>
      <c r="Z9" t="s">
        <v>48</v>
      </c>
      <c r="AA9" t="s">
        <v>49</v>
      </c>
      <c r="AD9" t="s">
        <v>42</v>
      </c>
      <c r="AE9">
        <v>5</v>
      </c>
      <c r="AF9" t="s">
        <v>85</v>
      </c>
      <c r="AG9">
        <v>1</v>
      </c>
      <c r="AH9">
        <v>837</v>
      </c>
      <c r="AJ9" t="s">
        <v>42</v>
      </c>
      <c r="AK9" t="s">
        <v>42</v>
      </c>
      <c r="AL9" t="s">
        <v>42</v>
      </c>
      <c r="AM9">
        <v>184995</v>
      </c>
      <c r="AN9" t="s">
        <v>52</v>
      </c>
      <c r="AO9">
        <v>167621</v>
      </c>
    </row>
    <row r="10" spans="1:41" x14ac:dyDescent="0.25">
      <c r="A10" t="s">
        <v>41</v>
      </c>
      <c r="B10" s="1">
        <v>35802</v>
      </c>
      <c r="C10" t="s">
        <v>42</v>
      </c>
      <c r="D10">
        <v>1</v>
      </c>
      <c r="E10" t="s">
        <v>43</v>
      </c>
      <c r="F10" t="s">
        <v>44</v>
      </c>
      <c r="G10">
        <v>19980107</v>
      </c>
      <c r="H10" t="s">
        <v>42</v>
      </c>
      <c r="J10" t="s">
        <v>46</v>
      </c>
      <c r="L10">
        <v>4</v>
      </c>
      <c r="M10">
        <v>1720</v>
      </c>
      <c r="N10">
        <v>2010</v>
      </c>
      <c r="O10">
        <v>2010</v>
      </c>
      <c r="P10">
        <v>4760</v>
      </c>
      <c r="Q10">
        <v>1830</v>
      </c>
      <c r="S10">
        <v>1</v>
      </c>
      <c r="T10">
        <v>3990</v>
      </c>
      <c r="U10" t="s">
        <v>47</v>
      </c>
      <c r="V10">
        <v>8</v>
      </c>
      <c r="Y10" t="s">
        <v>42</v>
      </c>
      <c r="Z10" t="s">
        <v>48</v>
      </c>
      <c r="AA10" t="s">
        <v>49</v>
      </c>
      <c r="AD10" t="s">
        <v>50</v>
      </c>
      <c r="AE10">
        <v>5</v>
      </c>
      <c r="AF10" t="s">
        <v>51</v>
      </c>
      <c r="AG10">
        <v>1</v>
      </c>
      <c r="AH10">
        <v>92</v>
      </c>
      <c r="AJ10" t="s">
        <v>42</v>
      </c>
      <c r="AK10" t="s">
        <v>42</v>
      </c>
      <c r="AL10" t="s">
        <v>42</v>
      </c>
      <c r="AM10">
        <v>206524</v>
      </c>
      <c r="AN10" t="s">
        <v>52</v>
      </c>
      <c r="AO10">
        <v>206383</v>
      </c>
    </row>
    <row r="11" spans="1:41" x14ac:dyDescent="0.25">
      <c r="A11" t="s">
        <v>41</v>
      </c>
      <c r="B11" s="1">
        <v>38404</v>
      </c>
      <c r="C11" t="s">
        <v>42</v>
      </c>
      <c r="D11">
        <v>1</v>
      </c>
      <c r="E11" t="s">
        <v>42</v>
      </c>
      <c r="F11" t="s">
        <v>42</v>
      </c>
      <c r="G11">
        <v>19970000</v>
      </c>
      <c r="H11" t="s">
        <v>45</v>
      </c>
      <c r="I11">
        <v>2</v>
      </c>
      <c r="J11" t="s">
        <v>42</v>
      </c>
      <c r="K11">
        <v>4</v>
      </c>
      <c r="L11">
        <v>4</v>
      </c>
      <c r="M11">
        <v>1850</v>
      </c>
      <c r="N11">
        <v>2100</v>
      </c>
      <c r="O11">
        <v>2100</v>
      </c>
      <c r="P11">
        <v>4760</v>
      </c>
      <c r="Q11">
        <v>1830</v>
      </c>
      <c r="S11">
        <v>1</v>
      </c>
      <c r="T11">
        <v>3990</v>
      </c>
      <c r="U11" t="s">
        <v>47</v>
      </c>
      <c r="W11" t="b">
        <v>0</v>
      </c>
      <c r="X11" t="b">
        <v>0</v>
      </c>
      <c r="Y11" t="s">
        <v>42</v>
      </c>
      <c r="Z11" t="s">
        <v>48</v>
      </c>
      <c r="AA11" t="s">
        <v>86</v>
      </c>
      <c r="AD11" t="s">
        <v>42</v>
      </c>
      <c r="AE11">
        <v>5</v>
      </c>
      <c r="AF11" t="s">
        <v>42</v>
      </c>
      <c r="AG11">
        <v>1</v>
      </c>
      <c r="AH11">
        <v>853</v>
      </c>
      <c r="AJ11" t="s">
        <v>42</v>
      </c>
      <c r="AK11" t="s">
        <v>42</v>
      </c>
      <c r="AL11" t="s">
        <v>42</v>
      </c>
      <c r="AM11">
        <v>123380</v>
      </c>
      <c r="AN11" t="s">
        <v>87</v>
      </c>
      <c r="AO11">
        <v>301741</v>
      </c>
    </row>
    <row r="12" spans="1:41" x14ac:dyDescent="0.25">
      <c r="A12" t="s">
        <v>41</v>
      </c>
      <c r="B12" s="1">
        <v>39043</v>
      </c>
      <c r="C12" t="s">
        <v>42</v>
      </c>
      <c r="D12">
        <v>1</v>
      </c>
      <c r="E12" t="s">
        <v>42</v>
      </c>
      <c r="F12" t="s">
        <v>42</v>
      </c>
      <c r="G12">
        <v>19970628</v>
      </c>
      <c r="H12" t="s">
        <v>88</v>
      </c>
      <c r="J12" t="s">
        <v>42</v>
      </c>
      <c r="K12">
        <v>1</v>
      </c>
      <c r="L12">
        <v>4</v>
      </c>
      <c r="M12">
        <v>1720</v>
      </c>
      <c r="N12">
        <v>2100</v>
      </c>
      <c r="O12">
        <v>2100</v>
      </c>
      <c r="P12">
        <v>4760</v>
      </c>
      <c r="Q12">
        <v>1830</v>
      </c>
      <c r="S12">
        <v>1</v>
      </c>
      <c r="T12">
        <v>3990</v>
      </c>
      <c r="U12" t="s">
        <v>47</v>
      </c>
      <c r="Y12" t="s">
        <v>42</v>
      </c>
      <c r="Z12" t="s">
        <v>48</v>
      </c>
      <c r="AA12" t="s">
        <v>60</v>
      </c>
      <c r="AD12" t="s">
        <v>42</v>
      </c>
      <c r="AE12">
        <v>5</v>
      </c>
      <c r="AF12" t="s">
        <v>89</v>
      </c>
      <c r="AG12">
        <v>1</v>
      </c>
      <c r="AH12">
        <v>257</v>
      </c>
      <c r="AJ12" t="s">
        <v>42</v>
      </c>
      <c r="AK12" t="s">
        <v>42</v>
      </c>
      <c r="AL12" t="s">
        <v>42</v>
      </c>
      <c r="AM12">
        <v>74108</v>
      </c>
      <c r="AN12" t="s">
        <v>61</v>
      </c>
      <c r="AO12">
        <v>337904</v>
      </c>
    </row>
    <row r="13" spans="1:41" x14ac:dyDescent="0.25">
      <c r="A13" t="s">
        <v>41</v>
      </c>
      <c r="B13" s="1">
        <v>38547</v>
      </c>
      <c r="C13" t="s">
        <v>42</v>
      </c>
      <c r="D13">
        <v>1</v>
      </c>
      <c r="E13" t="s">
        <v>90</v>
      </c>
      <c r="F13" t="s">
        <v>91</v>
      </c>
      <c r="G13">
        <v>20010706</v>
      </c>
      <c r="H13" t="s">
        <v>92</v>
      </c>
      <c r="J13" t="s">
        <v>42</v>
      </c>
      <c r="K13">
        <v>1</v>
      </c>
      <c r="L13">
        <v>4</v>
      </c>
      <c r="M13">
        <v>1690</v>
      </c>
      <c r="N13">
        <v>2010</v>
      </c>
      <c r="O13">
        <v>2010</v>
      </c>
      <c r="P13">
        <v>4760</v>
      </c>
      <c r="Q13">
        <v>1830</v>
      </c>
      <c r="S13">
        <v>1</v>
      </c>
      <c r="T13">
        <v>3990</v>
      </c>
      <c r="U13" t="s">
        <v>47</v>
      </c>
      <c r="Y13" t="s">
        <v>42</v>
      </c>
      <c r="Z13" t="s">
        <v>48</v>
      </c>
      <c r="AA13" t="s">
        <v>93</v>
      </c>
      <c r="AD13" t="s">
        <v>94</v>
      </c>
      <c r="AE13">
        <v>5</v>
      </c>
      <c r="AF13" t="s">
        <v>95</v>
      </c>
      <c r="AG13">
        <v>1</v>
      </c>
      <c r="AH13">
        <v>235</v>
      </c>
      <c r="AI13">
        <v>281</v>
      </c>
      <c r="AJ13" t="s">
        <v>42</v>
      </c>
      <c r="AK13" t="s">
        <v>42</v>
      </c>
      <c r="AL13" t="s">
        <v>42</v>
      </c>
      <c r="AM13">
        <v>128099</v>
      </c>
      <c r="AN13" t="s">
        <v>96</v>
      </c>
      <c r="AO13">
        <v>423185</v>
      </c>
    </row>
    <row r="14" spans="1:41" x14ac:dyDescent="0.25">
      <c r="A14" t="s">
        <v>41</v>
      </c>
      <c r="B14" s="1">
        <v>39217</v>
      </c>
      <c r="C14" t="s">
        <v>42</v>
      </c>
      <c r="D14">
        <v>1</v>
      </c>
      <c r="E14" t="s">
        <v>42</v>
      </c>
      <c r="F14" t="s">
        <v>42</v>
      </c>
      <c r="G14">
        <v>20000111</v>
      </c>
      <c r="H14" t="s">
        <v>59</v>
      </c>
      <c r="J14" t="s">
        <v>42</v>
      </c>
      <c r="K14">
        <v>1</v>
      </c>
      <c r="L14">
        <v>4</v>
      </c>
      <c r="M14">
        <v>1780</v>
      </c>
      <c r="N14">
        <v>2100</v>
      </c>
      <c r="O14">
        <v>2100</v>
      </c>
      <c r="P14">
        <v>4760</v>
      </c>
      <c r="Q14">
        <v>1830</v>
      </c>
      <c r="S14">
        <v>1</v>
      </c>
      <c r="T14">
        <v>3990</v>
      </c>
      <c r="U14" t="s">
        <v>47</v>
      </c>
      <c r="Y14" t="s">
        <v>42</v>
      </c>
      <c r="Z14" t="s">
        <v>48</v>
      </c>
      <c r="AA14" t="s">
        <v>97</v>
      </c>
      <c r="AD14" t="s">
        <v>42</v>
      </c>
      <c r="AE14">
        <v>5</v>
      </c>
      <c r="AF14" t="s">
        <v>98</v>
      </c>
      <c r="AG14">
        <v>1</v>
      </c>
      <c r="AH14">
        <v>564</v>
      </c>
      <c r="AJ14" t="s">
        <v>42</v>
      </c>
      <c r="AK14" t="s">
        <v>42</v>
      </c>
      <c r="AL14" t="s">
        <v>42</v>
      </c>
      <c r="AM14">
        <v>88574</v>
      </c>
      <c r="AN14" t="s">
        <v>99</v>
      </c>
      <c r="AO14">
        <v>471735</v>
      </c>
    </row>
    <row r="15" spans="1:41" x14ac:dyDescent="0.25">
      <c r="A15" t="s">
        <v>41</v>
      </c>
      <c r="B15" s="1">
        <v>38085</v>
      </c>
      <c r="C15" t="s">
        <v>42</v>
      </c>
      <c r="D15">
        <v>1</v>
      </c>
      <c r="E15" t="s">
        <v>62</v>
      </c>
      <c r="F15" t="s">
        <v>100</v>
      </c>
      <c r="G15">
        <v>19990205</v>
      </c>
      <c r="H15" t="s">
        <v>88</v>
      </c>
      <c r="J15" t="s">
        <v>42</v>
      </c>
      <c r="K15">
        <v>1</v>
      </c>
      <c r="L15">
        <v>4</v>
      </c>
      <c r="M15">
        <v>1720</v>
      </c>
      <c r="N15">
        <v>2010</v>
      </c>
      <c r="O15">
        <v>2010</v>
      </c>
      <c r="P15">
        <v>4760</v>
      </c>
      <c r="Q15">
        <v>1830</v>
      </c>
      <c r="S15">
        <v>1</v>
      </c>
      <c r="T15">
        <v>3990</v>
      </c>
      <c r="U15" t="s">
        <v>47</v>
      </c>
      <c r="Y15" t="s">
        <v>42</v>
      </c>
      <c r="Z15" t="s">
        <v>48</v>
      </c>
      <c r="AA15" t="s">
        <v>49</v>
      </c>
      <c r="AD15" t="s">
        <v>42</v>
      </c>
      <c r="AE15">
        <v>5</v>
      </c>
      <c r="AF15" t="s">
        <v>85</v>
      </c>
      <c r="AG15">
        <v>1</v>
      </c>
      <c r="AH15">
        <v>109</v>
      </c>
      <c r="AJ15" t="s">
        <v>42</v>
      </c>
      <c r="AK15" t="s">
        <v>42</v>
      </c>
      <c r="AL15" t="s">
        <v>42</v>
      </c>
      <c r="AM15">
        <v>143220</v>
      </c>
      <c r="AN15" t="s">
        <v>52</v>
      </c>
      <c r="AO15">
        <v>532950</v>
      </c>
    </row>
    <row r="16" spans="1:41" x14ac:dyDescent="0.25">
      <c r="A16" t="s">
        <v>41</v>
      </c>
      <c r="B16" s="1">
        <v>38441</v>
      </c>
      <c r="C16" t="s">
        <v>42</v>
      </c>
      <c r="D16">
        <v>1</v>
      </c>
      <c r="E16" t="s">
        <v>69</v>
      </c>
      <c r="F16" t="s">
        <v>101</v>
      </c>
      <c r="G16">
        <v>20050330</v>
      </c>
      <c r="H16" t="s">
        <v>102</v>
      </c>
      <c r="J16" t="s">
        <v>46</v>
      </c>
      <c r="L16">
        <v>4</v>
      </c>
      <c r="M16">
        <v>1735</v>
      </c>
      <c r="N16">
        <v>2110</v>
      </c>
      <c r="O16">
        <v>2110</v>
      </c>
      <c r="P16">
        <v>4780</v>
      </c>
      <c r="Q16">
        <v>1830</v>
      </c>
      <c r="R16">
        <v>1300</v>
      </c>
      <c r="S16">
        <v>1</v>
      </c>
      <c r="T16">
        <v>4190</v>
      </c>
      <c r="U16" t="s">
        <v>72</v>
      </c>
      <c r="V16">
        <v>8</v>
      </c>
      <c r="W16" t="b">
        <v>1</v>
      </c>
      <c r="Y16" t="s">
        <v>42</v>
      </c>
      <c r="Z16" t="s">
        <v>48</v>
      </c>
      <c r="AA16" t="s">
        <v>103</v>
      </c>
      <c r="AD16" t="s">
        <v>50</v>
      </c>
      <c r="AE16">
        <v>5</v>
      </c>
      <c r="AF16" t="s">
        <v>104</v>
      </c>
      <c r="AG16">
        <v>1</v>
      </c>
      <c r="AH16">
        <v>91</v>
      </c>
      <c r="AI16">
        <v>304</v>
      </c>
      <c r="AJ16" t="s">
        <v>42</v>
      </c>
      <c r="AK16" t="s">
        <v>42</v>
      </c>
      <c r="AL16" t="s">
        <v>42</v>
      </c>
      <c r="AM16">
        <v>117234</v>
      </c>
      <c r="AN16" t="s">
        <v>105</v>
      </c>
      <c r="AO16">
        <v>535425</v>
      </c>
    </row>
    <row r="17" spans="1:41" x14ac:dyDescent="0.25">
      <c r="A17" t="s">
        <v>41</v>
      </c>
      <c r="B17" s="1">
        <v>38853</v>
      </c>
      <c r="C17" t="s">
        <v>42</v>
      </c>
      <c r="D17">
        <v>1</v>
      </c>
      <c r="E17" t="s">
        <v>53</v>
      </c>
      <c r="F17" t="s">
        <v>54</v>
      </c>
      <c r="G17">
        <v>20060516</v>
      </c>
      <c r="H17" t="s">
        <v>59</v>
      </c>
      <c r="I17">
        <v>2</v>
      </c>
      <c r="J17" t="s">
        <v>46</v>
      </c>
      <c r="K17">
        <v>1</v>
      </c>
      <c r="L17">
        <v>4</v>
      </c>
      <c r="M17">
        <v>1720</v>
      </c>
      <c r="N17">
        <v>2035</v>
      </c>
      <c r="O17">
        <v>2035</v>
      </c>
      <c r="P17">
        <v>4790</v>
      </c>
      <c r="Q17">
        <v>1890</v>
      </c>
      <c r="R17">
        <v>1320</v>
      </c>
      <c r="S17">
        <v>1</v>
      </c>
      <c r="T17">
        <v>4190</v>
      </c>
      <c r="U17" t="s">
        <v>55</v>
      </c>
      <c r="V17">
        <v>8</v>
      </c>
      <c r="W17" t="b">
        <v>0</v>
      </c>
      <c r="X17" t="b">
        <v>0</v>
      </c>
      <c r="Y17" t="s">
        <v>42</v>
      </c>
      <c r="Z17" t="s">
        <v>48</v>
      </c>
      <c r="AA17" t="s">
        <v>56</v>
      </c>
      <c r="AB17">
        <v>2</v>
      </c>
      <c r="AC17">
        <v>6</v>
      </c>
      <c r="AD17" t="s">
        <v>50</v>
      </c>
      <c r="AE17">
        <v>5</v>
      </c>
      <c r="AF17" t="s">
        <v>106</v>
      </c>
      <c r="AG17">
        <v>1</v>
      </c>
      <c r="AH17">
        <v>297</v>
      </c>
      <c r="AI17">
        <v>269</v>
      </c>
      <c r="AJ17" t="s">
        <v>42</v>
      </c>
      <c r="AK17" t="s">
        <v>42</v>
      </c>
      <c r="AL17" t="s">
        <v>42</v>
      </c>
      <c r="AM17">
        <v>152929</v>
      </c>
      <c r="AN17" t="s">
        <v>58</v>
      </c>
      <c r="AO17">
        <v>608373</v>
      </c>
    </row>
    <row r="18" spans="1:41" x14ac:dyDescent="0.25">
      <c r="A18" t="s">
        <v>41</v>
      </c>
      <c r="B18" s="1">
        <v>38995</v>
      </c>
      <c r="C18" t="s">
        <v>42</v>
      </c>
      <c r="D18">
        <v>1</v>
      </c>
      <c r="E18" t="s">
        <v>107</v>
      </c>
      <c r="F18" t="s">
        <v>108</v>
      </c>
      <c r="G18">
        <v>20061005</v>
      </c>
      <c r="H18" t="s">
        <v>88</v>
      </c>
      <c r="J18" t="s">
        <v>71</v>
      </c>
      <c r="L18">
        <v>4</v>
      </c>
      <c r="M18">
        <v>1735</v>
      </c>
      <c r="N18">
        <v>2075</v>
      </c>
      <c r="O18">
        <v>2075</v>
      </c>
      <c r="P18">
        <v>4790</v>
      </c>
      <c r="Q18">
        <v>1890</v>
      </c>
      <c r="R18">
        <v>1330</v>
      </c>
      <c r="S18">
        <v>1</v>
      </c>
      <c r="T18">
        <v>4190</v>
      </c>
      <c r="U18" t="s">
        <v>55</v>
      </c>
      <c r="V18">
        <v>8</v>
      </c>
      <c r="Y18" t="s">
        <v>42</v>
      </c>
      <c r="Z18" t="s">
        <v>48</v>
      </c>
      <c r="AA18" t="s">
        <v>109</v>
      </c>
      <c r="AD18" t="s">
        <v>50</v>
      </c>
      <c r="AE18">
        <v>5</v>
      </c>
      <c r="AF18" t="s">
        <v>106</v>
      </c>
      <c r="AG18">
        <v>1</v>
      </c>
      <c r="AH18">
        <v>529</v>
      </c>
      <c r="AI18">
        <v>269</v>
      </c>
      <c r="AJ18" t="s">
        <v>42</v>
      </c>
      <c r="AK18" t="s">
        <v>42</v>
      </c>
      <c r="AL18" t="s">
        <v>42</v>
      </c>
      <c r="AM18">
        <v>35960</v>
      </c>
      <c r="AN18" t="s">
        <v>110</v>
      </c>
      <c r="AO18">
        <v>608560</v>
      </c>
    </row>
    <row r="19" spans="1:41" x14ac:dyDescent="0.25">
      <c r="A19" t="s">
        <v>41</v>
      </c>
      <c r="B19" s="1">
        <v>35566</v>
      </c>
      <c r="C19" t="s">
        <v>42</v>
      </c>
      <c r="D19">
        <v>1</v>
      </c>
      <c r="E19" t="s">
        <v>43</v>
      </c>
      <c r="F19" t="s">
        <v>44</v>
      </c>
      <c r="G19">
        <v>19970516</v>
      </c>
      <c r="H19" t="s">
        <v>42</v>
      </c>
      <c r="J19" t="s">
        <v>46</v>
      </c>
      <c r="L19">
        <v>4</v>
      </c>
      <c r="M19">
        <v>1720</v>
      </c>
      <c r="N19">
        <v>2010</v>
      </c>
      <c r="O19">
        <v>2010</v>
      </c>
      <c r="P19">
        <v>4760</v>
      </c>
      <c r="Q19">
        <v>1830</v>
      </c>
      <c r="S19">
        <v>1</v>
      </c>
      <c r="T19">
        <v>3990</v>
      </c>
      <c r="U19" t="s">
        <v>47</v>
      </c>
      <c r="V19">
        <v>8</v>
      </c>
      <c r="Y19" t="s">
        <v>42</v>
      </c>
      <c r="Z19" t="s">
        <v>48</v>
      </c>
      <c r="AA19" t="s">
        <v>49</v>
      </c>
      <c r="AD19" t="s">
        <v>50</v>
      </c>
      <c r="AE19">
        <v>5</v>
      </c>
      <c r="AF19" t="s">
        <v>51</v>
      </c>
      <c r="AG19">
        <v>1</v>
      </c>
      <c r="AH19">
        <v>316</v>
      </c>
      <c r="AJ19" t="s">
        <v>42</v>
      </c>
      <c r="AK19" t="s">
        <v>42</v>
      </c>
      <c r="AL19" t="s">
        <v>42</v>
      </c>
      <c r="AM19">
        <v>57895</v>
      </c>
      <c r="AN19" t="s">
        <v>52</v>
      </c>
      <c r="AO19">
        <v>627492</v>
      </c>
    </row>
    <row r="20" spans="1:41" x14ac:dyDescent="0.25">
      <c r="A20" t="s">
        <v>41</v>
      </c>
      <c r="B20" s="1">
        <v>35590</v>
      </c>
      <c r="C20" t="s">
        <v>42</v>
      </c>
      <c r="D20">
        <v>1</v>
      </c>
      <c r="E20" t="s">
        <v>43</v>
      </c>
      <c r="F20" t="s">
        <v>44</v>
      </c>
      <c r="G20">
        <v>19970609</v>
      </c>
      <c r="H20" t="s">
        <v>42</v>
      </c>
      <c r="J20" t="s">
        <v>46</v>
      </c>
      <c r="L20">
        <v>4</v>
      </c>
      <c r="M20">
        <v>1720</v>
      </c>
      <c r="N20">
        <v>2010</v>
      </c>
      <c r="O20">
        <v>2010</v>
      </c>
      <c r="P20">
        <v>4760</v>
      </c>
      <c r="Q20">
        <v>1830</v>
      </c>
      <c r="S20">
        <v>1</v>
      </c>
      <c r="T20">
        <v>3990</v>
      </c>
      <c r="U20" t="s">
        <v>47</v>
      </c>
      <c r="V20">
        <v>8</v>
      </c>
      <c r="Y20" t="s">
        <v>42</v>
      </c>
      <c r="Z20" t="s">
        <v>48</v>
      </c>
      <c r="AA20" t="s">
        <v>49</v>
      </c>
      <c r="AD20" t="s">
        <v>50</v>
      </c>
      <c r="AE20">
        <v>5</v>
      </c>
      <c r="AF20" t="s">
        <v>51</v>
      </c>
      <c r="AG20">
        <v>1</v>
      </c>
      <c r="AH20">
        <v>743</v>
      </c>
      <c r="AJ20" t="s">
        <v>42</v>
      </c>
      <c r="AK20" t="s">
        <v>42</v>
      </c>
      <c r="AL20" t="s">
        <v>42</v>
      </c>
      <c r="AM20">
        <v>87910</v>
      </c>
      <c r="AN20" t="s">
        <v>52</v>
      </c>
      <c r="AO20">
        <v>689949</v>
      </c>
    </row>
    <row r="21" spans="1:41" x14ac:dyDescent="0.25">
      <c r="A21" t="s">
        <v>41</v>
      </c>
      <c r="B21" s="1">
        <v>35468</v>
      </c>
      <c r="C21" t="s">
        <v>42</v>
      </c>
      <c r="D21">
        <v>1</v>
      </c>
      <c r="E21" t="s">
        <v>42</v>
      </c>
      <c r="F21" t="s">
        <v>42</v>
      </c>
      <c r="G21">
        <v>19970207</v>
      </c>
      <c r="H21" t="s">
        <v>42</v>
      </c>
      <c r="J21" t="s">
        <v>42</v>
      </c>
      <c r="K21">
        <v>1</v>
      </c>
      <c r="L21">
        <v>4</v>
      </c>
      <c r="M21">
        <v>1720</v>
      </c>
      <c r="N21">
        <v>2010</v>
      </c>
      <c r="O21">
        <v>2010</v>
      </c>
      <c r="P21">
        <v>4760</v>
      </c>
      <c r="Q21">
        <v>1830</v>
      </c>
      <c r="S21">
        <v>1</v>
      </c>
      <c r="T21">
        <v>3990</v>
      </c>
      <c r="U21" t="s">
        <v>47</v>
      </c>
      <c r="Y21" t="s">
        <v>42</v>
      </c>
      <c r="Z21" t="s">
        <v>48</v>
      </c>
      <c r="AA21" t="s">
        <v>49</v>
      </c>
      <c r="AD21" t="s">
        <v>42</v>
      </c>
      <c r="AE21">
        <v>5</v>
      </c>
      <c r="AF21" t="s">
        <v>42</v>
      </c>
      <c r="AG21">
        <v>1</v>
      </c>
      <c r="AH21">
        <v>434</v>
      </c>
      <c r="AJ21" t="s">
        <v>42</v>
      </c>
      <c r="AK21" t="s">
        <v>42</v>
      </c>
      <c r="AL21" t="s">
        <v>42</v>
      </c>
      <c r="AM21">
        <v>105327</v>
      </c>
      <c r="AN21" t="s">
        <v>52</v>
      </c>
      <c r="AO21">
        <v>709363</v>
      </c>
    </row>
    <row r="22" spans="1:41" x14ac:dyDescent="0.25">
      <c r="A22" t="s">
        <v>41</v>
      </c>
      <c r="B22" s="1">
        <v>39357</v>
      </c>
      <c r="C22" t="s">
        <v>42</v>
      </c>
      <c r="D22">
        <v>1</v>
      </c>
      <c r="E22" t="s">
        <v>42</v>
      </c>
      <c r="F22" t="s">
        <v>42</v>
      </c>
      <c r="G22">
        <v>19970000</v>
      </c>
      <c r="H22" t="s">
        <v>92</v>
      </c>
      <c r="J22" t="s">
        <v>42</v>
      </c>
      <c r="K22">
        <v>4</v>
      </c>
      <c r="L22">
        <v>4</v>
      </c>
      <c r="M22">
        <v>1810</v>
      </c>
      <c r="N22">
        <v>2100</v>
      </c>
      <c r="O22">
        <v>2100</v>
      </c>
      <c r="P22">
        <v>4760</v>
      </c>
      <c r="Q22">
        <v>1830</v>
      </c>
      <c r="S22">
        <v>1</v>
      </c>
      <c r="T22">
        <v>3990</v>
      </c>
      <c r="U22" t="s">
        <v>47</v>
      </c>
      <c r="Y22" t="s">
        <v>42</v>
      </c>
      <c r="Z22" t="s">
        <v>48</v>
      </c>
      <c r="AA22" t="s">
        <v>111</v>
      </c>
      <c r="AD22" t="s">
        <v>42</v>
      </c>
      <c r="AE22">
        <v>5</v>
      </c>
      <c r="AF22" t="s">
        <v>42</v>
      </c>
      <c r="AG22">
        <v>1</v>
      </c>
      <c r="AH22">
        <v>734</v>
      </c>
      <c r="AJ22" t="s">
        <v>42</v>
      </c>
      <c r="AK22" t="s">
        <v>42</v>
      </c>
      <c r="AL22" t="s">
        <v>42</v>
      </c>
      <c r="AM22">
        <v>93164</v>
      </c>
      <c r="AN22" t="s">
        <v>112</v>
      </c>
      <c r="AO22">
        <v>755631</v>
      </c>
    </row>
    <row r="23" spans="1:41" x14ac:dyDescent="0.25">
      <c r="A23" t="s">
        <v>41</v>
      </c>
      <c r="B23" s="1">
        <v>39366</v>
      </c>
      <c r="C23" t="s">
        <v>42</v>
      </c>
      <c r="D23">
        <v>1</v>
      </c>
      <c r="E23" t="s">
        <v>62</v>
      </c>
      <c r="F23" t="s">
        <v>44</v>
      </c>
      <c r="G23">
        <v>19980330</v>
      </c>
      <c r="H23" t="s">
        <v>88</v>
      </c>
      <c r="J23" t="s">
        <v>42</v>
      </c>
      <c r="K23">
        <v>1</v>
      </c>
      <c r="L23">
        <v>4</v>
      </c>
      <c r="M23">
        <v>1690</v>
      </c>
      <c r="N23">
        <v>2010</v>
      </c>
      <c r="O23">
        <v>2010</v>
      </c>
      <c r="P23">
        <v>4760</v>
      </c>
      <c r="Q23">
        <v>1830</v>
      </c>
      <c r="S23">
        <v>1</v>
      </c>
      <c r="T23">
        <v>3990</v>
      </c>
      <c r="U23" t="s">
        <v>47</v>
      </c>
      <c r="Y23" t="s">
        <v>42</v>
      </c>
      <c r="Z23" t="s">
        <v>48</v>
      </c>
      <c r="AA23" t="s">
        <v>113</v>
      </c>
      <c r="AD23" t="s">
        <v>50</v>
      </c>
      <c r="AE23">
        <v>5</v>
      </c>
      <c r="AF23" t="s">
        <v>114</v>
      </c>
      <c r="AG23">
        <v>1</v>
      </c>
      <c r="AH23">
        <v>858</v>
      </c>
      <c r="AJ23" t="s">
        <v>42</v>
      </c>
      <c r="AK23" t="s">
        <v>42</v>
      </c>
      <c r="AL23" t="s">
        <v>42</v>
      </c>
      <c r="AM23">
        <v>137164</v>
      </c>
      <c r="AN23" t="s">
        <v>52</v>
      </c>
      <c r="AO23">
        <v>764375</v>
      </c>
    </row>
    <row r="24" spans="1:41" x14ac:dyDescent="0.25">
      <c r="A24" t="s">
        <v>41</v>
      </c>
      <c r="B24" s="1">
        <v>39136</v>
      </c>
      <c r="C24" t="s">
        <v>42</v>
      </c>
      <c r="D24">
        <v>1</v>
      </c>
      <c r="E24" t="s">
        <v>42</v>
      </c>
      <c r="F24" t="s">
        <v>42</v>
      </c>
      <c r="G24">
        <v>19981223</v>
      </c>
      <c r="H24" t="s">
        <v>64</v>
      </c>
      <c r="J24" t="s">
        <v>42</v>
      </c>
      <c r="K24">
        <v>1</v>
      </c>
      <c r="L24">
        <v>4</v>
      </c>
      <c r="M24">
        <v>1720</v>
      </c>
      <c r="N24">
        <v>2010</v>
      </c>
      <c r="O24">
        <v>2010</v>
      </c>
      <c r="P24">
        <v>4760</v>
      </c>
      <c r="Q24">
        <v>1830</v>
      </c>
      <c r="S24">
        <v>1</v>
      </c>
      <c r="T24">
        <v>3990</v>
      </c>
      <c r="U24" t="s">
        <v>47</v>
      </c>
      <c r="Y24" t="s">
        <v>42</v>
      </c>
      <c r="Z24" t="s">
        <v>48</v>
      </c>
      <c r="AA24" t="s">
        <v>49</v>
      </c>
      <c r="AD24" t="s">
        <v>42</v>
      </c>
      <c r="AE24">
        <v>5</v>
      </c>
      <c r="AF24" t="s">
        <v>115</v>
      </c>
      <c r="AG24">
        <v>1</v>
      </c>
      <c r="AH24">
        <v>698</v>
      </c>
      <c r="AJ24" t="s">
        <v>42</v>
      </c>
      <c r="AK24" t="s">
        <v>42</v>
      </c>
      <c r="AL24" t="s">
        <v>42</v>
      </c>
      <c r="AM24">
        <v>199205</v>
      </c>
      <c r="AN24" t="s">
        <v>52</v>
      </c>
      <c r="AO24">
        <v>806386</v>
      </c>
    </row>
    <row r="25" spans="1:41" x14ac:dyDescent="0.25">
      <c r="A25" t="s">
        <v>41</v>
      </c>
      <c r="B25" s="1">
        <v>39098</v>
      </c>
      <c r="C25" t="s">
        <v>42</v>
      </c>
      <c r="D25">
        <v>1</v>
      </c>
      <c r="E25" t="s">
        <v>107</v>
      </c>
      <c r="F25" t="s">
        <v>108</v>
      </c>
      <c r="G25">
        <v>20070116</v>
      </c>
      <c r="H25" t="s">
        <v>59</v>
      </c>
      <c r="J25" t="s">
        <v>71</v>
      </c>
      <c r="L25">
        <v>4</v>
      </c>
      <c r="M25">
        <v>1735</v>
      </c>
      <c r="N25">
        <v>2075</v>
      </c>
      <c r="O25">
        <v>2075</v>
      </c>
      <c r="P25">
        <v>4790</v>
      </c>
      <c r="Q25">
        <v>1890</v>
      </c>
      <c r="R25">
        <v>1330</v>
      </c>
      <c r="S25">
        <v>1</v>
      </c>
      <c r="T25">
        <v>4190</v>
      </c>
      <c r="U25" t="s">
        <v>55</v>
      </c>
      <c r="V25">
        <v>8</v>
      </c>
      <c r="Y25" t="s">
        <v>42</v>
      </c>
      <c r="Z25" t="s">
        <v>48</v>
      </c>
      <c r="AA25" t="s">
        <v>109</v>
      </c>
      <c r="AD25" t="s">
        <v>50</v>
      </c>
      <c r="AE25">
        <v>5</v>
      </c>
      <c r="AF25" t="s">
        <v>106</v>
      </c>
      <c r="AG25">
        <v>1</v>
      </c>
      <c r="AH25">
        <v>91</v>
      </c>
      <c r="AI25">
        <v>269</v>
      </c>
      <c r="AJ25" t="s">
        <v>42</v>
      </c>
      <c r="AK25" t="s">
        <v>42</v>
      </c>
      <c r="AL25" t="s">
        <v>42</v>
      </c>
      <c r="AM25">
        <v>119014</v>
      </c>
      <c r="AN25" t="s">
        <v>116</v>
      </c>
      <c r="AO25">
        <v>840818</v>
      </c>
    </row>
    <row r="26" spans="1:41" x14ac:dyDescent="0.25">
      <c r="A26" t="s">
        <v>41</v>
      </c>
      <c r="B26" s="1">
        <v>38007</v>
      </c>
      <c r="C26" t="s">
        <v>42</v>
      </c>
      <c r="D26">
        <v>1</v>
      </c>
      <c r="E26" t="s">
        <v>62</v>
      </c>
      <c r="F26" t="s">
        <v>100</v>
      </c>
      <c r="G26">
        <v>19991018</v>
      </c>
      <c r="H26" t="s">
        <v>102</v>
      </c>
      <c r="J26" t="s">
        <v>42</v>
      </c>
      <c r="K26">
        <v>1</v>
      </c>
      <c r="L26">
        <v>4</v>
      </c>
      <c r="M26">
        <v>1690</v>
      </c>
      <c r="N26">
        <v>2010</v>
      </c>
      <c r="O26">
        <v>2010</v>
      </c>
      <c r="P26">
        <v>4760</v>
      </c>
      <c r="Q26">
        <v>1830</v>
      </c>
      <c r="S26">
        <v>1</v>
      </c>
      <c r="T26">
        <v>3990</v>
      </c>
      <c r="U26" t="s">
        <v>47</v>
      </c>
      <c r="Y26" t="s">
        <v>42</v>
      </c>
      <c r="Z26" t="s">
        <v>48</v>
      </c>
      <c r="AA26" t="s">
        <v>49</v>
      </c>
      <c r="AD26" t="s">
        <v>42</v>
      </c>
      <c r="AE26">
        <v>5</v>
      </c>
      <c r="AF26" t="s">
        <v>85</v>
      </c>
      <c r="AG26">
        <v>1</v>
      </c>
      <c r="AH26">
        <v>753</v>
      </c>
      <c r="AJ26" t="s">
        <v>42</v>
      </c>
      <c r="AK26" t="s">
        <v>42</v>
      </c>
      <c r="AL26" t="s">
        <v>42</v>
      </c>
      <c r="AM26">
        <v>108966</v>
      </c>
      <c r="AN26" t="s">
        <v>52</v>
      </c>
      <c r="AO26">
        <v>906178</v>
      </c>
    </row>
    <row r="27" spans="1:41" x14ac:dyDescent="0.25">
      <c r="A27" t="s">
        <v>41</v>
      </c>
      <c r="B27" s="1">
        <v>35586</v>
      </c>
      <c r="C27" t="s">
        <v>42</v>
      </c>
      <c r="D27">
        <v>1</v>
      </c>
      <c r="E27" t="s">
        <v>43</v>
      </c>
      <c r="F27" t="s">
        <v>44</v>
      </c>
      <c r="G27">
        <v>19970605</v>
      </c>
      <c r="H27" t="s">
        <v>42</v>
      </c>
      <c r="J27" t="s">
        <v>46</v>
      </c>
      <c r="L27">
        <v>4</v>
      </c>
      <c r="M27">
        <v>1720</v>
      </c>
      <c r="N27">
        <v>2010</v>
      </c>
      <c r="O27">
        <v>2010</v>
      </c>
      <c r="P27">
        <v>4760</v>
      </c>
      <c r="Q27">
        <v>1830</v>
      </c>
      <c r="S27">
        <v>1</v>
      </c>
      <c r="T27">
        <v>3990</v>
      </c>
      <c r="U27" t="s">
        <v>47</v>
      </c>
      <c r="V27">
        <v>8</v>
      </c>
      <c r="Y27" t="s">
        <v>42</v>
      </c>
      <c r="Z27" t="s">
        <v>48</v>
      </c>
      <c r="AA27" t="s">
        <v>49</v>
      </c>
      <c r="AD27" t="s">
        <v>50</v>
      </c>
      <c r="AE27">
        <v>5</v>
      </c>
      <c r="AF27" t="s">
        <v>51</v>
      </c>
      <c r="AG27">
        <v>1</v>
      </c>
      <c r="AH27">
        <v>543</v>
      </c>
      <c r="AJ27" t="s">
        <v>42</v>
      </c>
      <c r="AK27" t="s">
        <v>42</v>
      </c>
      <c r="AL27" t="s">
        <v>42</v>
      </c>
      <c r="AM27">
        <v>132889</v>
      </c>
      <c r="AN27" t="s">
        <v>52</v>
      </c>
      <c r="AO27">
        <v>928493</v>
      </c>
    </row>
    <row r="28" spans="1:41" x14ac:dyDescent="0.25">
      <c r="A28" t="s">
        <v>41</v>
      </c>
      <c r="B28" s="1">
        <v>38882</v>
      </c>
      <c r="C28" t="s">
        <v>42</v>
      </c>
      <c r="D28">
        <v>1</v>
      </c>
      <c r="E28" t="s">
        <v>62</v>
      </c>
      <c r="F28" t="s">
        <v>117</v>
      </c>
      <c r="G28">
        <v>19990621</v>
      </c>
      <c r="H28" t="s">
        <v>84</v>
      </c>
      <c r="I28">
        <v>2</v>
      </c>
      <c r="J28" t="s">
        <v>42</v>
      </c>
      <c r="K28">
        <v>1</v>
      </c>
      <c r="L28">
        <v>4</v>
      </c>
      <c r="M28">
        <v>1810</v>
      </c>
      <c r="N28">
        <v>2100</v>
      </c>
      <c r="O28">
        <v>2100</v>
      </c>
      <c r="P28">
        <v>4760</v>
      </c>
      <c r="Q28">
        <v>1830</v>
      </c>
      <c r="S28">
        <v>1</v>
      </c>
      <c r="T28">
        <v>3990</v>
      </c>
      <c r="U28" t="s">
        <v>47</v>
      </c>
      <c r="W28" t="b">
        <v>0</v>
      </c>
      <c r="X28" t="b">
        <v>0</v>
      </c>
      <c r="Y28" t="s">
        <v>42</v>
      </c>
      <c r="Z28" t="s">
        <v>48</v>
      </c>
      <c r="AA28" t="s">
        <v>86</v>
      </c>
      <c r="AB28">
        <v>2</v>
      </c>
      <c r="AD28" t="s">
        <v>42</v>
      </c>
      <c r="AE28">
        <v>5</v>
      </c>
      <c r="AF28" t="s">
        <v>67</v>
      </c>
      <c r="AG28">
        <v>1</v>
      </c>
      <c r="AH28">
        <v>91</v>
      </c>
      <c r="AJ28" t="s">
        <v>42</v>
      </c>
      <c r="AK28" t="s">
        <v>42</v>
      </c>
      <c r="AL28" t="s">
        <v>42</v>
      </c>
      <c r="AM28">
        <v>94698</v>
      </c>
      <c r="AN28" t="s">
        <v>61</v>
      </c>
      <c r="AO28">
        <v>957208</v>
      </c>
    </row>
    <row r="29" spans="1:41" x14ac:dyDescent="0.25">
      <c r="A29" t="s">
        <v>41</v>
      </c>
      <c r="B29" s="1">
        <v>38842</v>
      </c>
      <c r="C29" t="s">
        <v>42</v>
      </c>
      <c r="D29">
        <v>1</v>
      </c>
      <c r="E29" t="s">
        <v>107</v>
      </c>
      <c r="F29" t="s">
        <v>108</v>
      </c>
      <c r="G29">
        <v>20060505</v>
      </c>
      <c r="H29" t="s">
        <v>88</v>
      </c>
      <c r="J29" t="s">
        <v>71</v>
      </c>
      <c r="L29">
        <v>4</v>
      </c>
      <c r="M29">
        <v>1735</v>
      </c>
      <c r="N29">
        <v>2075</v>
      </c>
      <c r="O29">
        <v>2075</v>
      </c>
      <c r="P29">
        <v>4790</v>
      </c>
      <c r="Q29">
        <v>1890</v>
      </c>
      <c r="R29">
        <v>1330</v>
      </c>
      <c r="S29">
        <v>1</v>
      </c>
      <c r="T29">
        <v>4190</v>
      </c>
      <c r="U29" t="s">
        <v>55</v>
      </c>
      <c r="V29">
        <v>8</v>
      </c>
      <c r="Y29" t="s">
        <v>42</v>
      </c>
      <c r="Z29" t="s">
        <v>48</v>
      </c>
      <c r="AA29" t="s">
        <v>109</v>
      </c>
      <c r="AD29" t="s">
        <v>50</v>
      </c>
      <c r="AE29">
        <v>5</v>
      </c>
      <c r="AF29" t="s">
        <v>106</v>
      </c>
      <c r="AG29">
        <v>1</v>
      </c>
      <c r="AH29">
        <v>91</v>
      </c>
      <c r="AI29">
        <v>269</v>
      </c>
      <c r="AJ29" t="s">
        <v>42</v>
      </c>
      <c r="AK29" t="s">
        <v>42</v>
      </c>
      <c r="AL29" t="s">
        <v>42</v>
      </c>
      <c r="AM29">
        <v>50736</v>
      </c>
      <c r="AN29" t="s">
        <v>118</v>
      </c>
      <c r="AO29">
        <v>968479</v>
      </c>
    </row>
    <row r="30" spans="1:41" x14ac:dyDescent="0.25">
      <c r="A30" t="s">
        <v>41</v>
      </c>
      <c r="B30" s="1">
        <v>38737</v>
      </c>
      <c r="C30" t="s">
        <v>42</v>
      </c>
      <c r="D30">
        <v>1</v>
      </c>
      <c r="E30" t="s">
        <v>42</v>
      </c>
      <c r="F30" t="s">
        <v>42</v>
      </c>
      <c r="G30">
        <v>19970625</v>
      </c>
      <c r="H30" t="s">
        <v>45</v>
      </c>
      <c r="J30" t="s">
        <v>42</v>
      </c>
      <c r="K30">
        <v>4</v>
      </c>
      <c r="L30">
        <v>4</v>
      </c>
      <c r="M30">
        <v>1720</v>
      </c>
      <c r="N30">
        <v>2100</v>
      </c>
      <c r="O30">
        <v>2100</v>
      </c>
      <c r="P30">
        <v>4760</v>
      </c>
      <c r="Q30">
        <v>1830</v>
      </c>
      <c r="S30">
        <v>1</v>
      </c>
      <c r="T30">
        <v>3990</v>
      </c>
      <c r="U30" t="s">
        <v>47</v>
      </c>
      <c r="Y30" t="s">
        <v>42</v>
      </c>
      <c r="Z30" t="s">
        <v>48</v>
      </c>
      <c r="AA30" t="s">
        <v>86</v>
      </c>
      <c r="AD30" t="s">
        <v>119</v>
      </c>
      <c r="AE30">
        <v>5</v>
      </c>
      <c r="AF30" t="s">
        <v>89</v>
      </c>
      <c r="AG30">
        <v>1</v>
      </c>
      <c r="AH30">
        <v>109</v>
      </c>
      <c r="AJ30" t="s">
        <v>42</v>
      </c>
      <c r="AK30" t="s">
        <v>42</v>
      </c>
      <c r="AL30" t="s">
        <v>42</v>
      </c>
      <c r="AM30">
        <v>94189</v>
      </c>
      <c r="AN30" t="s">
        <v>87</v>
      </c>
      <c r="AO30">
        <v>968661</v>
      </c>
    </row>
    <row r="31" spans="1:41" x14ac:dyDescent="0.25">
      <c r="A31" t="s">
        <v>41</v>
      </c>
      <c r="B31" s="1">
        <v>38016</v>
      </c>
      <c r="C31" t="s">
        <v>42</v>
      </c>
      <c r="D31">
        <v>1</v>
      </c>
      <c r="E31" t="s">
        <v>120</v>
      </c>
      <c r="F31" t="s">
        <v>63</v>
      </c>
      <c r="G31">
        <v>19990628</v>
      </c>
      <c r="H31" t="s">
        <v>92</v>
      </c>
      <c r="J31" t="s">
        <v>42</v>
      </c>
      <c r="K31">
        <v>4</v>
      </c>
      <c r="L31">
        <v>4</v>
      </c>
      <c r="M31">
        <v>1845</v>
      </c>
      <c r="N31">
        <v>2100</v>
      </c>
      <c r="O31">
        <v>2100</v>
      </c>
      <c r="P31">
        <v>4760</v>
      </c>
      <c r="Q31">
        <v>1830</v>
      </c>
      <c r="S31">
        <v>1</v>
      </c>
      <c r="T31">
        <v>3990</v>
      </c>
      <c r="U31" t="s">
        <v>65</v>
      </c>
      <c r="W31" t="b">
        <v>1</v>
      </c>
      <c r="Y31" t="s">
        <v>42</v>
      </c>
      <c r="Z31" t="s">
        <v>48</v>
      </c>
      <c r="AA31" t="s">
        <v>66</v>
      </c>
      <c r="AD31" t="s">
        <v>42</v>
      </c>
      <c r="AE31">
        <v>5</v>
      </c>
      <c r="AF31" t="s">
        <v>67</v>
      </c>
      <c r="AG31">
        <v>1</v>
      </c>
      <c r="AH31">
        <v>106</v>
      </c>
      <c r="AI31">
        <v>305</v>
      </c>
      <c r="AJ31" t="s">
        <v>42</v>
      </c>
      <c r="AK31" t="s">
        <v>42</v>
      </c>
      <c r="AL31" t="s">
        <v>42</v>
      </c>
      <c r="AM31">
        <v>120361</v>
      </c>
      <c r="AN31" t="s">
        <v>68</v>
      </c>
      <c r="AO31">
        <v>989686</v>
      </c>
    </row>
    <row r="32" spans="1:41" x14ac:dyDescent="0.25">
      <c r="A32" t="s">
        <v>41</v>
      </c>
      <c r="B32" s="1">
        <v>38530</v>
      </c>
      <c r="C32" t="s">
        <v>42</v>
      </c>
      <c r="D32">
        <v>1</v>
      </c>
      <c r="E32" t="s">
        <v>69</v>
      </c>
      <c r="F32" t="s">
        <v>70</v>
      </c>
      <c r="G32">
        <v>20050627</v>
      </c>
      <c r="H32" t="s">
        <v>102</v>
      </c>
      <c r="J32" t="s">
        <v>71</v>
      </c>
      <c r="L32">
        <v>4</v>
      </c>
      <c r="M32">
        <v>1770</v>
      </c>
      <c r="N32">
        <v>2185</v>
      </c>
      <c r="O32">
        <v>2185</v>
      </c>
      <c r="P32">
        <v>4760</v>
      </c>
      <c r="Q32">
        <v>1830</v>
      </c>
      <c r="R32">
        <v>1310</v>
      </c>
      <c r="S32">
        <v>1</v>
      </c>
      <c r="T32">
        <v>4190</v>
      </c>
      <c r="U32" t="s">
        <v>72</v>
      </c>
      <c r="V32">
        <v>8</v>
      </c>
      <c r="W32" t="b">
        <v>1</v>
      </c>
      <c r="Y32" t="s">
        <v>42</v>
      </c>
      <c r="Z32" t="s">
        <v>48</v>
      </c>
      <c r="AA32" t="s">
        <v>73</v>
      </c>
      <c r="AD32" t="s">
        <v>50</v>
      </c>
      <c r="AE32">
        <v>5</v>
      </c>
      <c r="AF32" t="s">
        <v>74</v>
      </c>
      <c r="AG32">
        <v>1</v>
      </c>
      <c r="AH32">
        <v>109</v>
      </c>
      <c r="AI32">
        <v>304</v>
      </c>
      <c r="AJ32" t="s">
        <v>42</v>
      </c>
      <c r="AK32" t="s">
        <v>42</v>
      </c>
      <c r="AL32" t="s">
        <v>42</v>
      </c>
      <c r="AM32">
        <v>159343</v>
      </c>
      <c r="AN32" t="s">
        <v>75</v>
      </c>
      <c r="AO32">
        <v>1027041</v>
      </c>
    </row>
    <row r="33" spans="1:41" x14ac:dyDescent="0.25">
      <c r="A33" t="s">
        <v>41</v>
      </c>
      <c r="B33" s="1">
        <v>39470</v>
      </c>
      <c r="C33" t="s">
        <v>42</v>
      </c>
      <c r="D33">
        <v>1</v>
      </c>
      <c r="E33" t="s">
        <v>43</v>
      </c>
      <c r="F33" t="s">
        <v>44</v>
      </c>
      <c r="G33">
        <v>19961018</v>
      </c>
      <c r="H33" t="s">
        <v>92</v>
      </c>
      <c r="I33">
        <v>2</v>
      </c>
      <c r="J33" t="s">
        <v>46</v>
      </c>
      <c r="K33">
        <v>1</v>
      </c>
      <c r="L33">
        <v>4</v>
      </c>
      <c r="M33">
        <v>1720</v>
      </c>
      <c r="N33">
        <v>2010</v>
      </c>
      <c r="O33">
        <v>2010</v>
      </c>
      <c r="P33">
        <v>4760</v>
      </c>
      <c r="Q33">
        <v>1830</v>
      </c>
      <c r="S33">
        <v>1</v>
      </c>
      <c r="T33">
        <v>3990</v>
      </c>
      <c r="U33" t="s">
        <v>47</v>
      </c>
      <c r="V33">
        <v>8</v>
      </c>
      <c r="W33" t="b">
        <v>0</v>
      </c>
      <c r="Y33" t="s">
        <v>42</v>
      </c>
      <c r="Z33" t="s">
        <v>48</v>
      </c>
      <c r="AA33" t="s">
        <v>49</v>
      </c>
      <c r="AB33">
        <v>2</v>
      </c>
      <c r="AC33">
        <v>5</v>
      </c>
      <c r="AD33" t="s">
        <v>50</v>
      </c>
      <c r="AE33">
        <v>5</v>
      </c>
      <c r="AF33" t="s">
        <v>51</v>
      </c>
      <c r="AG33">
        <v>1</v>
      </c>
      <c r="AH33">
        <v>499</v>
      </c>
      <c r="AJ33" t="s">
        <v>42</v>
      </c>
      <c r="AK33" t="s">
        <v>42</v>
      </c>
      <c r="AL33" t="s">
        <v>42</v>
      </c>
      <c r="AM33">
        <v>189021</v>
      </c>
      <c r="AN33" t="s">
        <v>52</v>
      </c>
      <c r="AO33">
        <v>1035687</v>
      </c>
    </row>
    <row r="34" spans="1:41" x14ac:dyDescent="0.25">
      <c r="A34" t="s">
        <v>41</v>
      </c>
      <c r="B34" s="1">
        <v>35923</v>
      </c>
      <c r="C34" t="s">
        <v>42</v>
      </c>
      <c r="D34">
        <v>1</v>
      </c>
      <c r="E34" t="s">
        <v>42</v>
      </c>
      <c r="F34" t="s">
        <v>121</v>
      </c>
      <c r="G34">
        <v>19980508</v>
      </c>
      <c r="H34" t="s">
        <v>45</v>
      </c>
      <c r="J34" t="s">
        <v>71</v>
      </c>
      <c r="L34">
        <v>4</v>
      </c>
      <c r="M34">
        <v>1810</v>
      </c>
      <c r="N34">
        <v>2100</v>
      </c>
      <c r="O34">
        <v>2100</v>
      </c>
      <c r="P34">
        <v>4760</v>
      </c>
      <c r="Q34">
        <v>1830</v>
      </c>
      <c r="S34">
        <v>1</v>
      </c>
      <c r="T34">
        <v>3990</v>
      </c>
      <c r="U34" t="s">
        <v>47</v>
      </c>
      <c r="V34">
        <v>8</v>
      </c>
      <c r="Y34" t="s">
        <v>42</v>
      </c>
      <c r="Z34" t="s">
        <v>48</v>
      </c>
      <c r="AA34" t="s">
        <v>86</v>
      </c>
      <c r="AD34" t="s">
        <v>50</v>
      </c>
      <c r="AE34">
        <v>5</v>
      </c>
      <c r="AF34" t="s">
        <v>42</v>
      </c>
      <c r="AG34">
        <v>1</v>
      </c>
      <c r="AH34">
        <v>91</v>
      </c>
      <c r="AJ34" t="s">
        <v>42</v>
      </c>
      <c r="AK34" t="s">
        <v>42</v>
      </c>
      <c r="AL34" t="s">
        <v>42</v>
      </c>
      <c r="AM34">
        <v>76925</v>
      </c>
      <c r="AN34" t="s">
        <v>61</v>
      </c>
      <c r="AO34">
        <v>1074845</v>
      </c>
    </row>
    <row r="35" spans="1:41" x14ac:dyDescent="0.25">
      <c r="A35" t="s">
        <v>41</v>
      </c>
      <c r="B35" s="1">
        <v>38993</v>
      </c>
      <c r="C35" t="s">
        <v>42</v>
      </c>
      <c r="D35">
        <v>1</v>
      </c>
      <c r="E35" t="s">
        <v>42</v>
      </c>
      <c r="F35" t="s">
        <v>44</v>
      </c>
      <c r="G35">
        <v>19970711</v>
      </c>
      <c r="H35" t="s">
        <v>92</v>
      </c>
      <c r="J35" t="s">
        <v>42</v>
      </c>
      <c r="K35">
        <v>1</v>
      </c>
      <c r="L35">
        <v>4</v>
      </c>
      <c r="M35">
        <v>1690</v>
      </c>
      <c r="N35">
        <v>2010</v>
      </c>
      <c r="O35">
        <v>2010</v>
      </c>
      <c r="P35">
        <v>4760</v>
      </c>
      <c r="Q35">
        <v>1830</v>
      </c>
      <c r="S35">
        <v>1</v>
      </c>
      <c r="T35">
        <v>3990</v>
      </c>
      <c r="U35" t="s">
        <v>47</v>
      </c>
      <c r="Y35" t="s">
        <v>42</v>
      </c>
      <c r="Z35" t="s">
        <v>48</v>
      </c>
      <c r="AA35" t="s">
        <v>49</v>
      </c>
      <c r="AD35" t="s">
        <v>42</v>
      </c>
      <c r="AE35">
        <v>5</v>
      </c>
      <c r="AF35" t="s">
        <v>51</v>
      </c>
      <c r="AG35">
        <v>1</v>
      </c>
      <c r="AH35">
        <v>560</v>
      </c>
      <c r="AJ35" t="s">
        <v>42</v>
      </c>
      <c r="AK35" t="s">
        <v>42</v>
      </c>
      <c r="AL35" t="s">
        <v>42</v>
      </c>
      <c r="AM35">
        <v>217463</v>
      </c>
      <c r="AN35" t="s">
        <v>52</v>
      </c>
      <c r="AO35">
        <v>1099647</v>
      </c>
    </row>
    <row r="36" spans="1:41" x14ac:dyDescent="0.25">
      <c r="A36" t="s">
        <v>41</v>
      </c>
      <c r="B36" s="1">
        <v>37686</v>
      </c>
      <c r="C36" t="s">
        <v>42</v>
      </c>
      <c r="D36">
        <v>1</v>
      </c>
      <c r="E36" t="s">
        <v>42</v>
      </c>
      <c r="F36" t="s">
        <v>42</v>
      </c>
      <c r="G36">
        <v>19990505</v>
      </c>
      <c r="H36" t="s">
        <v>64</v>
      </c>
      <c r="J36" t="s">
        <v>42</v>
      </c>
      <c r="K36">
        <v>4</v>
      </c>
      <c r="L36">
        <v>2</v>
      </c>
      <c r="M36">
        <v>1810</v>
      </c>
      <c r="N36">
        <v>2100</v>
      </c>
      <c r="O36">
        <v>2100</v>
      </c>
      <c r="P36">
        <v>4760</v>
      </c>
      <c r="Q36">
        <v>1830</v>
      </c>
      <c r="S36">
        <v>1</v>
      </c>
      <c r="T36">
        <v>3990</v>
      </c>
      <c r="U36" t="s">
        <v>47</v>
      </c>
      <c r="Y36" t="s">
        <v>42</v>
      </c>
      <c r="Z36" t="s">
        <v>48</v>
      </c>
      <c r="AA36" t="s">
        <v>86</v>
      </c>
      <c r="AD36" t="s">
        <v>42</v>
      </c>
      <c r="AE36">
        <v>5</v>
      </c>
      <c r="AF36" t="s">
        <v>42</v>
      </c>
      <c r="AG36">
        <v>1</v>
      </c>
      <c r="AH36">
        <v>980</v>
      </c>
      <c r="AJ36" t="s">
        <v>42</v>
      </c>
      <c r="AK36" t="s">
        <v>42</v>
      </c>
      <c r="AL36" t="s">
        <v>42</v>
      </c>
      <c r="AM36">
        <v>60085</v>
      </c>
      <c r="AN36" t="s">
        <v>61</v>
      </c>
      <c r="AO36">
        <v>1104915</v>
      </c>
    </row>
    <row r="37" spans="1:41" x14ac:dyDescent="0.25">
      <c r="A37" t="s">
        <v>41</v>
      </c>
      <c r="B37" s="1">
        <v>38135</v>
      </c>
      <c r="C37" t="s">
        <v>42</v>
      </c>
      <c r="D37">
        <v>1</v>
      </c>
      <c r="E37" t="s">
        <v>122</v>
      </c>
      <c r="F37" t="s">
        <v>123</v>
      </c>
      <c r="G37">
        <v>20040528</v>
      </c>
      <c r="H37" t="s">
        <v>64</v>
      </c>
      <c r="J37" t="s">
        <v>71</v>
      </c>
      <c r="L37">
        <v>4</v>
      </c>
      <c r="M37">
        <v>1845</v>
      </c>
      <c r="N37">
        <v>2185</v>
      </c>
      <c r="O37">
        <v>2185</v>
      </c>
      <c r="P37">
        <v>4780</v>
      </c>
      <c r="Q37">
        <v>1830</v>
      </c>
      <c r="R37">
        <v>1300</v>
      </c>
      <c r="S37">
        <v>1</v>
      </c>
      <c r="T37">
        <v>4190</v>
      </c>
      <c r="U37" t="s">
        <v>55</v>
      </c>
      <c r="V37">
        <v>8</v>
      </c>
      <c r="Y37" t="s">
        <v>42</v>
      </c>
      <c r="Z37" t="s">
        <v>48</v>
      </c>
      <c r="AA37" t="s">
        <v>124</v>
      </c>
      <c r="AD37" t="s">
        <v>50</v>
      </c>
      <c r="AE37">
        <v>5</v>
      </c>
      <c r="AF37" t="s">
        <v>125</v>
      </c>
      <c r="AG37">
        <v>1</v>
      </c>
      <c r="AH37">
        <v>86</v>
      </c>
      <c r="AI37">
        <v>279</v>
      </c>
      <c r="AJ37" t="s">
        <v>42</v>
      </c>
      <c r="AK37" t="s">
        <v>42</v>
      </c>
      <c r="AL37" t="s">
        <v>42</v>
      </c>
      <c r="AM37">
        <v>20560</v>
      </c>
      <c r="AN37" t="s">
        <v>126</v>
      </c>
      <c r="AO37">
        <v>1132388</v>
      </c>
    </row>
    <row r="38" spans="1:41" x14ac:dyDescent="0.25">
      <c r="A38" t="s">
        <v>41</v>
      </c>
      <c r="B38" s="1">
        <v>36308</v>
      </c>
      <c r="C38" t="s">
        <v>42</v>
      </c>
      <c r="D38">
        <v>1</v>
      </c>
      <c r="E38" t="s">
        <v>42</v>
      </c>
      <c r="F38" t="s">
        <v>127</v>
      </c>
      <c r="G38">
        <v>19990528</v>
      </c>
      <c r="H38" t="s">
        <v>42</v>
      </c>
      <c r="J38" t="s">
        <v>46</v>
      </c>
      <c r="L38">
        <v>4</v>
      </c>
      <c r="M38">
        <v>1720</v>
      </c>
      <c r="N38">
        <v>2010</v>
      </c>
      <c r="O38">
        <v>2010</v>
      </c>
      <c r="P38">
        <v>4760</v>
      </c>
      <c r="Q38">
        <v>1830</v>
      </c>
      <c r="S38">
        <v>1</v>
      </c>
      <c r="T38">
        <v>3990</v>
      </c>
      <c r="U38" t="s">
        <v>47</v>
      </c>
      <c r="V38">
        <v>8</v>
      </c>
      <c r="Y38" t="s">
        <v>42</v>
      </c>
      <c r="Z38" t="s">
        <v>48</v>
      </c>
      <c r="AA38" t="s">
        <v>49</v>
      </c>
      <c r="AD38" t="s">
        <v>50</v>
      </c>
      <c r="AE38">
        <v>5</v>
      </c>
      <c r="AF38" t="s">
        <v>42</v>
      </c>
      <c r="AG38">
        <v>1</v>
      </c>
      <c r="AH38">
        <v>740</v>
      </c>
      <c r="AJ38" t="s">
        <v>42</v>
      </c>
      <c r="AK38" t="s">
        <v>42</v>
      </c>
      <c r="AL38" t="s">
        <v>42</v>
      </c>
      <c r="AM38">
        <v>126945</v>
      </c>
      <c r="AN38" t="s">
        <v>52</v>
      </c>
      <c r="AO38">
        <v>1138992</v>
      </c>
    </row>
    <row r="39" spans="1:41" x14ac:dyDescent="0.25">
      <c r="A39" t="s">
        <v>41</v>
      </c>
      <c r="B39" s="1">
        <v>39156</v>
      </c>
      <c r="C39" t="s">
        <v>42</v>
      </c>
      <c r="D39">
        <v>1</v>
      </c>
      <c r="E39" t="s">
        <v>42</v>
      </c>
      <c r="F39" t="s">
        <v>42</v>
      </c>
      <c r="G39">
        <v>20000105</v>
      </c>
      <c r="H39" t="s">
        <v>59</v>
      </c>
      <c r="J39" t="s">
        <v>42</v>
      </c>
      <c r="K39">
        <v>1</v>
      </c>
      <c r="L39">
        <v>4</v>
      </c>
      <c r="M39">
        <v>1845</v>
      </c>
      <c r="N39">
        <v>2100</v>
      </c>
      <c r="O39">
        <v>2100</v>
      </c>
      <c r="P39">
        <v>4760</v>
      </c>
      <c r="Q39">
        <v>1830</v>
      </c>
      <c r="S39">
        <v>1</v>
      </c>
      <c r="T39">
        <v>3990</v>
      </c>
      <c r="U39" t="s">
        <v>65</v>
      </c>
      <c r="W39" t="b">
        <v>1</v>
      </c>
      <c r="Y39" t="s">
        <v>42</v>
      </c>
      <c r="Z39" t="s">
        <v>48</v>
      </c>
      <c r="AA39" t="s">
        <v>66</v>
      </c>
      <c r="AD39" t="s">
        <v>50</v>
      </c>
      <c r="AE39">
        <v>5</v>
      </c>
      <c r="AF39" t="s">
        <v>42</v>
      </c>
      <c r="AG39">
        <v>1</v>
      </c>
      <c r="AH39">
        <v>186</v>
      </c>
      <c r="AI39">
        <v>305</v>
      </c>
      <c r="AJ39" t="s">
        <v>42</v>
      </c>
      <c r="AK39" t="s">
        <v>42</v>
      </c>
      <c r="AL39" t="s">
        <v>42</v>
      </c>
      <c r="AM39">
        <v>144058</v>
      </c>
      <c r="AN39" t="s">
        <v>128</v>
      </c>
      <c r="AO39">
        <v>1227207</v>
      </c>
    </row>
    <row r="40" spans="1:41" x14ac:dyDescent="0.25">
      <c r="A40" t="s">
        <v>41</v>
      </c>
      <c r="B40" s="1">
        <v>39545</v>
      </c>
      <c r="C40" t="s">
        <v>42</v>
      </c>
      <c r="D40">
        <v>1</v>
      </c>
      <c r="E40" t="s">
        <v>122</v>
      </c>
      <c r="F40" t="s">
        <v>129</v>
      </c>
      <c r="G40">
        <v>20050427</v>
      </c>
      <c r="H40" t="s">
        <v>64</v>
      </c>
      <c r="I40">
        <v>2</v>
      </c>
      <c r="J40" t="s">
        <v>42</v>
      </c>
      <c r="K40">
        <v>4</v>
      </c>
      <c r="L40">
        <v>4</v>
      </c>
      <c r="M40">
        <v>1845</v>
      </c>
      <c r="N40">
        <v>2185</v>
      </c>
      <c r="O40">
        <v>2185</v>
      </c>
      <c r="P40">
        <v>4760</v>
      </c>
      <c r="Q40">
        <v>1830</v>
      </c>
      <c r="S40">
        <v>1</v>
      </c>
      <c r="T40">
        <v>4190</v>
      </c>
      <c r="U40" t="s">
        <v>55</v>
      </c>
      <c r="W40" t="b">
        <v>0</v>
      </c>
      <c r="Y40" t="s">
        <v>42</v>
      </c>
      <c r="Z40" t="s">
        <v>48</v>
      </c>
      <c r="AA40" t="s">
        <v>130</v>
      </c>
      <c r="AB40">
        <v>2</v>
      </c>
      <c r="AD40" t="s">
        <v>94</v>
      </c>
      <c r="AE40">
        <v>5</v>
      </c>
      <c r="AF40" t="s">
        <v>131</v>
      </c>
      <c r="AG40">
        <v>1</v>
      </c>
      <c r="AH40">
        <v>98</v>
      </c>
      <c r="AI40">
        <v>279</v>
      </c>
      <c r="AJ40" t="s">
        <v>42</v>
      </c>
      <c r="AK40" t="s">
        <v>42</v>
      </c>
      <c r="AL40" t="s">
        <v>42</v>
      </c>
      <c r="AM40">
        <v>231016</v>
      </c>
      <c r="AN40" t="s">
        <v>132</v>
      </c>
      <c r="AO40">
        <v>1229100</v>
      </c>
    </row>
    <row r="41" spans="1:41" x14ac:dyDescent="0.25">
      <c r="A41" t="s">
        <v>41</v>
      </c>
      <c r="B41" s="1">
        <v>38889</v>
      </c>
      <c r="C41" t="s">
        <v>42</v>
      </c>
      <c r="D41">
        <v>1</v>
      </c>
      <c r="E41" t="s">
        <v>107</v>
      </c>
      <c r="F41" t="s">
        <v>108</v>
      </c>
      <c r="G41">
        <v>20060621</v>
      </c>
      <c r="H41" t="s">
        <v>64</v>
      </c>
      <c r="J41" t="s">
        <v>71</v>
      </c>
      <c r="L41">
        <v>4</v>
      </c>
      <c r="M41">
        <v>1735</v>
      </c>
      <c r="N41">
        <v>2075</v>
      </c>
      <c r="O41">
        <v>2075</v>
      </c>
      <c r="P41">
        <v>4790</v>
      </c>
      <c r="Q41">
        <v>1890</v>
      </c>
      <c r="R41">
        <v>1330</v>
      </c>
      <c r="S41">
        <v>1</v>
      </c>
      <c r="T41">
        <v>4190</v>
      </c>
      <c r="U41" t="s">
        <v>55</v>
      </c>
      <c r="V41">
        <v>8</v>
      </c>
      <c r="Y41" t="s">
        <v>42</v>
      </c>
      <c r="Z41" t="s">
        <v>48</v>
      </c>
      <c r="AA41" t="s">
        <v>109</v>
      </c>
      <c r="AD41" t="s">
        <v>50</v>
      </c>
      <c r="AE41">
        <v>5</v>
      </c>
      <c r="AF41" t="s">
        <v>106</v>
      </c>
      <c r="AG41">
        <v>1</v>
      </c>
      <c r="AH41">
        <v>684</v>
      </c>
      <c r="AI41">
        <v>269</v>
      </c>
      <c r="AJ41" t="s">
        <v>42</v>
      </c>
      <c r="AK41" t="s">
        <v>42</v>
      </c>
      <c r="AL41" t="s">
        <v>42</v>
      </c>
      <c r="AM41">
        <v>61666</v>
      </c>
      <c r="AN41" t="s">
        <v>116</v>
      </c>
      <c r="AO41">
        <v>1236186</v>
      </c>
    </row>
    <row r="42" spans="1:41" x14ac:dyDescent="0.25">
      <c r="A42" t="s">
        <v>41</v>
      </c>
      <c r="B42" s="1">
        <v>39010</v>
      </c>
      <c r="C42" t="s">
        <v>42</v>
      </c>
      <c r="D42">
        <v>1</v>
      </c>
      <c r="E42" t="s">
        <v>42</v>
      </c>
      <c r="F42" t="s">
        <v>42</v>
      </c>
      <c r="G42">
        <v>19990415</v>
      </c>
      <c r="H42" t="s">
        <v>84</v>
      </c>
      <c r="J42" t="s">
        <v>42</v>
      </c>
      <c r="K42">
        <v>1</v>
      </c>
      <c r="L42">
        <v>4</v>
      </c>
      <c r="M42">
        <v>1735</v>
      </c>
      <c r="N42">
        <v>2010</v>
      </c>
      <c r="O42">
        <v>2010</v>
      </c>
      <c r="P42">
        <v>4760</v>
      </c>
      <c r="Q42">
        <v>1830</v>
      </c>
      <c r="S42">
        <v>1</v>
      </c>
      <c r="T42">
        <v>3990</v>
      </c>
      <c r="U42" t="s">
        <v>65</v>
      </c>
      <c r="W42" t="b">
        <v>1</v>
      </c>
      <c r="Y42" t="s">
        <v>42</v>
      </c>
      <c r="Z42" t="s">
        <v>48</v>
      </c>
      <c r="AA42" t="s">
        <v>77</v>
      </c>
      <c r="AD42" t="s">
        <v>42</v>
      </c>
      <c r="AE42">
        <v>5</v>
      </c>
      <c r="AF42" t="s">
        <v>85</v>
      </c>
      <c r="AG42">
        <v>1</v>
      </c>
      <c r="AH42">
        <v>564</v>
      </c>
      <c r="AJ42" t="s">
        <v>42</v>
      </c>
      <c r="AK42" t="s">
        <v>42</v>
      </c>
      <c r="AL42" t="s">
        <v>42</v>
      </c>
      <c r="AM42">
        <v>189795</v>
      </c>
      <c r="AN42" t="s">
        <v>78</v>
      </c>
      <c r="AO42">
        <v>1239190</v>
      </c>
    </row>
    <row r="43" spans="1:41" x14ac:dyDescent="0.25">
      <c r="A43" t="s">
        <v>41</v>
      </c>
      <c r="B43" s="1">
        <v>39010</v>
      </c>
      <c r="C43" t="s">
        <v>42</v>
      </c>
      <c r="D43">
        <v>1</v>
      </c>
      <c r="E43" t="s">
        <v>42</v>
      </c>
      <c r="F43" t="s">
        <v>42</v>
      </c>
      <c r="G43">
        <v>19980522</v>
      </c>
      <c r="H43" t="s">
        <v>64</v>
      </c>
      <c r="J43" t="s">
        <v>42</v>
      </c>
      <c r="K43">
        <v>1</v>
      </c>
      <c r="L43">
        <v>4</v>
      </c>
      <c r="M43">
        <v>1720</v>
      </c>
      <c r="N43">
        <v>2010</v>
      </c>
      <c r="O43">
        <v>2010</v>
      </c>
      <c r="P43">
        <v>4760</v>
      </c>
      <c r="Q43">
        <v>1830</v>
      </c>
      <c r="S43">
        <v>1</v>
      </c>
      <c r="T43">
        <v>3990</v>
      </c>
      <c r="U43" t="s">
        <v>65</v>
      </c>
      <c r="W43" t="b">
        <v>1</v>
      </c>
      <c r="Y43" t="s">
        <v>42</v>
      </c>
      <c r="Z43" t="s">
        <v>48</v>
      </c>
      <c r="AA43" t="s">
        <v>133</v>
      </c>
      <c r="AD43" t="s">
        <v>42</v>
      </c>
      <c r="AE43">
        <v>5</v>
      </c>
      <c r="AF43" t="s">
        <v>42</v>
      </c>
      <c r="AG43">
        <v>1</v>
      </c>
      <c r="AH43">
        <v>505</v>
      </c>
      <c r="AJ43" t="s">
        <v>42</v>
      </c>
      <c r="AK43" t="s">
        <v>42</v>
      </c>
      <c r="AL43" t="s">
        <v>42</v>
      </c>
      <c r="AM43">
        <v>217780</v>
      </c>
      <c r="AN43" t="s">
        <v>78</v>
      </c>
      <c r="AO43">
        <v>1271846</v>
      </c>
    </row>
    <row r="44" spans="1:41" x14ac:dyDescent="0.25">
      <c r="A44" t="s">
        <v>41</v>
      </c>
      <c r="B44" s="1">
        <v>36027</v>
      </c>
      <c r="C44" t="s">
        <v>42</v>
      </c>
      <c r="D44">
        <v>1</v>
      </c>
      <c r="E44" t="s">
        <v>42</v>
      </c>
      <c r="F44" t="s">
        <v>76</v>
      </c>
      <c r="G44">
        <v>19980820</v>
      </c>
      <c r="H44" t="s">
        <v>42</v>
      </c>
      <c r="J44" t="s">
        <v>46</v>
      </c>
      <c r="L44">
        <v>4</v>
      </c>
      <c r="M44">
        <v>1735</v>
      </c>
      <c r="N44">
        <v>2010</v>
      </c>
      <c r="O44">
        <v>2010</v>
      </c>
      <c r="P44">
        <v>4760</v>
      </c>
      <c r="Q44">
        <v>1830</v>
      </c>
      <c r="S44">
        <v>1</v>
      </c>
      <c r="T44">
        <v>3990</v>
      </c>
      <c r="U44" t="s">
        <v>65</v>
      </c>
      <c r="V44">
        <v>8</v>
      </c>
      <c r="W44" t="b">
        <v>1</v>
      </c>
      <c r="Y44" t="s">
        <v>42</v>
      </c>
      <c r="Z44" t="s">
        <v>48</v>
      </c>
      <c r="AA44" t="s">
        <v>77</v>
      </c>
      <c r="AD44" t="s">
        <v>50</v>
      </c>
      <c r="AE44">
        <v>5</v>
      </c>
      <c r="AF44" t="s">
        <v>42</v>
      </c>
      <c r="AG44">
        <v>1</v>
      </c>
      <c r="AH44">
        <v>111</v>
      </c>
      <c r="AJ44" t="s">
        <v>42</v>
      </c>
      <c r="AK44" t="s">
        <v>42</v>
      </c>
      <c r="AL44" t="s">
        <v>42</v>
      </c>
      <c r="AM44">
        <v>200285</v>
      </c>
      <c r="AN44" t="s">
        <v>78</v>
      </c>
      <c r="AO44">
        <v>1292523</v>
      </c>
    </row>
    <row r="45" spans="1:41" x14ac:dyDescent="0.25">
      <c r="A45" t="s">
        <v>41</v>
      </c>
      <c r="B45" s="1">
        <v>38219</v>
      </c>
      <c r="C45" t="s">
        <v>42</v>
      </c>
      <c r="D45">
        <v>1</v>
      </c>
      <c r="E45" t="s">
        <v>42</v>
      </c>
      <c r="F45" t="s">
        <v>42</v>
      </c>
      <c r="G45">
        <v>20000106</v>
      </c>
      <c r="H45" t="s">
        <v>92</v>
      </c>
      <c r="J45" t="s">
        <v>42</v>
      </c>
      <c r="K45">
        <v>1</v>
      </c>
      <c r="L45">
        <v>4</v>
      </c>
      <c r="M45">
        <v>1735</v>
      </c>
      <c r="O45">
        <v>2010</v>
      </c>
      <c r="P45">
        <v>4760</v>
      </c>
      <c r="Q45">
        <v>1830</v>
      </c>
      <c r="S45">
        <v>1</v>
      </c>
      <c r="T45">
        <v>3990</v>
      </c>
      <c r="U45" t="s">
        <v>65</v>
      </c>
      <c r="Y45" t="s">
        <v>42</v>
      </c>
      <c r="Z45" t="s">
        <v>48</v>
      </c>
      <c r="AA45" t="s">
        <v>134</v>
      </c>
      <c r="AD45" t="s">
        <v>42</v>
      </c>
      <c r="AE45">
        <v>5</v>
      </c>
      <c r="AF45" t="s">
        <v>82</v>
      </c>
      <c r="AG45">
        <v>1</v>
      </c>
      <c r="AH45">
        <v>434</v>
      </c>
      <c r="AJ45" t="s">
        <v>42</v>
      </c>
      <c r="AK45" t="s">
        <v>42</v>
      </c>
      <c r="AL45" t="s">
        <v>42</v>
      </c>
      <c r="AM45">
        <v>319779</v>
      </c>
      <c r="AN45" t="s">
        <v>135</v>
      </c>
      <c r="AO45">
        <v>1300025</v>
      </c>
    </row>
    <row r="46" spans="1:41" x14ac:dyDescent="0.25">
      <c r="A46" t="s">
        <v>41</v>
      </c>
      <c r="B46" s="1">
        <v>37817</v>
      </c>
      <c r="C46" t="s">
        <v>42</v>
      </c>
      <c r="D46">
        <v>1</v>
      </c>
      <c r="E46" t="s">
        <v>42</v>
      </c>
      <c r="F46" t="s">
        <v>42</v>
      </c>
      <c r="G46">
        <v>19970617</v>
      </c>
      <c r="H46" t="s">
        <v>59</v>
      </c>
      <c r="I46">
        <v>2</v>
      </c>
      <c r="J46" t="s">
        <v>42</v>
      </c>
      <c r="K46">
        <v>1</v>
      </c>
      <c r="L46">
        <v>4</v>
      </c>
      <c r="M46">
        <v>1690</v>
      </c>
      <c r="N46">
        <v>2010</v>
      </c>
      <c r="O46">
        <v>2010</v>
      </c>
      <c r="P46">
        <v>4760</v>
      </c>
      <c r="Q46">
        <v>1830</v>
      </c>
      <c r="S46">
        <v>1</v>
      </c>
      <c r="T46">
        <v>3990</v>
      </c>
      <c r="U46" t="s">
        <v>47</v>
      </c>
      <c r="W46" t="b">
        <v>0</v>
      </c>
      <c r="X46" t="b">
        <v>0</v>
      </c>
      <c r="Y46" t="s">
        <v>42</v>
      </c>
      <c r="Z46" t="s">
        <v>48</v>
      </c>
      <c r="AA46" t="s">
        <v>136</v>
      </c>
      <c r="AD46" t="s">
        <v>42</v>
      </c>
      <c r="AE46">
        <v>5</v>
      </c>
      <c r="AF46" t="s">
        <v>42</v>
      </c>
      <c r="AG46">
        <v>1</v>
      </c>
      <c r="AH46">
        <v>581</v>
      </c>
      <c r="AJ46" t="s">
        <v>42</v>
      </c>
      <c r="AK46" t="s">
        <v>42</v>
      </c>
      <c r="AL46" t="s">
        <v>42</v>
      </c>
      <c r="AM46">
        <v>179603</v>
      </c>
      <c r="AN46" t="s">
        <v>52</v>
      </c>
      <c r="AO46">
        <v>1306812</v>
      </c>
    </row>
    <row r="47" spans="1:41" x14ac:dyDescent="0.25">
      <c r="A47" t="s">
        <v>41</v>
      </c>
      <c r="B47" s="1">
        <v>39223</v>
      </c>
      <c r="C47" t="s">
        <v>42</v>
      </c>
      <c r="D47">
        <v>1</v>
      </c>
      <c r="E47" t="s">
        <v>42</v>
      </c>
      <c r="F47" t="s">
        <v>42</v>
      </c>
      <c r="G47">
        <v>19980703</v>
      </c>
      <c r="H47" t="s">
        <v>45</v>
      </c>
      <c r="J47" t="s">
        <v>42</v>
      </c>
      <c r="K47">
        <v>4</v>
      </c>
      <c r="L47">
        <v>4</v>
      </c>
      <c r="M47">
        <v>1845</v>
      </c>
      <c r="N47">
        <v>2100</v>
      </c>
      <c r="O47">
        <v>2100</v>
      </c>
      <c r="P47">
        <v>4760</v>
      </c>
      <c r="Q47">
        <v>1830</v>
      </c>
      <c r="S47">
        <v>1</v>
      </c>
      <c r="T47">
        <v>3990</v>
      </c>
      <c r="U47" t="s">
        <v>65</v>
      </c>
      <c r="W47" t="b">
        <v>1</v>
      </c>
      <c r="Y47" t="s">
        <v>42</v>
      </c>
      <c r="Z47" t="s">
        <v>48</v>
      </c>
      <c r="AA47" t="s">
        <v>137</v>
      </c>
      <c r="AD47" t="s">
        <v>50</v>
      </c>
      <c r="AE47">
        <v>5</v>
      </c>
      <c r="AF47" t="s">
        <v>89</v>
      </c>
      <c r="AG47">
        <v>1</v>
      </c>
      <c r="AH47">
        <v>858</v>
      </c>
      <c r="AI47">
        <v>305</v>
      </c>
      <c r="AJ47" t="s">
        <v>42</v>
      </c>
      <c r="AK47" t="s">
        <v>42</v>
      </c>
      <c r="AL47" t="s">
        <v>42</v>
      </c>
      <c r="AM47">
        <v>254906</v>
      </c>
      <c r="AN47" t="s">
        <v>68</v>
      </c>
      <c r="AO47">
        <v>1308878</v>
      </c>
    </row>
    <row r="48" spans="1:41" x14ac:dyDescent="0.25">
      <c r="A48" t="s">
        <v>41</v>
      </c>
      <c r="B48" s="1">
        <v>37819</v>
      </c>
      <c r="C48" t="s">
        <v>42</v>
      </c>
      <c r="D48">
        <v>1</v>
      </c>
      <c r="E48" t="s">
        <v>138</v>
      </c>
      <c r="F48" t="s">
        <v>138</v>
      </c>
      <c r="G48">
        <v>19970923</v>
      </c>
      <c r="H48" t="s">
        <v>92</v>
      </c>
      <c r="J48" t="s">
        <v>42</v>
      </c>
      <c r="K48">
        <v>1</v>
      </c>
      <c r="L48">
        <v>4</v>
      </c>
      <c r="M48">
        <v>1690</v>
      </c>
      <c r="N48">
        <v>2010</v>
      </c>
      <c r="O48">
        <v>2010</v>
      </c>
      <c r="P48">
        <v>4760</v>
      </c>
      <c r="Q48">
        <v>1830</v>
      </c>
      <c r="S48">
        <v>1</v>
      </c>
      <c r="T48">
        <v>3990</v>
      </c>
      <c r="U48" t="s">
        <v>47</v>
      </c>
      <c r="Y48" t="s">
        <v>42</v>
      </c>
      <c r="Z48" t="s">
        <v>48</v>
      </c>
      <c r="AA48" t="s">
        <v>139</v>
      </c>
      <c r="AD48" t="s">
        <v>42</v>
      </c>
      <c r="AE48">
        <v>5</v>
      </c>
      <c r="AF48" t="s">
        <v>51</v>
      </c>
      <c r="AG48">
        <v>1</v>
      </c>
      <c r="AH48">
        <v>418</v>
      </c>
      <c r="AJ48" t="s">
        <v>42</v>
      </c>
      <c r="AK48" t="s">
        <v>42</v>
      </c>
      <c r="AL48" t="s">
        <v>42</v>
      </c>
      <c r="AM48">
        <v>187190</v>
      </c>
      <c r="AN48" t="s">
        <v>52</v>
      </c>
      <c r="AO48">
        <v>1330889</v>
      </c>
    </row>
    <row r="49" spans="1:41" x14ac:dyDescent="0.25">
      <c r="A49" t="s">
        <v>41</v>
      </c>
      <c r="B49" s="1">
        <v>38218</v>
      </c>
      <c r="C49" t="s">
        <v>42</v>
      </c>
      <c r="D49">
        <v>1</v>
      </c>
      <c r="E49" t="s">
        <v>79</v>
      </c>
      <c r="F49" t="s">
        <v>140</v>
      </c>
      <c r="G49">
        <v>19990519</v>
      </c>
      <c r="H49" t="s">
        <v>45</v>
      </c>
      <c r="J49" t="s">
        <v>42</v>
      </c>
      <c r="K49">
        <v>1</v>
      </c>
      <c r="L49">
        <v>4</v>
      </c>
      <c r="M49">
        <v>1735</v>
      </c>
      <c r="N49">
        <v>2010</v>
      </c>
      <c r="O49">
        <v>2010</v>
      </c>
      <c r="P49">
        <v>4760</v>
      </c>
      <c r="Q49">
        <v>1830</v>
      </c>
      <c r="S49">
        <v>1</v>
      </c>
      <c r="T49">
        <v>3990</v>
      </c>
      <c r="U49" t="s">
        <v>65</v>
      </c>
      <c r="W49" t="b">
        <v>1</v>
      </c>
      <c r="Y49" t="s">
        <v>42</v>
      </c>
      <c r="Z49" t="s">
        <v>48</v>
      </c>
      <c r="AA49" t="s">
        <v>77</v>
      </c>
      <c r="AD49" t="s">
        <v>42</v>
      </c>
      <c r="AE49">
        <v>5</v>
      </c>
      <c r="AF49" t="s">
        <v>85</v>
      </c>
      <c r="AG49">
        <v>1</v>
      </c>
      <c r="AH49">
        <v>49</v>
      </c>
      <c r="AJ49" t="s">
        <v>42</v>
      </c>
      <c r="AK49" t="s">
        <v>42</v>
      </c>
      <c r="AL49" t="s">
        <v>42</v>
      </c>
      <c r="AM49">
        <v>92290</v>
      </c>
      <c r="AN49" t="s">
        <v>78</v>
      </c>
      <c r="AO49">
        <v>1331363</v>
      </c>
    </row>
    <row r="50" spans="1:41" x14ac:dyDescent="0.25">
      <c r="A50" t="s">
        <v>41</v>
      </c>
      <c r="B50" s="1">
        <v>38492</v>
      </c>
      <c r="C50" t="s">
        <v>42</v>
      </c>
      <c r="D50">
        <v>1</v>
      </c>
      <c r="E50" t="s">
        <v>122</v>
      </c>
      <c r="F50" t="s">
        <v>141</v>
      </c>
      <c r="G50">
        <v>20050520</v>
      </c>
      <c r="H50" t="s">
        <v>64</v>
      </c>
      <c r="J50" t="s">
        <v>42</v>
      </c>
      <c r="K50">
        <v>1</v>
      </c>
      <c r="L50">
        <v>4</v>
      </c>
      <c r="M50">
        <v>1660</v>
      </c>
      <c r="N50">
        <v>2110</v>
      </c>
      <c r="O50">
        <v>2110</v>
      </c>
      <c r="P50">
        <v>4760</v>
      </c>
      <c r="Q50">
        <v>1830</v>
      </c>
      <c r="S50">
        <v>1</v>
      </c>
      <c r="T50">
        <v>4190</v>
      </c>
      <c r="U50" t="s">
        <v>55</v>
      </c>
      <c r="Y50" t="s">
        <v>42</v>
      </c>
      <c r="Z50" t="s">
        <v>48</v>
      </c>
      <c r="AA50" t="s">
        <v>142</v>
      </c>
      <c r="AD50" t="s">
        <v>94</v>
      </c>
      <c r="AE50">
        <v>5</v>
      </c>
      <c r="AF50" t="s">
        <v>143</v>
      </c>
      <c r="AG50">
        <v>1</v>
      </c>
      <c r="AH50">
        <v>398</v>
      </c>
      <c r="AI50">
        <v>284</v>
      </c>
      <c r="AJ50" t="s">
        <v>42</v>
      </c>
      <c r="AK50" t="s">
        <v>42</v>
      </c>
      <c r="AL50" t="s">
        <v>42</v>
      </c>
      <c r="AM50">
        <v>89784</v>
      </c>
      <c r="AN50" t="s">
        <v>144</v>
      </c>
      <c r="AO50">
        <v>1357119</v>
      </c>
    </row>
    <row r="51" spans="1:41" x14ac:dyDescent="0.25">
      <c r="A51" t="s">
        <v>41</v>
      </c>
      <c r="B51" s="1">
        <v>35607</v>
      </c>
      <c r="C51" t="s">
        <v>42</v>
      </c>
      <c r="D51">
        <v>1</v>
      </c>
      <c r="E51" t="s">
        <v>43</v>
      </c>
      <c r="F51" t="s">
        <v>44</v>
      </c>
      <c r="G51">
        <v>19970626</v>
      </c>
      <c r="H51" t="s">
        <v>42</v>
      </c>
      <c r="J51" t="s">
        <v>46</v>
      </c>
      <c r="L51">
        <v>4</v>
      </c>
      <c r="M51">
        <v>1720</v>
      </c>
      <c r="N51">
        <v>2010</v>
      </c>
      <c r="O51">
        <v>2010</v>
      </c>
      <c r="P51">
        <v>4760</v>
      </c>
      <c r="Q51">
        <v>1830</v>
      </c>
      <c r="S51">
        <v>1</v>
      </c>
      <c r="T51">
        <v>3990</v>
      </c>
      <c r="U51" t="s">
        <v>47</v>
      </c>
      <c r="V51">
        <v>8</v>
      </c>
      <c r="Y51" t="s">
        <v>42</v>
      </c>
      <c r="Z51" t="s">
        <v>48</v>
      </c>
      <c r="AA51" t="s">
        <v>49</v>
      </c>
      <c r="AD51" t="s">
        <v>50</v>
      </c>
      <c r="AE51">
        <v>5</v>
      </c>
      <c r="AF51" t="s">
        <v>51</v>
      </c>
      <c r="AG51">
        <v>1</v>
      </c>
      <c r="AH51">
        <v>49</v>
      </c>
      <c r="AJ51" t="s">
        <v>42</v>
      </c>
      <c r="AK51" t="s">
        <v>42</v>
      </c>
      <c r="AL51" t="s">
        <v>42</v>
      </c>
      <c r="AM51">
        <v>103829</v>
      </c>
      <c r="AN51" t="s">
        <v>52</v>
      </c>
      <c r="AO51">
        <v>1385247</v>
      </c>
    </row>
    <row r="52" spans="1:41" x14ac:dyDescent="0.25">
      <c r="A52" t="s">
        <v>41</v>
      </c>
      <c r="B52" s="1">
        <v>38586</v>
      </c>
      <c r="C52" t="s">
        <v>42</v>
      </c>
      <c r="D52">
        <v>1</v>
      </c>
      <c r="E52" t="s">
        <v>42</v>
      </c>
      <c r="F52" t="s">
        <v>42</v>
      </c>
      <c r="G52">
        <v>19990304</v>
      </c>
      <c r="H52" t="s">
        <v>88</v>
      </c>
      <c r="J52" t="s">
        <v>42</v>
      </c>
      <c r="K52">
        <v>1</v>
      </c>
      <c r="L52">
        <v>4</v>
      </c>
      <c r="M52">
        <v>1720</v>
      </c>
      <c r="N52">
        <v>2102</v>
      </c>
      <c r="O52">
        <v>2102</v>
      </c>
      <c r="P52">
        <v>4760</v>
      </c>
      <c r="Q52">
        <v>1830</v>
      </c>
      <c r="S52">
        <v>1</v>
      </c>
      <c r="T52">
        <v>3990</v>
      </c>
      <c r="U52" t="s">
        <v>42</v>
      </c>
      <c r="Y52" t="s">
        <v>42</v>
      </c>
      <c r="Z52" t="s">
        <v>48</v>
      </c>
      <c r="AA52" t="s">
        <v>145</v>
      </c>
      <c r="AD52" t="s">
        <v>42</v>
      </c>
      <c r="AE52">
        <v>5</v>
      </c>
      <c r="AF52" t="s">
        <v>42</v>
      </c>
      <c r="AG52">
        <v>1</v>
      </c>
      <c r="AH52">
        <v>106</v>
      </c>
      <c r="AJ52" t="s">
        <v>42</v>
      </c>
      <c r="AK52" t="s">
        <v>42</v>
      </c>
      <c r="AL52" t="s">
        <v>42</v>
      </c>
      <c r="AM52">
        <v>61289</v>
      </c>
      <c r="AN52" t="s">
        <v>146</v>
      </c>
      <c r="AO52">
        <v>1428353</v>
      </c>
    </row>
    <row r="53" spans="1:41" x14ac:dyDescent="0.25">
      <c r="A53" t="s">
        <v>41</v>
      </c>
      <c r="B53" s="1">
        <v>38133</v>
      </c>
      <c r="C53" t="s">
        <v>42</v>
      </c>
      <c r="D53">
        <v>1</v>
      </c>
      <c r="E53" t="s">
        <v>122</v>
      </c>
      <c r="F53" t="s">
        <v>123</v>
      </c>
      <c r="G53">
        <v>20040526</v>
      </c>
      <c r="H53" t="s">
        <v>59</v>
      </c>
      <c r="J53" t="s">
        <v>71</v>
      </c>
      <c r="L53">
        <v>4</v>
      </c>
      <c r="M53">
        <v>1845</v>
      </c>
      <c r="N53">
        <v>2185</v>
      </c>
      <c r="O53">
        <v>2185</v>
      </c>
      <c r="P53">
        <v>4780</v>
      </c>
      <c r="Q53">
        <v>1830</v>
      </c>
      <c r="R53">
        <v>1300</v>
      </c>
      <c r="S53">
        <v>1</v>
      </c>
      <c r="T53">
        <v>4190</v>
      </c>
      <c r="U53" t="s">
        <v>55</v>
      </c>
      <c r="V53">
        <v>8</v>
      </c>
      <c r="Y53" t="s">
        <v>42</v>
      </c>
      <c r="Z53" t="s">
        <v>48</v>
      </c>
      <c r="AA53" t="s">
        <v>124</v>
      </c>
      <c r="AD53" t="s">
        <v>50</v>
      </c>
      <c r="AE53">
        <v>5</v>
      </c>
      <c r="AF53" t="s">
        <v>125</v>
      </c>
      <c r="AG53">
        <v>1</v>
      </c>
      <c r="AH53">
        <v>91</v>
      </c>
      <c r="AI53">
        <v>279</v>
      </c>
      <c r="AJ53" t="s">
        <v>42</v>
      </c>
      <c r="AK53" t="s">
        <v>42</v>
      </c>
      <c r="AL53" t="s">
        <v>42</v>
      </c>
      <c r="AM53">
        <v>106995</v>
      </c>
      <c r="AN53" t="s">
        <v>147</v>
      </c>
      <c r="AO53">
        <v>1429725</v>
      </c>
    </row>
    <row r="54" spans="1:41" x14ac:dyDescent="0.25">
      <c r="A54" t="s">
        <v>41</v>
      </c>
      <c r="B54" s="1">
        <v>37827</v>
      </c>
      <c r="C54" t="s">
        <v>42</v>
      </c>
      <c r="D54">
        <v>1</v>
      </c>
      <c r="E54" t="s">
        <v>62</v>
      </c>
      <c r="F54" t="s">
        <v>117</v>
      </c>
      <c r="G54">
        <v>19980423</v>
      </c>
      <c r="H54" t="s">
        <v>92</v>
      </c>
      <c r="J54" t="s">
        <v>42</v>
      </c>
      <c r="K54">
        <v>1</v>
      </c>
      <c r="L54">
        <v>4</v>
      </c>
      <c r="M54">
        <v>1780</v>
      </c>
      <c r="N54">
        <v>2100</v>
      </c>
      <c r="O54">
        <v>2100</v>
      </c>
      <c r="P54">
        <v>4760</v>
      </c>
      <c r="Q54">
        <v>1830</v>
      </c>
      <c r="S54">
        <v>1</v>
      </c>
      <c r="T54">
        <v>3990</v>
      </c>
      <c r="U54" t="s">
        <v>47</v>
      </c>
      <c r="Y54" t="s">
        <v>42</v>
      </c>
      <c r="Z54" t="s">
        <v>48</v>
      </c>
      <c r="AA54" t="s">
        <v>86</v>
      </c>
      <c r="AD54" t="s">
        <v>42</v>
      </c>
      <c r="AE54">
        <v>5</v>
      </c>
      <c r="AF54" t="s">
        <v>148</v>
      </c>
      <c r="AG54">
        <v>1</v>
      </c>
      <c r="AH54">
        <v>49</v>
      </c>
      <c r="AJ54" t="s">
        <v>42</v>
      </c>
      <c r="AK54" t="s">
        <v>42</v>
      </c>
      <c r="AL54" t="s">
        <v>42</v>
      </c>
      <c r="AM54">
        <v>224125</v>
      </c>
      <c r="AN54" t="s">
        <v>61</v>
      </c>
      <c r="AO54">
        <v>1454117</v>
      </c>
    </row>
    <row r="55" spans="1:41" x14ac:dyDescent="0.25">
      <c r="A55" t="s">
        <v>41</v>
      </c>
      <c r="B55" s="1">
        <v>38545</v>
      </c>
      <c r="C55" t="s">
        <v>42</v>
      </c>
      <c r="D55">
        <v>1</v>
      </c>
      <c r="E55" t="s">
        <v>42</v>
      </c>
      <c r="F55" t="s">
        <v>42</v>
      </c>
      <c r="G55">
        <v>19980000</v>
      </c>
      <c r="H55" t="s">
        <v>59</v>
      </c>
      <c r="J55" t="s">
        <v>42</v>
      </c>
      <c r="K55">
        <v>4</v>
      </c>
      <c r="L55">
        <v>4</v>
      </c>
      <c r="M55">
        <v>1840</v>
      </c>
      <c r="N55">
        <v>2102</v>
      </c>
      <c r="O55">
        <v>2102</v>
      </c>
      <c r="P55">
        <v>4760</v>
      </c>
      <c r="Q55">
        <v>1830</v>
      </c>
      <c r="S55">
        <v>1</v>
      </c>
      <c r="T55">
        <v>3990</v>
      </c>
      <c r="U55" t="s">
        <v>42</v>
      </c>
      <c r="Y55" t="s">
        <v>42</v>
      </c>
      <c r="Z55" t="s">
        <v>48</v>
      </c>
      <c r="AA55" t="s">
        <v>149</v>
      </c>
      <c r="AD55" t="s">
        <v>42</v>
      </c>
      <c r="AE55">
        <v>5</v>
      </c>
      <c r="AF55" t="s">
        <v>42</v>
      </c>
      <c r="AG55">
        <v>1</v>
      </c>
      <c r="AH55">
        <v>98</v>
      </c>
      <c r="AJ55" t="s">
        <v>42</v>
      </c>
      <c r="AK55" t="s">
        <v>42</v>
      </c>
      <c r="AL55" t="s">
        <v>42</v>
      </c>
      <c r="AM55">
        <v>70101</v>
      </c>
      <c r="AN55" t="s">
        <v>150</v>
      </c>
      <c r="AO55">
        <v>1597003</v>
      </c>
    </row>
    <row r="56" spans="1:41" x14ac:dyDescent="0.25">
      <c r="A56" t="s">
        <v>41</v>
      </c>
      <c r="B56" s="1">
        <v>36950</v>
      </c>
      <c r="C56" t="s">
        <v>42</v>
      </c>
      <c r="D56">
        <v>1</v>
      </c>
      <c r="E56" t="s">
        <v>151</v>
      </c>
      <c r="F56" t="s">
        <v>152</v>
      </c>
      <c r="G56">
        <v>20010228</v>
      </c>
      <c r="H56" t="s">
        <v>42</v>
      </c>
      <c r="J56" t="s">
        <v>46</v>
      </c>
      <c r="L56">
        <v>4</v>
      </c>
      <c r="M56">
        <v>1715</v>
      </c>
      <c r="N56">
        <v>2010</v>
      </c>
      <c r="O56">
        <v>2010</v>
      </c>
      <c r="P56">
        <v>4760</v>
      </c>
      <c r="Q56">
        <v>1830</v>
      </c>
      <c r="R56">
        <v>1300</v>
      </c>
      <c r="S56">
        <v>1</v>
      </c>
      <c r="T56">
        <v>3990</v>
      </c>
      <c r="U56" t="s">
        <v>65</v>
      </c>
      <c r="V56">
        <v>8</v>
      </c>
      <c r="W56" t="b">
        <v>1</v>
      </c>
      <c r="Y56" t="s">
        <v>42</v>
      </c>
      <c r="Z56" t="s">
        <v>48</v>
      </c>
      <c r="AA56" t="s">
        <v>153</v>
      </c>
      <c r="AD56" t="s">
        <v>50</v>
      </c>
      <c r="AE56">
        <v>5</v>
      </c>
      <c r="AF56" t="s">
        <v>95</v>
      </c>
      <c r="AG56">
        <v>1</v>
      </c>
      <c r="AH56">
        <v>49</v>
      </c>
      <c r="AI56">
        <v>301</v>
      </c>
      <c r="AJ56" t="s">
        <v>42</v>
      </c>
      <c r="AK56" t="s">
        <v>42</v>
      </c>
      <c r="AL56" t="s">
        <v>42</v>
      </c>
      <c r="AM56">
        <v>65487</v>
      </c>
      <c r="AN56" t="s">
        <v>154</v>
      </c>
      <c r="AO56">
        <v>1611584</v>
      </c>
    </row>
    <row r="57" spans="1:41" x14ac:dyDescent="0.25">
      <c r="A57" t="s">
        <v>41</v>
      </c>
      <c r="B57" s="1">
        <v>36286</v>
      </c>
      <c r="C57" t="s">
        <v>42</v>
      </c>
      <c r="D57">
        <v>1</v>
      </c>
      <c r="E57" t="s">
        <v>42</v>
      </c>
      <c r="F57" t="s">
        <v>42</v>
      </c>
      <c r="G57">
        <v>19990506</v>
      </c>
      <c r="H57" t="s">
        <v>64</v>
      </c>
      <c r="I57">
        <v>2</v>
      </c>
      <c r="J57" t="s">
        <v>46</v>
      </c>
      <c r="K57">
        <v>1</v>
      </c>
      <c r="L57">
        <v>4</v>
      </c>
      <c r="M57">
        <v>1720</v>
      </c>
      <c r="N57">
        <v>2010</v>
      </c>
      <c r="O57">
        <v>2010</v>
      </c>
      <c r="P57">
        <v>4760</v>
      </c>
      <c r="Q57">
        <v>1830</v>
      </c>
      <c r="S57">
        <v>1</v>
      </c>
      <c r="T57">
        <v>3990</v>
      </c>
      <c r="U57" t="s">
        <v>47</v>
      </c>
      <c r="W57" t="b">
        <v>0</v>
      </c>
      <c r="X57" t="b">
        <v>0</v>
      </c>
      <c r="Y57" t="s">
        <v>42</v>
      </c>
      <c r="Z57" t="s">
        <v>48</v>
      </c>
      <c r="AA57" t="s">
        <v>49</v>
      </c>
      <c r="AD57" t="s">
        <v>49</v>
      </c>
      <c r="AE57">
        <v>5</v>
      </c>
      <c r="AF57" t="s">
        <v>42</v>
      </c>
      <c r="AG57">
        <v>1</v>
      </c>
      <c r="AH57">
        <v>853</v>
      </c>
      <c r="AJ57" t="s">
        <v>42</v>
      </c>
      <c r="AK57" t="s">
        <v>42</v>
      </c>
      <c r="AL57" t="s">
        <v>42</v>
      </c>
      <c r="AM57">
        <v>192271</v>
      </c>
      <c r="AN57" t="s">
        <v>52</v>
      </c>
      <c r="AO57">
        <v>1612618</v>
      </c>
    </row>
    <row r="58" spans="1:41" x14ac:dyDescent="0.25">
      <c r="A58" t="s">
        <v>41</v>
      </c>
      <c r="B58" s="1">
        <v>39121</v>
      </c>
      <c r="C58" t="s">
        <v>42</v>
      </c>
      <c r="D58">
        <v>1</v>
      </c>
      <c r="E58" t="s">
        <v>155</v>
      </c>
      <c r="F58" t="s">
        <v>54</v>
      </c>
      <c r="G58">
        <v>20070208</v>
      </c>
      <c r="H58" t="s">
        <v>64</v>
      </c>
      <c r="J58" t="s">
        <v>46</v>
      </c>
      <c r="L58">
        <v>4</v>
      </c>
      <c r="M58">
        <v>1770</v>
      </c>
      <c r="N58">
        <v>2080</v>
      </c>
      <c r="O58">
        <v>2080</v>
      </c>
      <c r="P58">
        <v>4790</v>
      </c>
      <c r="Q58">
        <v>1890</v>
      </c>
      <c r="R58">
        <v>1320</v>
      </c>
      <c r="S58">
        <v>1</v>
      </c>
      <c r="T58">
        <v>4190</v>
      </c>
      <c r="U58" t="s">
        <v>156</v>
      </c>
      <c r="V58">
        <v>8</v>
      </c>
      <c r="W58" t="b">
        <v>1</v>
      </c>
      <c r="Y58" t="s">
        <v>42</v>
      </c>
      <c r="Z58" t="s">
        <v>48</v>
      </c>
      <c r="AA58" t="s">
        <v>157</v>
      </c>
      <c r="AD58" t="s">
        <v>50</v>
      </c>
      <c r="AE58">
        <v>5</v>
      </c>
      <c r="AF58" t="s">
        <v>57</v>
      </c>
      <c r="AG58">
        <v>1</v>
      </c>
      <c r="AH58">
        <v>297</v>
      </c>
      <c r="AI58">
        <v>294</v>
      </c>
      <c r="AJ58" t="s">
        <v>42</v>
      </c>
      <c r="AK58" t="s">
        <v>42</v>
      </c>
      <c r="AL58" t="s">
        <v>42</v>
      </c>
      <c r="AM58">
        <v>122052</v>
      </c>
      <c r="AN58" t="s">
        <v>158</v>
      </c>
      <c r="AO58">
        <v>1642190</v>
      </c>
    </row>
    <row r="59" spans="1:41" x14ac:dyDescent="0.25">
      <c r="A59" t="s">
        <v>41</v>
      </c>
      <c r="B59" s="1">
        <v>39302</v>
      </c>
      <c r="C59" t="s">
        <v>42</v>
      </c>
      <c r="D59">
        <v>1</v>
      </c>
      <c r="E59" t="s">
        <v>42</v>
      </c>
      <c r="F59" t="s">
        <v>42</v>
      </c>
      <c r="G59">
        <v>19981117</v>
      </c>
      <c r="H59" t="s">
        <v>92</v>
      </c>
      <c r="J59" t="s">
        <v>42</v>
      </c>
      <c r="K59">
        <v>1</v>
      </c>
      <c r="L59">
        <v>4</v>
      </c>
      <c r="M59">
        <v>1715</v>
      </c>
      <c r="N59">
        <v>2010</v>
      </c>
      <c r="O59">
        <v>2010</v>
      </c>
      <c r="P59">
        <v>4760</v>
      </c>
      <c r="Q59">
        <v>1830</v>
      </c>
      <c r="S59">
        <v>1</v>
      </c>
      <c r="T59">
        <v>3990</v>
      </c>
      <c r="U59" t="s">
        <v>65</v>
      </c>
      <c r="W59" t="b">
        <v>1</v>
      </c>
      <c r="Y59" t="s">
        <v>42</v>
      </c>
      <c r="Z59" t="s">
        <v>48</v>
      </c>
      <c r="AA59" t="s">
        <v>159</v>
      </c>
      <c r="AD59" t="s">
        <v>42</v>
      </c>
      <c r="AE59">
        <v>5</v>
      </c>
      <c r="AF59" t="s">
        <v>85</v>
      </c>
      <c r="AG59">
        <v>1</v>
      </c>
      <c r="AH59">
        <v>638</v>
      </c>
      <c r="AJ59" t="s">
        <v>42</v>
      </c>
      <c r="AK59" t="s">
        <v>42</v>
      </c>
      <c r="AL59" t="s">
        <v>42</v>
      </c>
      <c r="AM59">
        <v>196770</v>
      </c>
      <c r="AN59" t="s">
        <v>78</v>
      </c>
      <c r="AO59">
        <v>1644473</v>
      </c>
    </row>
    <row r="60" spans="1:41" x14ac:dyDescent="0.25">
      <c r="A60" t="s">
        <v>41</v>
      </c>
      <c r="B60" s="1">
        <v>39252</v>
      </c>
      <c r="C60" t="s">
        <v>42</v>
      </c>
      <c r="D60">
        <v>1</v>
      </c>
      <c r="E60" t="s">
        <v>160</v>
      </c>
      <c r="F60" t="s">
        <v>108</v>
      </c>
      <c r="G60">
        <v>20070619</v>
      </c>
      <c r="H60" t="s">
        <v>64</v>
      </c>
      <c r="J60" t="s">
        <v>71</v>
      </c>
      <c r="L60">
        <v>4</v>
      </c>
      <c r="M60">
        <v>1785</v>
      </c>
      <c r="N60">
        <v>2120</v>
      </c>
      <c r="O60">
        <v>2120</v>
      </c>
      <c r="P60">
        <v>4790</v>
      </c>
      <c r="Q60">
        <v>1890</v>
      </c>
      <c r="R60">
        <v>1330</v>
      </c>
      <c r="S60">
        <v>1</v>
      </c>
      <c r="T60">
        <v>4190</v>
      </c>
      <c r="U60" t="s">
        <v>156</v>
      </c>
      <c r="V60">
        <v>8</v>
      </c>
      <c r="W60" t="b">
        <v>1</v>
      </c>
      <c r="Y60" t="s">
        <v>42</v>
      </c>
      <c r="Z60" t="s">
        <v>48</v>
      </c>
      <c r="AA60" t="s">
        <v>161</v>
      </c>
      <c r="AD60" t="s">
        <v>50</v>
      </c>
      <c r="AE60">
        <v>5</v>
      </c>
      <c r="AF60" t="s">
        <v>57</v>
      </c>
      <c r="AG60">
        <v>1</v>
      </c>
      <c r="AH60">
        <v>91</v>
      </c>
      <c r="AI60">
        <v>294</v>
      </c>
      <c r="AJ60" t="s">
        <v>42</v>
      </c>
      <c r="AK60" t="s">
        <v>42</v>
      </c>
      <c r="AL60" t="s">
        <v>42</v>
      </c>
      <c r="AM60">
        <v>141191</v>
      </c>
      <c r="AN60" t="s">
        <v>162</v>
      </c>
      <c r="AO60">
        <v>1645196</v>
      </c>
    </row>
    <row r="61" spans="1:41" x14ac:dyDescent="0.25">
      <c r="A61" t="s">
        <v>41</v>
      </c>
      <c r="B61" s="1">
        <v>37900</v>
      </c>
      <c r="C61" t="s">
        <v>42</v>
      </c>
      <c r="D61">
        <v>1</v>
      </c>
      <c r="E61" t="s">
        <v>42</v>
      </c>
      <c r="F61" t="s">
        <v>42</v>
      </c>
      <c r="G61">
        <v>19970326</v>
      </c>
      <c r="H61" t="s">
        <v>64</v>
      </c>
      <c r="I61">
        <v>2</v>
      </c>
      <c r="J61" t="s">
        <v>71</v>
      </c>
      <c r="K61">
        <v>1</v>
      </c>
      <c r="L61">
        <v>4</v>
      </c>
      <c r="M61">
        <v>1720</v>
      </c>
      <c r="N61">
        <v>2100</v>
      </c>
      <c r="O61">
        <v>2100</v>
      </c>
      <c r="P61">
        <v>4760</v>
      </c>
      <c r="Q61">
        <v>1830</v>
      </c>
      <c r="S61">
        <v>1</v>
      </c>
      <c r="T61">
        <v>3990</v>
      </c>
      <c r="U61" t="s">
        <v>47</v>
      </c>
      <c r="W61" t="b">
        <v>0</v>
      </c>
      <c r="X61" t="b">
        <v>0</v>
      </c>
      <c r="Y61" t="s">
        <v>42</v>
      </c>
      <c r="Z61" t="s">
        <v>48</v>
      </c>
      <c r="AA61" t="s">
        <v>60</v>
      </c>
      <c r="AD61" t="s">
        <v>42</v>
      </c>
      <c r="AE61">
        <v>5</v>
      </c>
      <c r="AF61" t="s">
        <v>42</v>
      </c>
      <c r="AG61">
        <v>1</v>
      </c>
      <c r="AH61">
        <v>91</v>
      </c>
      <c r="AJ61" t="s">
        <v>42</v>
      </c>
      <c r="AK61" t="s">
        <v>42</v>
      </c>
      <c r="AL61" t="s">
        <v>42</v>
      </c>
      <c r="AM61">
        <v>115089</v>
      </c>
      <c r="AN61" t="s">
        <v>61</v>
      </c>
      <c r="AO61">
        <v>1663898</v>
      </c>
    </row>
    <row r="62" spans="1:41" x14ac:dyDescent="0.25">
      <c r="A62" t="s">
        <v>41</v>
      </c>
      <c r="B62" s="1">
        <v>38271</v>
      </c>
      <c r="C62" t="s">
        <v>42</v>
      </c>
      <c r="D62">
        <v>1</v>
      </c>
      <c r="E62" t="s">
        <v>42</v>
      </c>
      <c r="F62" t="s">
        <v>42</v>
      </c>
      <c r="G62">
        <v>19980930</v>
      </c>
      <c r="H62" t="s">
        <v>59</v>
      </c>
      <c r="J62" t="s">
        <v>42</v>
      </c>
      <c r="K62">
        <v>1</v>
      </c>
      <c r="L62">
        <v>4</v>
      </c>
      <c r="M62">
        <v>1690</v>
      </c>
      <c r="N62">
        <v>2010</v>
      </c>
      <c r="O62">
        <v>2010</v>
      </c>
      <c r="P62">
        <v>4760</v>
      </c>
      <c r="Q62">
        <v>1830</v>
      </c>
      <c r="S62">
        <v>1</v>
      </c>
      <c r="T62">
        <v>3990</v>
      </c>
      <c r="U62" t="s">
        <v>47</v>
      </c>
      <c r="Y62" t="s">
        <v>42</v>
      </c>
      <c r="Z62" t="s">
        <v>48</v>
      </c>
      <c r="AA62" t="s">
        <v>136</v>
      </c>
      <c r="AD62" t="s">
        <v>42</v>
      </c>
      <c r="AE62">
        <v>5</v>
      </c>
      <c r="AF62" t="s">
        <v>85</v>
      </c>
      <c r="AG62">
        <v>1</v>
      </c>
      <c r="AH62">
        <v>609</v>
      </c>
      <c r="AJ62" t="s">
        <v>42</v>
      </c>
      <c r="AK62" t="s">
        <v>42</v>
      </c>
      <c r="AL62" t="s">
        <v>42</v>
      </c>
      <c r="AM62">
        <v>141499</v>
      </c>
      <c r="AN62" t="s">
        <v>52</v>
      </c>
      <c r="AO62">
        <v>1680337</v>
      </c>
    </row>
    <row r="63" spans="1:41" x14ac:dyDescent="0.25">
      <c r="A63" t="s">
        <v>41</v>
      </c>
      <c r="B63" s="1">
        <v>38322</v>
      </c>
      <c r="C63" t="s">
        <v>42</v>
      </c>
      <c r="D63">
        <v>1</v>
      </c>
      <c r="E63" t="s">
        <v>79</v>
      </c>
      <c r="F63" t="s">
        <v>163</v>
      </c>
      <c r="G63">
        <v>19990927</v>
      </c>
      <c r="H63" t="s">
        <v>102</v>
      </c>
      <c r="I63">
        <v>2</v>
      </c>
      <c r="J63" t="s">
        <v>46</v>
      </c>
      <c r="K63">
        <v>1</v>
      </c>
      <c r="L63">
        <v>4</v>
      </c>
      <c r="M63">
        <v>1735</v>
      </c>
      <c r="N63">
        <v>2010</v>
      </c>
      <c r="O63">
        <v>2010</v>
      </c>
      <c r="P63">
        <v>4760</v>
      </c>
      <c r="Q63">
        <v>1830</v>
      </c>
      <c r="R63">
        <v>1300</v>
      </c>
      <c r="S63">
        <v>1</v>
      </c>
      <c r="T63">
        <v>3990</v>
      </c>
      <c r="U63" t="s">
        <v>65</v>
      </c>
      <c r="W63" t="b">
        <v>1</v>
      </c>
      <c r="X63" t="b">
        <v>0</v>
      </c>
      <c r="Y63" t="s">
        <v>42</v>
      </c>
      <c r="Z63" t="s">
        <v>48</v>
      </c>
      <c r="AA63" t="s">
        <v>164</v>
      </c>
      <c r="AB63">
        <v>2</v>
      </c>
      <c r="AC63">
        <v>6</v>
      </c>
      <c r="AD63" t="s">
        <v>165</v>
      </c>
      <c r="AE63">
        <v>5</v>
      </c>
      <c r="AF63" t="s">
        <v>82</v>
      </c>
      <c r="AG63">
        <v>1</v>
      </c>
      <c r="AH63">
        <v>92</v>
      </c>
      <c r="AI63">
        <v>293</v>
      </c>
      <c r="AJ63" t="s">
        <v>42</v>
      </c>
      <c r="AK63" t="s">
        <v>42</v>
      </c>
      <c r="AL63" t="s">
        <v>42</v>
      </c>
      <c r="AM63">
        <v>220033</v>
      </c>
      <c r="AN63" t="s">
        <v>166</v>
      </c>
      <c r="AO63">
        <v>1691274</v>
      </c>
    </row>
    <row r="64" spans="1:41" x14ac:dyDescent="0.25">
      <c r="A64" t="s">
        <v>41</v>
      </c>
      <c r="B64" s="1">
        <v>37746</v>
      </c>
      <c r="C64" t="s">
        <v>42</v>
      </c>
      <c r="D64">
        <v>1</v>
      </c>
      <c r="E64" t="s">
        <v>42</v>
      </c>
      <c r="F64" t="s">
        <v>42</v>
      </c>
      <c r="G64">
        <v>19990319</v>
      </c>
      <c r="H64" t="s">
        <v>92</v>
      </c>
      <c r="J64" t="s">
        <v>42</v>
      </c>
      <c r="K64">
        <v>4</v>
      </c>
      <c r="L64">
        <v>4</v>
      </c>
      <c r="M64">
        <v>1810</v>
      </c>
      <c r="N64">
        <v>2100</v>
      </c>
      <c r="O64">
        <v>2100</v>
      </c>
      <c r="P64">
        <v>4760</v>
      </c>
      <c r="Q64">
        <v>1830</v>
      </c>
      <c r="S64">
        <v>1</v>
      </c>
      <c r="T64">
        <v>3990</v>
      </c>
      <c r="U64" t="s">
        <v>47</v>
      </c>
      <c r="Y64" t="s">
        <v>42</v>
      </c>
      <c r="Z64" t="s">
        <v>48</v>
      </c>
      <c r="AA64" t="s">
        <v>86</v>
      </c>
      <c r="AD64" t="s">
        <v>42</v>
      </c>
      <c r="AE64">
        <v>5</v>
      </c>
      <c r="AF64" t="s">
        <v>42</v>
      </c>
      <c r="AG64">
        <v>1</v>
      </c>
      <c r="AH64">
        <v>91</v>
      </c>
      <c r="AJ64" t="s">
        <v>42</v>
      </c>
      <c r="AK64" t="s">
        <v>42</v>
      </c>
      <c r="AL64" t="s">
        <v>42</v>
      </c>
      <c r="AM64">
        <v>79333</v>
      </c>
      <c r="AN64" t="s">
        <v>61</v>
      </c>
      <c r="AO64">
        <v>1713499</v>
      </c>
    </row>
    <row r="65" spans="1:41" x14ac:dyDescent="0.25">
      <c r="A65" t="s">
        <v>41</v>
      </c>
      <c r="B65" s="1">
        <v>36357</v>
      </c>
      <c r="C65" t="s">
        <v>42</v>
      </c>
      <c r="D65">
        <v>1</v>
      </c>
      <c r="E65" t="s">
        <v>42</v>
      </c>
      <c r="F65" t="s">
        <v>127</v>
      </c>
      <c r="G65">
        <v>19990716</v>
      </c>
      <c r="H65" t="s">
        <v>92</v>
      </c>
      <c r="J65" t="s">
        <v>46</v>
      </c>
      <c r="L65">
        <v>4</v>
      </c>
      <c r="M65">
        <v>1720</v>
      </c>
      <c r="N65">
        <v>2010</v>
      </c>
      <c r="O65">
        <v>2010</v>
      </c>
      <c r="P65">
        <v>4760</v>
      </c>
      <c r="Q65">
        <v>1830</v>
      </c>
      <c r="S65">
        <v>1</v>
      </c>
      <c r="T65">
        <v>3990</v>
      </c>
      <c r="U65" t="s">
        <v>47</v>
      </c>
      <c r="V65">
        <v>8</v>
      </c>
      <c r="Y65" t="s">
        <v>42</v>
      </c>
      <c r="Z65" t="s">
        <v>48</v>
      </c>
      <c r="AA65" t="s">
        <v>49</v>
      </c>
      <c r="AD65" t="s">
        <v>50</v>
      </c>
      <c r="AE65">
        <v>5</v>
      </c>
      <c r="AF65" t="s">
        <v>42</v>
      </c>
      <c r="AG65">
        <v>1</v>
      </c>
      <c r="AH65">
        <v>91</v>
      </c>
      <c r="AJ65" t="s">
        <v>42</v>
      </c>
      <c r="AK65" t="s">
        <v>42</v>
      </c>
      <c r="AL65" t="s">
        <v>42</v>
      </c>
      <c r="AM65">
        <v>111763</v>
      </c>
      <c r="AN65" t="s">
        <v>52</v>
      </c>
      <c r="AO65">
        <v>1738693</v>
      </c>
    </row>
    <row r="66" spans="1:41" x14ac:dyDescent="0.25">
      <c r="A66" t="s">
        <v>41</v>
      </c>
      <c r="B66" s="1">
        <v>39372</v>
      </c>
      <c r="C66" t="s">
        <v>42</v>
      </c>
      <c r="D66">
        <v>1</v>
      </c>
      <c r="E66" t="s">
        <v>42</v>
      </c>
      <c r="F66" t="s">
        <v>42</v>
      </c>
      <c r="G66">
        <v>20000511</v>
      </c>
      <c r="H66" t="s">
        <v>64</v>
      </c>
      <c r="I66">
        <v>2</v>
      </c>
      <c r="J66" t="s">
        <v>42</v>
      </c>
      <c r="K66">
        <v>1</v>
      </c>
      <c r="L66">
        <v>4</v>
      </c>
      <c r="M66">
        <v>1715</v>
      </c>
      <c r="N66">
        <v>2010</v>
      </c>
      <c r="O66">
        <v>2010</v>
      </c>
      <c r="P66">
        <v>4760</v>
      </c>
      <c r="Q66">
        <v>1830</v>
      </c>
      <c r="S66">
        <v>1</v>
      </c>
      <c r="T66">
        <v>3990</v>
      </c>
      <c r="U66" t="s">
        <v>65</v>
      </c>
      <c r="W66" t="b">
        <v>1</v>
      </c>
      <c r="X66" t="b">
        <v>0</v>
      </c>
      <c r="Y66" t="s">
        <v>42</v>
      </c>
      <c r="Z66" t="s">
        <v>48</v>
      </c>
      <c r="AA66" t="s">
        <v>153</v>
      </c>
      <c r="AB66">
        <v>2</v>
      </c>
      <c r="AD66" t="s">
        <v>165</v>
      </c>
      <c r="AE66">
        <v>5</v>
      </c>
      <c r="AF66" t="s">
        <v>42</v>
      </c>
      <c r="AG66">
        <v>1</v>
      </c>
      <c r="AH66">
        <v>261</v>
      </c>
      <c r="AI66">
        <v>301</v>
      </c>
      <c r="AJ66" t="s">
        <v>42</v>
      </c>
      <c r="AK66" t="s">
        <v>42</v>
      </c>
      <c r="AL66" t="s">
        <v>42</v>
      </c>
      <c r="AM66">
        <v>220223</v>
      </c>
      <c r="AN66" t="s">
        <v>167</v>
      </c>
      <c r="AO66">
        <v>1739317</v>
      </c>
    </row>
    <row r="67" spans="1:41" x14ac:dyDescent="0.25">
      <c r="A67" t="s">
        <v>41</v>
      </c>
      <c r="B67" s="1">
        <v>38222</v>
      </c>
      <c r="C67" t="s">
        <v>42</v>
      </c>
      <c r="D67">
        <v>1</v>
      </c>
      <c r="E67" t="s">
        <v>42</v>
      </c>
      <c r="F67" t="s">
        <v>42</v>
      </c>
      <c r="G67">
        <v>19990818</v>
      </c>
      <c r="H67" t="s">
        <v>45</v>
      </c>
      <c r="J67" t="s">
        <v>42</v>
      </c>
      <c r="K67">
        <v>1</v>
      </c>
      <c r="L67">
        <v>4</v>
      </c>
      <c r="M67">
        <v>1735</v>
      </c>
      <c r="N67">
        <v>2010</v>
      </c>
      <c r="O67">
        <v>2010</v>
      </c>
      <c r="P67">
        <v>4760</v>
      </c>
      <c r="Q67">
        <v>1830</v>
      </c>
      <c r="S67">
        <v>1</v>
      </c>
      <c r="T67">
        <v>3990</v>
      </c>
      <c r="U67" t="s">
        <v>65</v>
      </c>
      <c r="W67" t="b">
        <v>1</v>
      </c>
      <c r="Y67" t="s">
        <v>42</v>
      </c>
      <c r="Z67" t="s">
        <v>48</v>
      </c>
      <c r="AA67" t="s">
        <v>77</v>
      </c>
      <c r="AD67" t="s">
        <v>42</v>
      </c>
      <c r="AE67">
        <v>5</v>
      </c>
      <c r="AF67" t="s">
        <v>85</v>
      </c>
      <c r="AG67">
        <v>1</v>
      </c>
      <c r="AH67">
        <v>146</v>
      </c>
      <c r="AJ67" t="s">
        <v>42</v>
      </c>
      <c r="AK67" t="s">
        <v>42</v>
      </c>
      <c r="AL67" t="s">
        <v>42</v>
      </c>
      <c r="AM67">
        <v>115364</v>
      </c>
      <c r="AN67" t="s">
        <v>78</v>
      </c>
      <c r="AO67">
        <v>1740752</v>
      </c>
    </row>
    <row r="68" spans="1:41" x14ac:dyDescent="0.25">
      <c r="A68" t="s">
        <v>41</v>
      </c>
      <c r="B68" s="1">
        <v>38155</v>
      </c>
      <c r="C68" t="s">
        <v>42</v>
      </c>
      <c r="D68">
        <v>1</v>
      </c>
      <c r="E68" t="s">
        <v>42</v>
      </c>
      <c r="F68" t="s">
        <v>42</v>
      </c>
      <c r="G68">
        <v>19970708</v>
      </c>
      <c r="H68" t="s">
        <v>92</v>
      </c>
      <c r="J68" t="s">
        <v>42</v>
      </c>
      <c r="K68">
        <v>1</v>
      </c>
      <c r="L68">
        <v>4</v>
      </c>
      <c r="M68">
        <v>1690</v>
      </c>
      <c r="N68">
        <v>2010</v>
      </c>
      <c r="O68">
        <v>2010</v>
      </c>
      <c r="P68">
        <v>4760</v>
      </c>
      <c r="Q68">
        <v>1830</v>
      </c>
      <c r="S68">
        <v>1</v>
      </c>
      <c r="T68">
        <v>3990</v>
      </c>
      <c r="U68" t="s">
        <v>47</v>
      </c>
      <c r="Y68" t="s">
        <v>42</v>
      </c>
      <c r="Z68" t="s">
        <v>48</v>
      </c>
      <c r="AA68" t="s">
        <v>139</v>
      </c>
      <c r="AD68" t="s">
        <v>42</v>
      </c>
      <c r="AE68">
        <v>5</v>
      </c>
      <c r="AF68" t="s">
        <v>51</v>
      </c>
      <c r="AG68">
        <v>1</v>
      </c>
      <c r="AH68">
        <v>202</v>
      </c>
      <c r="AJ68" t="s">
        <v>42</v>
      </c>
      <c r="AK68" t="s">
        <v>42</v>
      </c>
      <c r="AL68" t="s">
        <v>42</v>
      </c>
      <c r="AM68">
        <v>143225</v>
      </c>
      <c r="AN68" t="s">
        <v>52</v>
      </c>
      <c r="AO68">
        <v>1778447</v>
      </c>
    </row>
    <row r="69" spans="1:41" x14ac:dyDescent="0.25">
      <c r="A69" t="s">
        <v>41</v>
      </c>
      <c r="B69" s="1">
        <v>39198</v>
      </c>
      <c r="C69" t="s">
        <v>42</v>
      </c>
      <c r="D69">
        <v>1</v>
      </c>
      <c r="E69" t="s">
        <v>107</v>
      </c>
      <c r="F69" t="s">
        <v>108</v>
      </c>
      <c r="G69">
        <v>20070426</v>
      </c>
      <c r="H69" t="s">
        <v>92</v>
      </c>
      <c r="J69" t="s">
        <v>71</v>
      </c>
      <c r="L69">
        <v>4</v>
      </c>
      <c r="M69">
        <v>1735</v>
      </c>
      <c r="N69">
        <v>2075</v>
      </c>
      <c r="O69">
        <v>2075</v>
      </c>
      <c r="P69">
        <v>4790</v>
      </c>
      <c r="Q69">
        <v>1890</v>
      </c>
      <c r="R69">
        <v>1330</v>
      </c>
      <c r="S69">
        <v>1</v>
      </c>
      <c r="T69">
        <v>4190</v>
      </c>
      <c r="U69" t="s">
        <v>55</v>
      </c>
      <c r="V69">
        <v>8</v>
      </c>
      <c r="Y69" t="s">
        <v>42</v>
      </c>
      <c r="Z69" t="s">
        <v>48</v>
      </c>
      <c r="AA69" t="s">
        <v>109</v>
      </c>
      <c r="AD69" t="s">
        <v>50</v>
      </c>
      <c r="AE69">
        <v>5</v>
      </c>
      <c r="AF69" t="s">
        <v>106</v>
      </c>
      <c r="AG69">
        <v>1</v>
      </c>
      <c r="AH69">
        <v>16</v>
      </c>
      <c r="AI69">
        <v>269</v>
      </c>
      <c r="AJ69" t="s">
        <v>42</v>
      </c>
      <c r="AK69" t="s">
        <v>42</v>
      </c>
      <c r="AL69" t="s">
        <v>42</v>
      </c>
      <c r="AM69">
        <v>76972</v>
      </c>
      <c r="AN69" t="s">
        <v>168</v>
      </c>
      <c r="AO69">
        <v>1879806</v>
      </c>
    </row>
    <row r="70" spans="1:41" x14ac:dyDescent="0.25">
      <c r="A70" t="s">
        <v>41</v>
      </c>
      <c r="B70" s="1">
        <v>43672</v>
      </c>
      <c r="C70" t="s">
        <v>42</v>
      </c>
      <c r="D70">
        <v>1</v>
      </c>
      <c r="E70" t="s">
        <v>90</v>
      </c>
      <c r="F70" t="s">
        <v>91</v>
      </c>
      <c r="G70">
        <v>20010827</v>
      </c>
      <c r="H70" t="s">
        <v>88</v>
      </c>
      <c r="I70">
        <v>2</v>
      </c>
      <c r="J70" t="s">
        <v>46</v>
      </c>
      <c r="L70">
        <v>4</v>
      </c>
      <c r="M70">
        <v>1690</v>
      </c>
      <c r="N70">
        <v>2010</v>
      </c>
      <c r="O70">
        <v>2010</v>
      </c>
      <c r="P70">
        <v>4760</v>
      </c>
      <c r="Q70">
        <v>1830</v>
      </c>
      <c r="R70">
        <v>1300</v>
      </c>
      <c r="S70">
        <v>1</v>
      </c>
      <c r="T70">
        <v>3996</v>
      </c>
      <c r="U70" t="s">
        <v>47</v>
      </c>
      <c r="V70">
        <v>8</v>
      </c>
      <c r="W70" t="b">
        <v>0</v>
      </c>
      <c r="X70" t="b">
        <v>0</v>
      </c>
      <c r="Y70" t="s">
        <v>42</v>
      </c>
      <c r="Z70" t="s">
        <v>48</v>
      </c>
      <c r="AA70" t="s">
        <v>169</v>
      </c>
      <c r="AB70">
        <v>2</v>
      </c>
      <c r="AC70">
        <v>5</v>
      </c>
      <c r="AD70" t="s">
        <v>50</v>
      </c>
      <c r="AE70">
        <v>5</v>
      </c>
      <c r="AF70" t="s">
        <v>95</v>
      </c>
      <c r="AG70">
        <v>1</v>
      </c>
      <c r="AH70">
        <v>853</v>
      </c>
      <c r="AI70">
        <v>281</v>
      </c>
      <c r="AJ70" t="s">
        <v>42</v>
      </c>
      <c r="AK70" t="s">
        <v>42</v>
      </c>
      <c r="AL70" t="s">
        <v>42</v>
      </c>
      <c r="AM70">
        <v>130861</v>
      </c>
      <c r="AN70" t="s">
        <v>170</v>
      </c>
      <c r="AO70">
        <v>1931247</v>
      </c>
    </row>
    <row r="71" spans="1:41" x14ac:dyDescent="0.25">
      <c r="A71" t="s">
        <v>41</v>
      </c>
      <c r="B71" s="1">
        <v>39498</v>
      </c>
      <c r="C71" t="s">
        <v>42</v>
      </c>
      <c r="D71">
        <v>1</v>
      </c>
      <c r="E71" t="s">
        <v>42</v>
      </c>
      <c r="F71" t="s">
        <v>42</v>
      </c>
      <c r="G71">
        <v>20060629</v>
      </c>
      <c r="H71" t="s">
        <v>64</v>
      </c>
      <c r="I71">
        <v>2</v>
      </c>
      <c r="J71" t="s">
        <v>46</v>
      </c>
      <c r="K71">
        <v>1</v>
      </c>
      <c r="L71">
        <v>4</v>
      </c>
      <c r="M71">
        <v>1720</v>
      </c>
      <c r="N71">
        <v>2035</v>
      </c>
      <c r="O71">
        <v>2035</v>
      </c>
      <c r="P71">
        <v>4791</v>
      </c>
      <c r="Q71">
        <v>1893</v>
      </c>
      <c r="R71">
        <v>1322</v>
      </c>
      <c r="S71">
        <v>1</v>
      </c>
      <c r="T71">
        <v>4196</v>
      </c>
      <c r="U71" t="s">
        <v>55</v>
      </c>
      <c r="V71">
        <v>8</v>
      </c>
      <c r="W71" t="b">
        <v>0</v>
      </c>
      <c r="X71" t="b">
        <v>0</v>
      </c>
      <c r="Y71" t="s">
        <v>42</v>
      </c>
      <c r="Z71" t="s">
        <v>48</v>
      </c>
      <c r="AA71" t="s">
        <v>171</v>
      </c>
      <c r="AB71">
        <v>2</v>
      </c>
      <c r="AC71">
        <v>6</v>
      </c>
      <c r="AD71" t="s">
        <v>50</v>
      </c>
      <c r="AE71">
        <v>5</v>
      </c>
      <c r="AF71" t="s">
        <v>42</v>
      </c>
      <c r="AG71">
        <v>1</v>
      </c>
      <c r="AH71">
        <v>297</v>
      </c>
      <c r="AI71">
        <v>269</v>
      </c>
      <c r="AJ71" t="s">
        <v>42</v>
      </c>
      <c r="AK71" t="s">
        <v>42</v>
      </c>
      <c r="AL71" t="s">
        <v>42</v>
      </c>
      <c r="AM71">
        <v>150568</v>
      </c>
      <c r="AN71" t="s">
        <v>172</v>
      </c>
      <c r="AO71">
        <v>1942934</v>
      </c>
    </row>
    <row r="72" spans="1:41" x14ac:dyDescent="0.25">
      <c r="A72" t="s">
        <v>41</v>
      </c>
      <c r="B72" s="1">
        <v>39426</v>
      </c>
      <c r="C72" t="s">
        <v>42</v>
      </c>
      <c r="D72">
        <v>1</v>
      </c>
      <c r="E72" t="s">
        <v>155</v>
      </c>
      <c r="F72" t="s">
        <v>54</v>
      </c>
      <c r="G72">
        <v>20071210</v>
      </c>
      <c r="H72" t="s">
        <v>173</v>
      </c>
      <c r="J72" t="s">
        <v>46</v>
      </c>
      <c r="L72">
        <v>4</v>
      </c>
      <c r="M72">
        <v>1770</v>
      </c>
      <c r="N72">
        <v>2080</v>
      </c>
      <c r="O72">
        <v>2080</v>
      </c>
      <c r="P72">
        <v>4790</v>
      </c>
      <c r="Q72">
        <v>1890</v>
      </c>
      <c r="R72">
        <v>1320</v>
      </c>
      <c r="S72">
        <v>1</v>
      </c>
      <c r="T72">
        <v>4190</v>
      </c>
      <c r="U72" t="s">
        <v>156</v>
      </c>
      <c r="V72">
        <v>8</v>
      </c>
      <c r="W72" t="b">
        <v>1</v>
      </c>
      <c r="Y72" t="s">
        <v>42</v>
      </c>
      <c r="Z72" t="s">
        <v>48</v>
      </c>
      <c r="AA72" t="s">
        <v>174</v>
      </c>
      <c r="AD72" t="s">
        <v>175</v>
      </c>
      <c r="AE72">
        <v>5</v>
      </c>
      <c r="AF72" t="s">
        <v>176</v>
      </c>
      <c r="AG72">
        <v>1</v>
      </c>
      <c r="AH72">
        <v>418</v>
      </c>
      <c r="AI72">
        <v>294</v>
      </c>
      <c r="AJ72" t="s">
        <v>42</v>
      </c>
      <c r="AK72" t="s">
        <v>42</v>
      </c>
      <c r="AL72" t="s">
        <v>42</v>
      </c>
      <c r="AM72">
        <v>56196</v>
      </c>
      <c r="AN72" t="s">
        <v>177</v>
      </c>
      <c r="AO72">
        <v>1943688</v>
      </c>
    </row>
    <row r="73" spans="1:41" x14ac:dyDescent="0.25">
      <c r="A73" t="s">
        <v>41</v>
      </c>
      <c r="B73" s="1">
        <v>39524</v>
      </c>
      <c r="C73" t="s">
        <v>42</v>
      </c>
      <c r="D73">
        <v>1</v>
      </c>
      <c r="E73" t="s">
        <v>42</v>
      </c>
      <c r="F73" t="s">
        <v>42</v>
      </c>
      <c r="G73">
        <v>19970000</v>
      </c>
      <c r="H73" t="s">
        <v>173</v>
      </c>
      <c r="I73">
        <v>2</v>
      </c>
      <c r="J73" t="s">
        <v>71</v>
      </c>
      <c r="K73">
        <v>4</v>
      </c>
      <c r="L73">
        <v>4</v>
      </c>
      <c r="M73">
        <v>1720</v>
      </c>
      <c r="N73">
        <v>2102</v>
      </c>
      <c r="O73">
        <v>2102</v>
      </c>
      <c r="P73">
        <v>4760</v>
      </c>
      <c r="Q73">
        <v>1830</v>
      </c>
      <c r="S73">
        <v>1</v>
      </c>
      <c r="T73">
        <v>3990</v>
      </c>
      <c r="U73" t="s">
        <v>47</v>
      </c>
      <c r="V73">
        <v>8</v>
      </c>
      <c r="W73" t="b">
        <v>0</v>
      </c>
      <c r="Y73" t="s">
        <v>42</v>
      </c>
      <c r="Z73" t="s">
        <v>48</v>
      </c>
      <c r="AA73" t="s">
        <v>178</v>
      </c>
      <c r="AB73">
        <v>2</v>
      </c>
      <c r="AC73">
        <v>4</v>
      </c>
      <c r="AD73" t="s">
        <v>86</v>
      </c>
      <c r="AE73">
        <v>5</v>
      </c>
      <c r="AF73" t="s">
        <v>42</v>
      </c>
      <c r="AG73">
        <v>1</v>
      </c>
      <c r="AH73">
        <v>98</v>
      </c>
      <c r="AJ73" t="s">
        <v>42</v>
      </c>
      <c r="AK73" t="s">
        <v>42</v>
      </c>
      <c r="AL73" t="s">
        <v>42</v>
      </c>
      <c r="AM73">
        <v>111425</v>
      </c>
      <c r="AN73" t="s">
        <v>179</v>
      </c>
      <c r="AO73">
        <v>1946841</v>
      </c>
    </row>
    <row r="74" spans="1:41" x14ac:dyDescent="0.25">
      <c r="A74" t="s">
        <v>41</v>
      </c>
      <c r="B74" s="1">
        <v>39430</v>
      </c>
      <c r="C74" t="s">
        <v>42</v>
      </c>
      <c r="D74">
        <v>1</v>
      </c>
      <c r="E74" t="s">
        <v>155</v>
      </c>
      <c r="F74" t="s">
        <v>54</v>
      </c>
      <c r="G74">
        <v>20071214</v>
      </c>
      <c r="H74" t="s">
        <v>64</v>
      </c>
      <c r="J74" t="s">
        <v>46</v>
      </c>
      <c r="L74">
        <v>4</v>
      </c>
      <c r="M74">
        <v>1770</v>
      </c>
      <c r="N74">
        <v>2080</v>
      </c>
      <c r="O74">
        <v>2080</v>
      </c>
      <c r="P74">
        <v>4790</v>
      </c>
      <c r="Q74">
        <v>1890</v>
      </c>
      <c r="R74">
        <v>1320</v>
      </c>
      <c r="S74">
        <v>1</v>
      </c>
      <c r="T74">
        <v>4190</v>
      </c>
      <c r="U74" t="s">
        <v>156</v>
      </c>
      <c r="V74">
        <v>8</v>
      </c>
      <c r="W74" t="b">
        <v>1</v>
      </c>
      <c r="Y74" t="s">
        <v>42</v>
      </c>
      <c r="Z74" t="s">
        <v>48</v>
      </c>
      <c r="AA74" t="s">
        <v>180</v>
      </c>
      <c r="AD74" t="s">
        <v>50</v>
      </c>
      <c r="AE74">
        <v>5</v>
      </c>
      <c r="AF74" t="s">
        <v>57</v>
      </c>
      <c r="AG74">
        <v>1</v>
      </c>
      <c r="AH74">
        <v>49</v>
      </c>
      <c r="AI74">
        <v>294</v>
      </c>
      <c r="AJ74" t="s">
        <v>42</v>
      </c>
      <c r="AK74" t="s">
        <v>42</v>
      </c>
      <c r="AL74" t="s">
        <v>42</v>
      </c>
      <c r="AM74">
        <v>161195</v>
      </c>
      <c r="AN74" t="s">
        <v>181</v>
      </c>
      <c r="AO74">
        <v>1949855</v>
      </c>
    </row>
    <row r="75" spans="1:41" x14ac:dyDescent="0.25">
      <c r="A75" t="s">
        <v>41</v>
      </c>
      <c r="B75" s="1">
        <v>39507</v>
      </c>
      <c r="C75" t="s">
        <v>42</v>
      </c>
      <c r="D75">
        <v>1</v>
      </c>
      <c r="E75" t="s">
        <v>53</v>
      </c>
      <c r="F75" t="s">
        <v>54</v>
      </c>
      <c r="G75">
        <v>20080229</v>
      </c>
      <c r="H75" t="s">
        <v>59</v>
      </c>
      <c r="J75" t="s">
        <v>46</v>
      </c>
      <c r="L75">
        <v>4</v>
      </c>
      <c r="M75">
        <v>1720</v>
      </c>
      <c r="N75">
        <v>2035</v>
      </c>
      <c r="O75">
        <v>2035</v>
      </c>
      <c r="P75">
        <v>4790</v>
      </c>
      <c r="Q75">
        <v>1890</v>
      </c>
      <c r="R75">
        <v>1320</v>
      </c>
      <c r="S75">
        <v>1</v>
      </c>
      <c r="T75">
        <v>4190</v>
      </c>
      <c r="U75" t="s">
        <v>55</v>
      </c>
      <c r="V75">
        <v>8</v>
      </c>
      <c r="Y75" t="s">
        <v>42</v>
      </c>
      <c r="Z75" t="s">
        <v>48</v>
      </c>
      <c r="AA75" t="s">
        <v>182</v>
      </c>
      <c r="AD75" t="s">
        <v>183</v>
      </c>
      <c r="AE75">
        <v>5</v>
      </c>
      <c r="AF75" t="s">
        <v>176</v>
      </c>
      <c r="AG75">
        <v>1</v>
      </c>
      <c r="AH75">
        <v>92</v>
      </c>
      <c r="AI75">
        <v>269</v>
      </c>
      <c r="AJ75" t="s">
        <v>42</v>
      </c>
      <c r="AK75" t="s">
        <v>42</v>
      </c>
      <c r="AL75" t="s">
        <v>42</v>
      </c>
      <c r="AM75">
        <v>56330</v>
      </c>
      <c r="AN75" t="s">
        <v>184</v>
      </c>
      <c r="AO75">
        <v>1973359</v>
      </c>
    </row>
    <row r="76" spans="1:41" x14ac:dyDescent="0.25">
      <c r="A76" t="s">
        <v>41</v>
      </c>
      <c r="B76" s="1">
        <v>39486</v>
      </c>
      <c r="C76" t="s">
        <v>42</v>
      </c>
      <c r="D76">
        <v>1</v>
      </c>
      <c r="E76" t="s">
        <v>62</v>
      </c>
      <c r="F76" t="s">
        <v>100</v>
      </c>
      <c r="G76">
        <v>20000107</v>
      </c>
      <c r="H76" t="s">
        <v>59</v>
      </c>
      <c r="I76">
        <v>2</v>
      </c>
      <c r="J76" t="s">
        <v>46</v>
      </c>
      <c r="K76">
        <v>1</v>
      </c>
      <c r="L76">
        <v>4</v>
      </c>
      <c r="M76">
        <v>1690</v>
      </c>
      <c r="N76">
        <v>2010</v>
      </c>
      <c r="O76">
        <v>2010</v>
      </c>
      <c r="P76">
        <v>4760</v>
      </c>
      <c r="Q76">
        <v>1830</v>
      </c>
      <c r="S76">
        <v>1</v>
      </c>
      <c r="T76">
        <v>3996</v>
      </c>
      <c r="U76" t="s">
        <v>47</v>
      </c>
      <c r="V76">
        <v>8</v>
      </c>
      <c r="W76" t="b">
        <v>0</v>
      </c>
      <c r="Y76" t="s">
        <v>42</v>
      </c>
      <c r="Z76" t="s">
        <v>48</v>
      </c>
      <c r="AA76" t="s">
        <v>185</v>
      </c>
      <c r="AD76" t="s">
        <v>94</v>
      </c>
      <c r="AE76">
        <v>5</v>
      </c>
      <c r="AF76" t="s">
        <v>186</v>
      </c>
      <c r="AG76">
        <v>1</v>
      </c>
      <c r="AH76">
        <v>92</v>
      </c>
      <c r="AJ76" t="s">
        <v>42</v>
      </c>
      <c r="AK76" t="s">
        <v>42</v>
      </c>
      <c r="AL76" t="s">
        <v>42</v>
      </c>
      <c r="AM76">
        <v>150462</v>
      </c>
      <c r="AN76" t="s">
        <v>187</v>
      </c>
      <c r="AO76">
        <v>1974202</v>
      </c>
    </row>
    <row r="77" spans="1:41" x14ac:dyDescent="0.25">
      <c r="A77" t="s">
        <v>41</v>
      </c>
      <c r="B77" s="1"/>
      <c r="C77" t="s">
        <v>42</v>
      </c>
      <c r="E77" t="s">
        <v>160</v>
      </c>
      <c r="F77" t="s">
        <v>108</v>
      </c>
      <c r="G77">
        <v>20080320</v>
      </c>
      <c r="H77" t="s">
        <v>59</v>
      </c>
      <c r="I77">
        <v>2</v>
      </c>
      <c r="J77" t="s">
        <v>71</v>
      </c>
      <c r="L77">
        <v>4</v>
      </c>
      <c r="M77">
        <v>1785</v>
      </c>
      <c r="N77">
        <v>2120</v>
      </c>
      <c r="P77">
        <v>4791</v>
      </c>
      <c r="Q77">
        <v>1912</v>
      </c>
      <c r="R77">
        <v>1329</v>
      </c>
      <c r="S77">
        <v>1</v>
      </c>
      <c r="T77">
        <v>4196</v>
      </c>
      <c r="U77" t="s">
        <v>156</v>
      </c>
      <c r="V77">
        <v>8</v>
      </c>
      <c r="W77" t="b">
        <v>1</v>
      </c>
      <c r="Y77" t="s">
        <v>42</v>
      </c>
      <c r="Z77" t="s">
        <v>48</v>
      </c>
      <c r="AA77" t="s">
        <v>188</v>
      </c>
      <c r="AB77">
        <v>2</v>
      </c>
      <c r="AC77">
        <v>6</v>
      </c>
      <c r="AD77" t="s">
        <v>189</v>
      </c>
      <c r="AE77">
        <v>5</v>
      </c>
      <c r="AF77" t="s">
        <v>190</v>
      </c>
      <c r="AG77">
        <v>1</v>
      </c>
      <c r="AH77">
        <v>91</v>
      </c>
      <c r="AI77">
        <v>294</v>
      </c>
      <c r="AJ77" t="s">
        <v>42</v>
      </c>
      <c r="AK77" t="s">
        <v>42</v>
      </c>
      <c r="AL77" t="s">
        <v>42</v>
      </c>
      <c r="AN77" t="s">
        <v>191</v>
      </c>
      <c r="AO77">
        <v>1988252</v>
      </c>
    </row>
    <row r="78" spans="1:41" x14ac:dyDescent="0.25">
      <c r="A78" t="s">
        <v>41</v>
      </c>
      <c r="B78" s="1">
        <v>39521</v>
      </c>
      <c r="C78" t="s">
        <v>42</v>
      </c>
      <c r="D78">
        <v>1</v>
      </c>
      <c r="E78" t="s">
        <v>107</v>
      </c>
      <c r="F78" t="s">
        <v>108</v>
      </c>
      <c r="G78">
        <v>20080314</v>
      </c>
      <c r="H78" t="s">
        <v>64</v>
      </c>
      <c r="I78">
        <v>2</v>
      </c>
      <c r="J78" t="s">
        <v>71</v>
      </c>
      <c r="K78">
        <v>1</v>
      </c>
      <c r="L78">
        <v>4</v>
      </c>
      <c r="M78">
        <v>1735</v>
      </c>
      <c r="N78">
        <v>2075</v>
      </c>
      <c r="O78">
        <v>2075</v>
      </c>
      <c r="P78">
        <v>4791</v>
      </c>
      <c r="Q78">
        <v>1893</v>
      </c>
      <c r="R78">
        <v>1329</v>
      </c>
      <c r="S78">
        <v>1</v>
      </c>
      <c r="T78">
        <v>4190</v>
      </c>
      <c r="U78" t="s">
        <v>55</v>
      </c>
      <c r="V78">
        <v>8</v>
      </c>
      <c r="W78" t="b">
        <v>0</v>
      </c>
      <c r="Y78" t="s">
        <v>42</v>
      </c>
      <c r="Z78" t="s">
        <v>48</v>
      </c>
      <c r="AA78" t="s">
        <v>192</v>
      </c>
      <c r="AD78" t="s">
        <v>50</v>
      </c>
      <c r="AE78">
        <v>5</v>
      </c>
      <c r="AF78" t="s">
        <v>106</v>
      </c>
      <c r="AG78">
        <v>1</v>
      </c>
      <c r="AH78">
        <v>91</v>
      </c>
      <c r="AI78">
        <v>269</v>
      </c>
      <c r="AJ78" t="s">
        <v>42</v>
      </c>
      <c r="AK78" t="s">
        <v>42</v>
      </c>
      <c r="AL78" t="s">
        <v>42</v>
      </c>
      <c r="AM78">
        <v>109930</v>
      </c>
      <c r="AN78" t="s">
        <v>193</v>
      </c>
      <c r="AO78">
        <v>1989661</v>
      </c>
    </row>
    <row r="79" spans="1:41" x14ac:dyDescent="0.25">
      <c r="A79" t="s">
        <v>41</v>
      </c>
      <c r="B79" s="1">
        <v>39625</v>
      </c>
      <c r="C79" t="s">
        <v>42</v>
      </c>
      <c r="D79">
        <v>1</v>
      </c>
      <c r="E79" t="s">
        <v>53</v>
      </c>
      <c r="F79" t="s">
        <v>54</v>
      </c>
      <c r="G79">
        <v>20060629</v>
      </c>
      <c r="H79" t="s">
        <v>64</v>
      </c>
      <c r="I79">
        <v>2</v>
      </c>
      <c r="J79" t="s">
        <v>46</v>
      </c>
      <c r="L79">
        <v>4</v>
      </c>
      <c r="M79">
        <v>1720</v>
      </c>
      <c r="N79">
        <v>2035</v>
      </c>
      <c r="O79">
        <v>2035</v>
      </c>
      <c r="P79">
        <v>4791</v>
      </c>
      <c r="Q79">
        <v>1893</v>
      </c>
      <c r="R79">
        <v>1322</v>
      </c>
      <c r="S79">
        <v>1</v>
      </c>
      <c r="T79">
        <v>4196</v>
      </c>
      <c r="U79" t="s">
        <v>55</v>
      </c>
      <c r="V79">
        <v>8</v>
      </c>
      <c r="W79" t="b">
        <v>0</v>
      </c>
      <c r="Y79" t="s">
        <v>42</v>
      </c>
      <c r="Z79" t="s">
        <v>48</v>
      </c>
      <c r="AA79" t="s">
        <v>194</v>
      </c>
      <c r="AB79">
        <v>2</v>
      </c>
      <c r="AC79">
        <v>6</v>
      </c>
      <c r="AD79" t="s">
        <v>50</v>
      </c>
      <c r="AE79">
        <v>5</v>
      </c>
      <c r="AF79" t="s">
        <v>106</v>
      </c>
      <c r="AG79">
        <v>1</v>
      </c>
      <c r="AH79">
        <v>91</v>
      </c>
      <c r="AI79">
        <v>269</v>
      </c>
      <c r="AJ79" t="s">
        <v>42</v>
      </c>
      <c r="AK79" t="s">
        <v>42</v>
      </c>
      <c r="AL79" t="s">
        <v>42</v>
      </c>
      <c r="AM79">
        <v>123116</v>
      </c>
      <c r="AN79" t="s">
        <v>195</v>
      </c>
      <c r="AO79">
        <v>2042807</v>
      </c>
    </row>
    <row r="80" spans="1:41" x14ac:dyDescent="0.25">
      <c r="A80" t="s">
        <v>41</v>
      </c>
      <c r="B80" s="1">
        <v>39695</v>
      </c>
      <c r="C80" t="s">
        <v>42</v>
      </c>
      <c r="D80">
        <v>1</v>
      </c>
      <c r="E80" t="s">
        <v>42</v>
      </c>
      <c r="F80" t="s">
        <v>196</v>
      </c>
      <c r="G80">
        <v>19970415</v>
      </c>
      <c r="H80" t="s">
        <v>59</v>
      </c>
      <c r="I80">
        <v>2</v>
      </c>
      <c r="J80" t="s">
        <v>71</v>
      </c>
      <c r="L80">
        <v>4</v>
      </c>
      <c r="M80">
        <v>1810</v>
      </c>
      <c r="N80">
        <v>2100</v>
      </c>
      <c r="O80">
        <v>2100</v>
      </c>
      <c r="P80">
        <v>4760</v>
      </c>
      <c r="Q80">
        <v>1830</v>
      </c>
      <c r="S80">
        <v>1</v>
      </c>
      <c r="T80">
        <v>3990</v>
      </c>
      <c r="U80" t="s">
        <v>47</v>
      </c>
      <c r="V80">
        <v>8</v>
      </c>
      <c r="W80" t="b">
        <v>0</v>
      </c>
      <c r="Y80" t="s">
        <v>42</v>
      </c>
      <c r="Z80" t="s">
        <v>48</v>
      </c>
      <c r="AA80" t="s">
        <v>197</v>
      </c>
      <c r="AD80" t="s">
        <v>198</v>
      </c>
      <c r="AE80">
        <v>5</v>
      </c>
      <c r="AF80" t="s">
        <v>42</v>
      </c>
      <c r="AG80">
        <v>1</v>
      </c>
      <c r="AH80">
        <v>49</v>
      </c>
      <c r="AJ80" t="s">
        <v>42</v>
      </c>
      <c r="AK80" t="s">
        <v>42</v>
      </c>
      <c r="AL80" t="s">
        <v>42</v>
      </c>
      <c r="AM80">
        <v>126543</v>
      </c>
      <c r="AN80" t="s">
        <v>179</v>
      </c>
      <c r="AO80">
        <v>2059466</v>
      </c>
    </row>
    <row r="81" spans="1:41" x14ac:dyDescent="0.25">
      <c r="A81" t="s">
        <v>41</v>
      </c>
      <c r="B81" s="1">
        <v>40203</v>
      </c>
      <c r="C81" t="s">
        <v>42</v>
      </c>
      <c r="D81">
        <v>1</v>
      </c>
      <c r="E81" t="s">
        <v>122</v>
      </c>
      <c r="F81" t="s">
        <v>141</v>
      </c>
      <c r="G81">
        <v>20051223</v>
      </c>
      <c r="H81" t="s">
        <v>59</v>
      </c>
      <c r="I81">
        <v>2</v>
      </c>
      <c r="J81" t="s">
        <v>46</v>
      </c>
      <c r="L81">
        <v>4</v>
      </c>
      <c r="M81">
        <v>1735</v>
      </c>
      <c r="N81">
        <v>2110</v>
      </c>
      <c r="O81">
        <v>2110</v>
      </c>
      <c r="P81">
        <v>4780</v>
      </c>
      <c r="Q81">
        <v>1830</v>
      </c>
      <c r="R81">
        <v>1300</v>
      </c>
      <c r="S81">
        <v>1</v>
      </c>
      <c r="T81">
        <v>4190</v>
      </c>
      <c r="U81" t="s">
        <v>55</v>
      </c>
      <c r="V81">
        <v>8</v>
      </c>
      <c r="W81" t="b">
        <v>0</v>
      </c>
      <c r="Y81" t="s">
        <v>42</v>
      </c>
      <c r="Z81" t="s">
        <v>48</v>
      </c>
      <c r="AA81" t="s">
        <v>171</v>
      </c>
      <c r="AB81">
        <v>2</v>
      </c>
      <c r="AD81" t="s">
        <v>50</v>
      </c>
      <c r="AE81">
        <v>5</v>
      </c>
      <c r="AF81" t="s">
        <v>104</v>
      </c>
      <c r="AG81">
        <v>1</v>
      </c>
      <c r="AH81">
        <v>593</v>
      </c>
      <c r="AI81">
        <v>284</v>
      </c>
      <c r="AJ81" t="s">
        <v>42</v>
      </c>
      <c r="AK81" t="s">
        <v>42</v>
      </c>
      <c r="AL81" t="s">
        <v>42</v>
      </c>
      <c r="AM81">
        <v>225856</v>
      </c>
      <c r="AN81" t="s">
        <v>199</v>
      </c>
      <c r="AO81">
        <v>2062425</v>
      </c>
    </row>
    <row r="82" spans="1:41" x14ac:dyDescent="0.25">
      <c r="A82" t="s">
        <v>41</v>
      </c>
      <c r="B82" s="1">
        <v>39668</v>
      </c>
      <c r="C82" t="s">
        <v>42</v>
      </c>
      <c r="D82">
        <v>1</v>
      </c>
      <c r="E82" t="s">
        <v>42</v>
      </c>
      <c r="F82" t="s">
        <v>42</v>
      </c>
      <c r="G82">
        <v>19990101</v>
      </c>
      <c r="H82" t="s">
        <v>102</v>
      </c>
      <c r="I82">
        <v>2</v>
      </c>
      <c r="J82" t="s">
        <v>46</v>
      </c>
      <c r="L82">
        <v>4</v>
      </c>
      <c r="M82">
        <v>1735</v>
      </c>
      <c r="N82">
        <v>2010</v>
      </c>
      <c r="O82">
        <v>2010</v>
      </c>
      <c r="P82">
        <v>4760</v>
      </c>
      <c r="Q82">
        <v>1830</v>
      </c>
      <c r="S82">
        <v>1</v>
      </c>
      <c r="T82">
        <v>3999</v>
      </c>
      <c r="U82" t="s">
        <v>65</v>
      </c>
      <c r="V82">
        <v>8</v>
      </c>
      <c r="W82" t="b">
        <v>1</v>
      </c>
      <c r="Y82" t="s">
        <v>42</v>
      </c>
      <c r="Z82" t="s">
        <v>48</v>
      </c>
      <c r="AA82" t="s">
        <v>200</v>
      </c>
      <c r="AB82">
        <v>2</v>
      </c>
      <c r="AD82" t="s">
        <v>165</v>
      </c>
      <c r="AE82">
        <v>5</v>
      </c>
      <c r="AF82" t="s">
        <v>42</v>
      </c>
      <c r="AG82">
        <v>1</v>
      </c>
      <c r="AH82">
        <v>286</v>
      </c>
      <c r="AJ82" t="s">
        <v>42</v>
      </c>
      <c r="AK82" t="s">
        <v>42</v>
      </c>
      <c r="AL82" t="s">
        <v>42</v>
      </c>
      <c r="AM82">
        <v>139290</v>
      </c>
      <c r="AN82" t="s">
        <v>78</v>
      </c>
      <c r="AO82">
        <v>2062428</v>
      </c>
    </row>
    <row r="83" spans="1:41" x14ac:dyDescent="0.25">
      <c r="A83" t="s">
        <v>41</v>
      </c>
      <c r="B83" s="1">
        <v>39706</v>
      </c>
      <c r="C83" t="s">
        <v>42</v>
      </c>
      <c r="D83">
        <v>1</v>
      </c>
      <c r="E83" t="s">
        <v>42</v>
      </c>
      <c r="F83" t="s">
        <v>42</v>
      </c>
      <c r="G83">
        <v>19970527</v>
      </c>
      <c r="H83" t="s">
        <v>102</v>
      </c>
      <c r="I83">
        <v>2</v>
      </c>
      <c r="J83" t="s">
        <v>46</v>
      </c>
      <c r="L83">
        <v>4</v>
      </c>
      <c r="M83">
        <v>1720</v>
      </c>
      <c r="N83">
        <v>2010</v>
      </c>
      <c r="O83">
        <v>2010</v>
      </c>
      <c r="P83">
        <v>4760</v>
      </c>
      <c r="Q83">
        <v>1829</v>
      </c>
      <c r="S83">
        <v>1</v>
      </c>
      <c r="T83">
        <v>3996</v>
      </c>
      <c r="U83" t="s">
        <v>47</v>
      </c>
      <c r="V83">
        <v>8</v>
      </c>
      <c r="W83" t="b">
        <v>0</v>
      </c>
      <c r="Y83" t="s">
        <v>42</v>
      </c>
      <c r="Z83" t="s">
        <v>48</v>
      </c>
      <c r="AA83" t="s">
        <v>169</v>
      </c>
      <c r="AB83">
        <v>2</v>
      </c>
      <c r="AD83" t="s">
        <v>50</v>
      </c>
      <c r="AE83">
        <v>5</v>
      </c>
      <c r="AF83" t="s">
        <v>51</v>
      </c>
      <c r="AG83">
        <v>1</v>
      </c>
      <c r="AH83">
        <v>49</v>
      </c>
      <c r="AJ83" t="s">
        <v>42</v>
      </c>
      <c r="AK83" t="s">
        <v>42</v>
      </c>
      <c r="AL83" t="s">
        <v>42</v>
      </c>
      <c r="AM83">
        <v>193140</v>
      </c>
      <c r="AN83" t="s">
        <v>52</v>
      </c>
      <c r="AO83">
        <v>2064701</v>
      </c>
    </row>
    <row r="84" spans="1:41" x14ac:dyDescent="0.25">
      <c r="A84" t="s">
        <v>41</v>
      </c>
      <c r="B84" s="1">
        <v>39729</v>
      </c>
      <c r="C84" t="s">
        <v>42</v>
      </c>
      <c r="D84">
        <v>1</v>
      </c>
      <c r="E84" t="s">
        <v>42</v>
      </c>
      <c r="F84" t="s">
        <v>42</v>
      </c>
      <c r="G84">
        <v>19970000</v>
      </c>
      <c r="H84" t="s">
        <v>59</v>
      </c>
      <c r="I84">
        <v>2</v>
      </c>
      <c r="J84" t="s">
        <v>71</v>
      </c>
      <c r="L84">
        <v>2</v>
      </c>
      <c r="M84">
        <v>1825</v>
      </c>
      <c r="N84">
        <v>2100</v>
      </c>
      <c r="O84">
        <v>2100</v>
      </c>
      <c r="Q84">
        <v>1830</v>
      </c>
      <c r="S84">
        <v>1</v>
      </c>
      <c r="T84">
        <v>3990</v>
      </c>
      <c r="U84" t="s">
        <v>47</v>
      </c>
      <c r="V84">
        <v>8</v>
      </c>
      <c r="W84" t="b">
        <v>0</v>
      </c>
      <c r="Y84" t="s">
        <v>42</v>
      </c>
      <c r="Z84" t="s">
        <v>48</v>
      </c>
      <c r="AA84" t="s">
        <v>201</v>
      </c>
      <c r="AB84">
        <v>2</v>
      </c>
      <c r="AD84" t="s">
        <v>94</v>
      </c>
      <c r="AE84">
        <v>5</v>
      </c>
      <c r="AF84" t="s">
        <v>42</v>
      </c>
      <c r="AG84">
        <v>1</v>
      </c>
      <c r="AH84">
        <v>257</v>
      </c>
      <c r="AJ84" t="s">
        <v>42</v>
      </c>
      <c r="AK84" t="s">
        <v>42</v>
      </c>
      <c r="AL84" t="s">
        <v>42</v>
      </c>
      <c r="AM84">
        <v>88515</v>
      </c>
      <c r="AN84" t="s">
        <v>87</v>
      </c>
      <c r="AO84">
        <v>2069881</v>
      </c>
    </row>
    <row r="85" spans="1:41" x14ac:dyDescent="0.25">
      <c r="A85" t="s">
        <v>41</v>
      </c>
      <c r="B85" s="1">
        <v>39745</v>
      </c>
      <c r="C85" t="s">
        <v>42</v>
      </c>
      <c r="D85">
        <v>1</v>
      </c>
      <c r="E85" t="s">
        <v>42</v>
      </c>
      <c r="F85" t="s">
        <v>42</v>
      </c>
      <c r="G85">
        <v>19990305</v>
      </c>
      <c r="H85" t="s">
        <v>59</v>
      </c>
      <c r="I85">
        <v>2</v>
      </c>
      <c r="J85" t="s">
        <v>46</v>
      </c>
      <c r="K85">
        <v>1</v>
      </c>
      <c r="L85">
        <v>5</v>
      </c>
      <c r="M85">
        <v>1715</v>
      </c>
      <c r="N85">
        <v>2010</v>
      </c>
      <c r="O85">
        <v>2010</v>
      </c>
      <c r="P85">
        <v>4800</v>
      </c>
      <c r="Q85">
        <v>1830</v>
      </c>
      <c r="S85">
        <v>1</v>
      </c>
      <c r="T85">
        <v>3990</v>
      </c>
      <c r="U85" t="s">
        <v>65</v>
      </c>
      <c r="V85">
        <v>8</v>
      </c>
      <c r="W85" t="b">
        <v>1</v>
      </c>
      <c r="Y85" t="s">
        <v>42</v>
      </c>
      <c r="Z85" t="s">
        <v>48</v>
      </c>
      <c r="AA85" t="s">
        <v>202</v>
      </c>
      <c r="AB85">
        <v>2</v>
      </c>
      <c r="AD85" t="s">
        <v>153</v>
      </c>
      <c r="AE85">
        <v>5</v>
      </c>
      <c r="AF85" t="s">
        <v>203</v>
      </c>
      <c r="AG85">
        <v>1</v>
      </c>
      <c r="AH85">
        <v>976</v>
      </c>
      <c r="AJ85" t="s">
        <v>42</v>
      </c>
      <c r="AK85" t="s">
        <v>42</v>
      </c>
      <c r="AL85" t="s">
        <v>42</v>
      </c>
      <c r="AM85">
        <v>45590</v>
      </c>
      <c r="AN85" t="s">
        <v>78</v>
      </c>
      <c r="AO85">
        <v>2090552</v>
      </c>
    </row>
    <row r="86" spans="1:41" x14ac:dyDescent="0.25">
      <c r="A86" t="s">
        <v>41</v>
      </c>
      <c r="B86" s="1">
        <v>39734</v>
      </c>
      <c r="C86" t="s">
        <v>42</v>
      </c>
      <c r="D86">
        <v>1</v>
      </c>
      <c r="E86" t="s">
        <v>90</v>
      </c>
      <c r="F86" t="s">
        <v>204</v>
      </c>
      <c r="G86">
        <v>20020712</v>
      </c>
      <c r="H86" t="s">
        <v>42</v>
      </c>
      <c r="I86">
        <v>2</v>
      </c>
      <c r="J86" t="s">
        <v>71</v>
      </c>
      <c r="L86">
        <v>4</v>
      </c>
      <c r="M86">
        <v>1780</v>
      </c>
      <c r="N86">
        <v>2100</v>
      </c>
      <c r="O86">
        <v>2100</v>
      </c>
      <c r="P86">
        <v>4760</v>
      </c>
      <c r="Q86">
        <v>1829</v>
      </c>
      <c r="R86">
        <v>1306</v>
      </c>
      <c r="S86">
        <v>1</v>
      </c>
      <c r="T86">
        <v>3996</v>
      </c>
      <c r="U86" t="s">
        <v>47</v>
      </c>
      <c r="V86">
        <v>8</v>
      </c>
      <c r="W86" t="b">
        <v>0</v>
      </c>
      <c r="Y86" t="s">
        <v>42</v>
      </c>
      <c r="Z86" t="s">
        <v>48</v>
      </c>
      <c r="AA86" t="s">
        <v>205</v>
      </c>
      <c r="AB86">
        <v>2</v>
      </c>
      <c r="AD86" t="s">
        <v>206</v>
      </c>
      <c r="AE86">
        <v>5</v>
      </c>
      <c r="AF86" t="s">
        <v>207</v>
      </c>
      <c r="AG86">
        <v>1</v>
      </c>
      <c r="AH86">
        <v>91</v>
      </c>
      <c r="AI86">
        <v>284</v>
      </c>
      <c r="AJ86" t="s">
        <v>42</v>
      </c>
      <c r="AK86" t="s">
        <v>42</v>
      </c>
      <c r="AL86" t="s">
        <v>42</v>
      </c>
      <c r="AM86">
        <v>187494</v>
      </c>
      <c r="AN86" t="s">
        <v>208</v>
      </c>
      <c r="AO86">
        <v>2095455</v>
      </c>
    </row>
    <row r="87" spans="1:41" x14ac:dyDescent="0.25">
      <c r="A87" t="s">
        <v>41</v>
      </c>
      <c r="B87" s="1">
        <v>39771</v>
      </c>
      <c r="C87" t="s">
        <v>42</v>
      </c>
      <c r="D87">
        <v>1</v>
      </c>
      <c r="E87" t="s">
        <v>43</v>
      </c>
      <c r="F87" t="s">
        <v>44</v>
      </c>
      <c r="G87">
        <v>19961219</v>
      </c>
      <c r="H87" t="s">
        <v>59</v>
      </c>
      <c r="I87">
        <v>2</v>
      </c>
      <c r="J87" t="s">
        <v>46</v>
      </c>
      <c r="K87">
        <v>1</v>
      </c>
      <c r="L87">
        <v>4</v>
      </c>
      <c r="M87">
        <v>1720</v>
      </c>
      <c r="N87">
        <v>2010</v>
      </c>
      <c r="O87">
        <v>2010</v>
      </c>
      <c r="P87">
        <v>4760</v>
      </c>
      <c r="Q87">
        <v>1830</v>
      </c>
      <c r="S87">
        <v>1</v>
      </c>
      <c r="T87">
        <v>3990</v>
      </c>
      <c r="U87" t="s">
        <v>47</v>
      </c>
      <c r="V87">
        <v>8</v>
      </c>
      <c r="W87" t="b">
        <v>0</v>
      </c>
      <c r="Y87" t="s">
        <v>42</v>
      </c>
      <c r="Z87" t="s">
        <v>48</v>
      </c>
      <c r="AA87" t="s">
        <v>209</v>
      </c>
      <c r="AB87">
        <v>2</v>
      </c>
      <c r="AD87" t="s">
        <v>50</v>
      </c>
      <c r="AE87">
        <v>5</v>
      </c>
      <c r="AF87" t="s">
        <v>51</v>
      </c>
      <c r="AG87">
        <v>1</v>
      </c>
      <c r="AH87">
        <v>700</v>
      </c>
      <c r="AJ87" t="s">
        <v>42</v>
      </c>
      <c r="AK87" t="s">
        <v>42</v>
      </c>
      <c r="AL87" t="s">
        <v>42</v>
      </c>
      <c r="AM87">
        <v>147270</v>
      </c>
      <c r="AN87" t="s">
        <v>52</v>
      </c>
      <c r="AO87">
        <v>2098581</v>
      </c>
    </row>
    <row r="88" spans="1:41" x14ac:dyDescent="0.25">
      <c r="A88" t="s">
        <v>41</v>
      </c>
      <c r="B88" s="1"/>
      <c r="C88" t="s">
        <v>42</v>
      </c>
      <c r="E88" t="s">
        <v>160</v>
      </c>
      <c r="F88" t="s">
        <v>108</v>
      </c>
      <c r="G88">
        <v>20090312</v>
      </c>
      <c r="H88" t="s">
        <v>173</v>
      </c>
      <c r="I88">
        <v>2</v>
      </c>
      <c r="J88" t="s">
        <v>71</v>
      </c>
      <c r="L88">
        <v>4</v>
      </c>
      <c r="M88">
        <v>1785</v>
      </c>
      <c r="N88">
        <v>2120</v>
      </c>
      <c r="P88">
        <v>4791</v>
      </c>
      <c r="Q88">
        <v>1912</v>
      </c>
      <c r="R88">
        <v>1329</v>
      </c>
      <c r="S88">
        <v>1</v>
      </c>
      <c r="T88">
        <v>4196</v>
      </c>
      <c r="U88" t="s">
        <v>156</v>
      </c>
      <c r="V88">
        <v>8</v>
      </c>
      <c r="W88" t="b">
        <v>1</v>
      </c>
      <c r="Y88" t="s">
        <v>42</v>
      </c>
      <c r="Z88" t="s">
        <v>48</v>
      </c>
      <c r="AA88" t="s">
        <v>188</v>
      </c>
      <c r="AB88">
        <v>2</v>
      </c>
      <c r="AC88">
        <v>6</v>
      </c>
      <c r="AD88" t="s">
        <v>189</v>
      </c>
      <c r="AE88">
        <v>5</v>
      </c>
      <c r="AF88" t="s">
        <v>190</v>
      </c>
      <c r="AG88">
        <v>1</v>
      </c>
      <c r="AH88">
        <v>92</v>
      </c>
      <c r="AI88">
        <v>294</v>
      </c>
      <c r="AJ88" t="s">
        <v>42</v>
      </c>
      <c r="AK88" t="s">
        <v>42</v>
      </c>
      <c r="AL88" t="s">
        <v>42</v>
      </c>
      <c r="AN88" t="s">
        <v>210</v>
      </c>
      <c r="AO88">
        <v>2143903</v>
      </c>
    </row>
    <row r="89" spans="1:41" x14ac:dyDescent="0.25">
      <c r="A89" t="s">
        <v>41</v>
      </c>
      <c r="B89" s="1"/>
      <c r="C89" t="s">
        <v>42</v>
      </c>
      <c r="E89" t="s">
        <v>155</v>
      </c>
      <c r="F89" t="s">
        <v>54</v>
      </c>
      <c r="G89">
        <v>20090423</v>
      </c>
      <c r="H89" t="s">
        <v>64</v>
      </c>
      <c r="I89">
        <v>2</v>
      </c>
      <c r="J89" t="s">
        <v>46</v>
      </c>
      <c r="L89">
        <v>4</v>
      </c>
      <c r="M89">
        <v>1770</v>
      </c>
      <c r="N89">
        <v>2080</v>
      </c>
      <c r="P89">
        <v>4791</v>
      </c>
      <c r="Q89">
        <v>1912</v>
      </c>
      <c r="R89">
        <v>1322</v>
      </c>
      <c r="S89">
        <v>1</v>
      </c>
      <c r="T89">
        <v>4196</v>
      </c>
      <c r="U89" t="s">
        <v>156</v>
      </c>
      <c r="V89">
        <v>8</v>
      </c>
      <c r="W89" t="b">
        <v>1</v>
      </c>
      <c r="Y89" t="s">
        <v>42</v>
      </c>
      <c r="Z89" t="s">
        <v>48</v>
      </c>
      <c r="AA89" t="s">
        <v>211</v>
      </c>
      <c r="AB89">
        <v>2</v>
      </c>
      <c r="AC89">
        <v>6</v>
      </c>
      <c r="AD89" t="s">
        <v>175</v>
      </c>
      <c r="AE89">
        <v>5</v>
      </c>
      <c r="AF89" t="s">
        <v>190</v>
      </c>
      <c r="AG89">
        <v>1</v>
      </c>
      <c r="AH89">
        <v>92</v>
      </c>
      <c r="AI89">
        <v>294</v>
      </c>
      <c r="AJ89" t="s">
        <v>42</v>
      </c>
      <c r="AK89" t="s">
        <v>42</v>
      </c>
      <c r="AL89" t="s">
        <v>42</v>
      </c>
      <c r="AN89" t="s">
        <v>212</v>
      </c>
      <c r="AO89">
        <v>2158085</v>
      </c>
    </row>
    <row r="90" spans="1:41" x14ac:dyDescent="0.25">
      <c r="A90" t="s">
        <v>41</v>
      </c>
      <c r="B90" s="1"/>
      <c r="C90" t="s">
        <v>42</v>
      </c>
      <c r="E90" t="s">
        <v>155</v>
      </c>
      <c r="F90" t="s">
        <v>54</v>
      </c>
      <c r="G90">
        <v>20090423</v>
      </c>
      <c r="H90" t="s">
        <v>173</v>
      </c>
      <c r="I90">
        <v>2</v>
      </c>
      <c r="J90" t="s">
        <v>46</v>
      </c>
      <c r="L90">
        <v>4</v>
      </c>
      <c r="M90">
        <v>1770</v>
      </c>
      <c r="N90">
        <v>2080</v>
      </c>
      <c r="P90">
        <v>4791</v>
      </c>
      <c r="Q90">
        <v>1912</v>
      </c>
      <c r="R90">
        <v>1322</v>
      </c>
      <c r="S90">
        <v>1</v>
      </c>
      <c r="T90">
        <v>4196</v>
      </c>
      <c r="U90" t="s">
        <v>156</v>
      </c>
      <c r="V90">
        <v>8</v>
      </c>
      <c r="W90" t="b">
        <v>1</v>
      </c>
      <c r="Y90" t="s">
        <v>42</v>
      </c>
      <c r="Z90" t="s">
        <v>48</v>
      </c>
      <c r="AA90" t="s">
        <v>211</v>
      </c>
      <c r="AB90">
        <v>2</v>
      </c>
      <c r="AC90">
        <v>6</v>
      </c>
      <c r="AD90" t="s">
        <v>175</v>
      </c>
      <c r="AE90">
        <v>5</v>
      </c>
      <c r="AF90" t="s">
        <v>190</v>
      </c>
      <c r="AG90">
        <v>1</v>
      </c>
      <c r="AH90">
        <v>92</v>
      </c>
      <c r="AI90">
        <v>294</v>
      </c>
      <c r="AJ90" t="s">
        <v>42</v>
      </c>
      <c r="AK90" t="s">
        <v>42</v>
      </c>
      <c r="AL90" t="s">
        <v>42</v>
      </c>
      <c r="AN90" t="s">
        <v>213</v>
      </c>
      <c r="AO90">
        <v>2158087</v>
      </c>
    </row>
    <row r="91" spans="1:41" x14ac:dyDescent="0.25">
      <c r="A91" t="s">
        <v>41</v>
      </c>
      <c r="B91" s="1"/>
      <c r="C91" t="s">
        <v>42</v>
      </c>
      <c r="E91" t="s">
        <v>53</v>
      </c>
      <c r="F91" t="s">
        <v>54</v>
      </c>
      <c r="G91">
        <v>20090423</v>
      </c>
      <c r="H91" t="s">
        <v>59</v>
      </c>
      <c r="J91" t="s">
        <v>46</v>
      </c>
      <c r="L91">
        <v>4</v>
      </c>
      <c r="M91">
        <v>1720</v>
      </c>
      <c r="N91">
        <v>2035</v>
      </c>
      <c r="O91">
        <v>2035</v>
      </c>
      <c r="P91">
        <v>4790</v>
      </c>
      <c r="Q91">
        <v>1890</v>
      </c>
      <c r="R91">
        <v>1320</v>
      </c>
      <c r="S91">
        <v>1</v>
      </c>
      <c r="T91">
        <v>4190</v>
      </c>
      <c r="U91" t="s">
        <v>55</v>
      </c>
      <c r="V91">
        <v>8</v>
      </c>
      <c r="Y91" t="s">
        <v>42</v>
      </c>
      <c r="Z91" t="s">
        <v>48</v>
      </c>
      <c r="AA91" t="s">
        <v>180</v>
      </c>
      <c r="AD91" t="s">
        <v>50</v>
      </c>
      <c r="AE91">
        <v>5</v>
      </c>
      <c r="AF91" t="s">
        <v>57</v>
      </c>
      <c r="AG91">
        <v>1</v>
      </c>
      <c r="AH91">
        <v>92</v>
      </c>
      <c r="AI91">
        <v>269</v>
      </c>
      <c r="AJ91" t="s">
        <v>42</v>
      </c>
      <c r="AK91" t="s">
        <v>42</v>
      </c>
      <c r="AL91" t="s">
        <v>42</v>
      </c>
      <c r="AN91" t="s">
        <v>214</v>
      </c>
      <c r="AO91">
        <v>2158088</v>
      </c>
    </row>
    <row r="92" spans="1:41" x14ac:dyDescent="0.25">
      <c r="A92" t="s">
        <v>41</v>
      </c>
      <c r="B92" s="1">
        <v>39974</v>
      </c>
      <c r="C92" t="s">
        <v>42</v>
      </c>
      <c r="D92">
        <v>1</v>
      </c>
      <c r="E92" t="s">
        <v>42</v>
      </c>
      <c r="F92" t="s">
        <v>42</v>
      </c>
      <c r="G92">
        <v>19980717</v>
      </c>
      <c r="H92" t="s">
        <v>59</v>
      </c>
      <c r="I92">
        <v>2</v>
      </c>
      <c r="J92" t="s">
        <v>71</v>
      </c>
      <c r="K92">
        <v>4</v>
      </c>
      <c r="L92">
        <v>4</v>
      </c>
      <c r="M92">
        <v>1845</v>
      </c>
      <c r="N92">
        <v>2100</v>
      </c>
      <c r="O92">
        <v>2100</v>
      </c>
      <c r="P92">
        <v>4760</v>
      </c>
      <c r="Q92">
        <v>1829</v>
      </c>
      <c r="R92">
        <v>1271</v>
      </c>
      <c r="S92">
        <v>1</v>
      </c>
      <c r="T92">
        <v>3996</v>
      </c>
      <c r="U92" t="s">
        <v>42</v>
      </c>
      <c r="V92">
        <v>8</v>
      </c>
      <c r="W92" t="b">
        <v>0</v>
      </c>
      <c r="X92" t="b">
        <v>0</v>
      </c>
      <c r="Y92" t="s">
        <v>42</v>
      </c>
      <c r="Z92" t="s">
        <v>48</v>
      </c>
      <c r="AA92" t="s">
        <v>215</v>
      </c>
      <c r="AB92">
        <v>2</v>
      </c>
      <c r="AD92" t="s">
        <v>94</v>
      </c>
      <c r="AE92">
        <v>5</v>
      </c>
      <c r="AF92" t="s">
        <v>42</v>
      </c>
      <c r="AG92">
        <v>1</v>
      </c>
      <c r="AH92">
        <v>271</v>
      </c>
      <c r="AJ92" t="s">
        <v>42</v>
      </c>
      <c r="AK92" t="s">
        <v>42</v>
      </c>
      <c r="AL92" t="s">
        <v>42</v>
      </c>
      <c r="AM92">
        <v>120933</v>
      </c>
      <c r="AN92" t="s">
        <v>216</v>
      </c>
      <c r="AO92">
        <v>2163905</v>
      </c>
    </row>
    <row r="93" spans="1:41" x14ac:dyDescent="0.25">
      <c r="A93" t="s">
        <v>41</v>
      </c>
      <c r="B93" s="1">
        <v>40127</v>
      </c>
      <c r="C93" t="s">
        <v>42</v>
      </c>
      <c r="D93">
        <v>1</v>
      </c>
      <c r="E93" t="s">
        <v>42</v>
      </c>
      <c r="F93" t="s">
        <v>42</v>
      </c>
      <c r="G93">
        <v>19990531</v>
      </c>
      <c r="H93" t="s">
        <v>217</v>
      </c>
      <c r="I93">
        <v>2</v>
      </c>
      <c r="J93" t="s">
        <v>46</v>
      </c>
      <c r="L93">
        <v>4</v>
      </c>
      <c r="M93">
        <v>1690</v>
      </c>
      <c r="N93">
        <v>2010</v>
      </c>
      <c r="O93">
        <v>2010</v>
      </c>
      <c r="P93">
        <v>4760</v>
      </c>
      <c r="Q93">
        <v>1829</v>
      </c>
      <c r="R93">
        <v>1296</v>
      </c>
      <c r="S93">
        <v>1</v>
      </c>
      <c r="T93">
        <v>3996</v>
      </c>
      <c r="U93" t="s">
        <v>47</v>
      </c>
      <c r="W93" t="b">
        <v>0</v>
      </c>
      <c r="X93" t="b">
        <v>0</v>
      </c>
      <c r="Y93" t="s">
        <v>42</v>
      </c>
      <c r="Z93" t="s">
        <v>48</v>
      </c>
      <c r="AA93" t="s">
        <v>218</v>
      </c>
      <c r="AD93" t="s">
        <v>219</v>
      </c>
      <c r="AE93">
        <v>5</v>
      </c>
      <c r="AF93" t="s">
        <v>115</v>
      </c>
      <c r="AG93">
        <v>1</v>
      </c>
      <c r="AH93">
        <v>790</v>
      </c>
      <c r="AJ93" t="s">
        <v>42</v>
      </c>
      <c r="AK93" t="s">
        <v>42</v>
      </c>
      <c r="AL93" t="s">
        <v>42</v>
      </c>
      <c r="AM93">
        <v>110636</v>
      </c>
      <c r="AN93" t="s">
        <v>52</v>
      </c>
      <c r="AO93">
        <v>2189637</v>
      </c>
    </row>
    <row r="94" spans="1:41" x14ac:dyDescent="0.25">
      <c r="A94" t="s">
        <v>41</v>
      </c>
      <c r="B94" s="1">
        <v>40098</v>
      </c>
      <c r="C94" t="s">
        <v>42</v>
      </c>
      <c r="D94">
        <v>1</v>
      </c>
      <c r="E94" t="s">
        <v>42</v>
      </c>
      <c r="F94" t="s">
        <v>42</v>
      </c>
      <c r="G94">
        <v>19980619</v>
      </c>
      <c r="H94" t="s">
        <v>59</v>
      </c>
      <c r="I94">
        <v>2</v>
      </c>
      <c r="J94" t="s">
        <v>71</v>
      </c>
      <c r="L94">
        <v>4</v>
      </c>
      <c r="M94">
        <v>1845</v>
      </c>
      <c r="N94">
        <v>2102</v>
      </c>
      <c r="O94">
        <v>2102</v>
      </c>
      <c r="P94">
        <v>4760</v>
      </c>
      <c r="Q94">
        <v>1830</v>
      </c>
      <c r="S94">
        <v>1</v>
      </c>
      <c r="T94">
        <v>4000</v>
      </c>
      <c r="U94" t="s">
        <v>42</v>
      </c>
      <c r="V94">
        <v>8</v>
      </c>
      <c r="W94" t="b">
        <v>0</v>
      </c>
      <c r="X94" t="b">
        <v>0</v>
      </c>
      <c r="Y94" t="s">
        <v>42</v>
      </c>
      <c r="Z94" t="s">
        <v>48</v>
      </c>
      <c r="AA94" t="s">
        <v>220</v>
      </c>
      <c r="AB94">
        <v>2</v>
      </c>
      <c r="AD94" t="s">
        <v>50</v>
      </c>
      <c r="AE94">
        <v>5</v>
      </c>
      <c r="AF94" t="s">
        <v>42</v>
      </c>
      <c r="AG94">
        <v>1</v>
      </c>
      <c r="AH94">
        <v>111</v>
      </c>
      <c r="AJ94" t="s">
        <v>42</v>
      </c>
      <c r="AK94" t="s">
        <v>42</v>
      </c>
      <c r="AL94" t="s">
        <v>42</v>
      </c>
      <c r="AM94">
        <v>162015</v>
      </c>
      <c r="AN94" t="s">
        <v>216</v>
      </c>
      <c r="AO94">
        <v>2189712</v>
      </c>
    </row>
    <row r="95" spans="1:41" x14ac:dyDescent="0.25">
      <c r="A95" t="s">
        <v>41</v>
      </c>
      <c r="B95" s="1">
        <v>41022</v>
      </c>
      <c r="C95" t="s">
        <v>42</v>
      </c>
      <c r="D95">
        <v>1</v>
      </c>
      <c r="E95" t="s">
        <v>42</v>
      </c>
      <c r="F95" t="s">
        <v>42</v>
      </c>
      <c r="G95">
        <v>19970000</v>
      </c>
      <c r="H95" t="s">
        <v>59</v>
      </c>
      <c r="I95">
        <v>2</v>
      </c>
      <c r="J95" t="s">
        <v>42</v>
      </c>
      <c r="K95">
        <v>4</v>
      </c>
      <c r="L95">
        <v>4</v>
      </c>
      <c r="M95">
        <v>1778</v>
      </c>
      <c r="O95">
        <v>2102</v>
      </c>
      <c r="P95">
        <v>4760</v>
      </c>
      <c r="Q95">
        <v>1830</v>
      </c>
      <c r="S95">
        <v>1</v>
      </c>
      <c r="T95">
        <v>3990</v>
      </c>
      <c r="U95" t="s">
        <v>42</v>
      </c>
      <c r="V95">
        <v>8</v>
      </c>
      <c r="W95" t="b">
        <v>0</v>
      </c>
      <c r="X95" t="b">
        <v>0</v>
      </c>
      <c r="Y95" t="s">
        <v>42</v>
      </c>
      <c r="Z95" t="s">
        <v>48</v>
      </c>
      <c r="AA95" t="s">
        <v>221</v>
      </c>
      <c r="AB95">
        <v>2</v>
      </c>
      <c r="AD95" t="s">
        <v>94</v>
      </c>
      <c r="AE95">
        <v>5</v>
      </c>
      <c r="AF95" t="s">
        <v>42</v>
      </c>
      <c r="AG95">
        <v>1</v>
      </c>
      <c r="AH95">
        <v>92</v>
      </c>
      <c r="AJ95" t="s">
        <v>42</v>
      </c>
      <c r="AK95" t="s">
        <v>42</v>
      </c>
      <c r="AL95" t="s">
        <v>42</v>
      </c>
      <c r="AM95">
        <v>79067</v>
      </c>
      <c r="AN95" t="s">
        <v>222</v>
      </c>
      <c r="AO95">
        <v>2191738</v>
      </c>
    </row>
    <row r="96" spans="1:41" x14ac:dyDescent="0.25">
      <c r="A96" t="s">
        <v>41</v>
      </c>
      <c r="B96" s="1">
        <v>40102</v>
      </c>
      <c r="C96" t="s">
        <v>42</v>
      </c>
      <c r="D96">
        <v>1</v>
      </c>
      <c r="E96" t="s">
        <v>42</v>
      </c>
      <c r="F96" t="s">
        <v>42</v>
      </c>
      <c r="G96">
        <v>20011205</v>
      </c>
      <c r="H96" t="s">
        <v>59</v>
      </c>
      <c r="I96">
        <v>2</v>
      </c>
      <c r="J96" t="s">
        <v>71</v>
      </c>
      <c r="L96">
        <v>4</v>
      </c>
      <c r="M96">
        <v>1840</v>
      </c>
      <c r="N96">
        <v>2115</v>
      </c>
      <c r="O96">
        <v>2115</v>
      </c>
      <c r="P96">
        <v>4760</v>
      </c>
      <c r="Q96">
        <v>1830</v>
      </c>
      <c r="S96">
        <v>1</v>
      </c>
      <c r="T96">
        <v>3990</v>
      </c>
      <c r="U96" t="s">
        <v>42</v>
      </c>
      <c r="V96">
        <v>8</v>
      </c>
      <c r="W96" t="b">
        <v>0</v>
      </c>
      <c r="X96" t="b">
        <v>0</v>
      </c>
      <c r="Y96" t="s">
        <v>42</v>
      </c>
      <c r="Z96" t="s">
        <v>48</v>
      </c>
      <c r="AA96" t="s">
        <v>223</v>
      </c>
      <c r="AB96">
        <v>2</v>
      </c>
      <c r="AD96" t="s">
        <v>224</v>
      </c>
      <c r="AE96">
        <v>5</v>
      </c>
      <c r="AF96" t="s">
        <v>42</v>
      </c>
      <c r="AG96">
        <v>1</v>
      </c>
      <c r="AH96">
        <v>927</v>
      </c>
      <c r="AJ96" t="s">
        <v>42</v>
      </c>
      <c r="AK96" t="s">
        <v>42</v>
      </c>
      <c r="AL96" t="s">
        <v>42</v>
      </c>
      <c r="AM96">
        <v>94671</v>
      </c>
      <c r="AN96" t="s">
        <v>225</v>
      </c>
      <c r="AO96">
        <v>2192116</v>
      </c>
    </row>
    <row r="97" spans="1:41" x14ac:dyDescent="0.25">
      <c r="A97" t="s">
        <v>41</v>
      </c>
      <c r="B97" s="1">
        <v>40081</v>
      </c>
      <c r="C97" t="s">
        <v>42</v>
      </c>
      <c r="D97">
        <v>1</v>
      </c>
      <c r="E97" t="s">
        <v>42</v>
      </c>
      <c r="F97" t="s">
        <v>42</v>
      </c>
      <c r="G97">
        <v>19990125</v>
      </c>
      <c r="H97" t="s">
        <v>59</v>
      </c>
      <c r="I97">
        <v>2</v>
      </c>
      <c r="J97" t="s">
        <v>71</v>
      </c>
      <c r="K97">
        <v>4</v>
      </c>
      <c r="L97">
        <v>4</v>
      </c>
      <c r="M97">
        <v>1680</v>
      </c>
      <c r="O97">
        <v>2100</v>
      </c>
      <c r="P97">
        <v>4760</v>
      </c>
      <c r="Q97">
        <v>1829</v>
      </c>
      <c r="S97">
        <v>1</v>
      </c>
      <c r="T97">
        <v>3996</v>
      </c>
      <c r="U97" t="s">
        <v>65</v>
      </c>
      <c r="W97" t="b">
        <v>1</v>
      </c>
      <c r="X97" t="b">
        <v>0</v>
      </c>
      <c r="Y97" t="s">
        <v>42</v>
      </c>
      <c r="Z97" t="s">
        <v>48</v>
      </c>
      <c r="AA97" t="s">
        <v>226</v>
      </c>
      <c r="AB97">
        <v>2</v>
      </c>
      <c r="AD97" t="s">
        <v>227</v>
      </c>
      <c r="AE97">
        <v>5</v>
      </c>
      <c r="AF97" t="s">
        <v>67</v>
      </c>
      <c r="AG97">
        <v>1</v>
      </c>
      <c r="AH97">
        <v>49</v>
      </c>
      <c r="AJ97" t="s">
        <v>42</v>
      </c>
      <c r="AK97" t="s">
        <v>42</v>
      </c>
      <c r="AL97" t="s">
        <v>42</v>
      </c>
      <c r="AM97">
        <v>184081</v>
      </c>
      <c r="AN97" t="s">
        <v>68</v>
      </c>
      <c r="AO97">
        <v>2192182</v>
      </c>
    </row>
    <row r="98" spans="1:41" x14ac:dyDescent="0.25">
      <c r="A98" t="s">
        <v>41</v>
      </c>
      <c r="B98" s="1">
        <v>40126</v>
      </c>
      <c r="C98" t="s">
        <v>42</v>
      </c>
      <c r="D98">
        <v>1</v>
      </c>
      <c r="E98" t="s">
        <v>42</v>
      </c>
      <c r="F98" t="s">
        <v>42</v>
      </c>
      <c r="G98">
        <v>20000621</v>
      </c>
      <c r="H98" t="s">
        <v>59</v>
      </c>
      <c r="I98">
        <v>2</v>
      </c>
      <c r="J98" t="s">
        <v>46</v>
      </c>
      <c r="K98">
        <v>1</v>
      </c>
      <c r="L98">
        <v>4</v>
      </c>
      <c r="M98">
        <v>1715</v>
      </c>
      <c r="N98">
        <v>2090</v>
      </c>
      <c r="O98">
        <v>2010</v>
      </c>
      <c r="P98">
        <v>4760</v>
      </c>
      <c r="Q98">
        <v>1829</v>
      </c>
      <c r="R98">
        <v>1296</v>
      </c>
      <c r="S98">
        <v>1</v>
      </c>
      <c r="T98">
        <v>3996</v>
      </c>
      <c r="U98" t="s">
        <v>47</v>
      </c>
      <c r="V98">
        <v>8</v>
      </c>
      <c r="W98" t="b">
        <v>0</v>
      </c>
      <c r="X98" t="b">
        <v>0</v>
      </c>
      <c r="Y98" t="s">
        <v>42</v>
      </c>
      <c r="Z98" t="s">
        <v>48</v>
      </c>
      <c r="AA98" t="s">
        <v>228</v>
      </c>
      <c r="AB98">
        <v>2</v>
      </c>
      <c r="AD98" t="s">
        <v>50</v>
      </c>
      <c r="AE98">
        <v>5</v>
      </c>
      <c r="AF98" t="s">
        <v>82</v>
      </c>
      <c r="AG98">
        <v>1</v>
      </c>
      <c r="AH98">
        <v>507</v>
      </c>
      <c r="AJ98" t="s">
        <v>42</v>
      </c>
      <c r="AK98" t="s">
        <v>42</v>
      </c>
      <c r="AL98" t="s">
        <v>42</v>
      </c>
      <c r="AM98">
        <v>186332</v>
      </c>
      <c r="AN98" t="s">
        <v>229</v>
      </c>
      <c r="AO98">
        <v>2192254</v>
      </c>
    </row>
    <row r="99" spans="1:41" x14ac:dyDescent="0.25">
      <c r="A99" t="s">
        <v>41</v>
      </c>
      <c r="B99" s="1">
        <v>40315</v>
      </c>
      <c r="C99" t="s">
        <v>42</v>
      </c>
      <c r="D99">
        <v>1</v>
      </c>
      <c r="E99" t="s">
        <v>42</v>
      </c>
      <c r="F99" t="s">
        <v>42</v>
      </c>
      <c r="G99">
        <v>19990324</v>
      </c>
      <c r="H99" t="s">
        <v>45</v>
      </c>
      <c r="I99">
        <v>2</v>
      </c>
      <c r="J99" t="s">
        <v>46</v>
      </c>
      <c r="L99">
        <v>4</v>
      </c>
      <c r="M99">
        <v>1725</v>
      </c>
      <c r="N99">
        <v>2010</v>
      </c>
      <c r="O99">
        <v>2010</v>
      </c>
      <c r="P99">
        <v>4780</v>
      </c>
      <c r="Q99">
        <v>1830</v>
      </c>
      <c r="R99">
        <v>1300</v>
      </c>
      <c r="S99">
        <v>1</v>
      </c>
      <c r="T99">
        <v>3995</v>
      </c>
      <c r="U99" t="s">
        <v>230</v>
      </c>
      <c r="W99" t="b">
        <v>1</v>
      </c>
      <c r="X99" t="b">
        <v>0</v>
      </c>
      <c r="Y99" t="s">
        <v>42</v>
      </c>
      <c r="Z99" t="s">
        <v>48</v>
      </c>
      <c r="AA99" t="s">
        <v>231</v>
      </c>
      <c r="AB99">
        <v>2</v>
      </c>
      <c r="AD99" t="s">
        <v>103</v>
      </c>
      <c r="AE99">
        <v>5</v>
      </c>
      <c r="AF99" t="s">
        <v>42</v>
      </c>
      <c r="AG99">
        <v>1</v>
      </c>
      <c r="AH99">
        <v>106</v>
      </c>
      <c r="AJ99" t="s">
        <v>42</v>
      </c>
      <c r="AK99" t="s">
        <v>42</v>
      </c>
      <c r="AL99" t="s">
        <v>42</v>
      </c>
      <c r="AM99">
        <v>293438</v>
      </c>
      <c r="AN99" t="s">
        <v>78</v>
      </c>
      <c r="AO99">
        <v>2213387</v>
      </c>
    </row>
    <row r="100" spans="1:41" x14ac:dyDescent="0.25">
      <c r="A100" t="s">
        <v>41</v>
      </c>
      <c r="B100" s="1">
        <v>40192</v>
      </c>
      <c r="C100" t="s">
        <v>42</v>
      </c>
      <c r="D100">
        <v>1</v>
      </c>
      <c r="E100" t="s">
        <v>42</v>
      </c>
      <c r="F100" t="s">
        <v>42</v>
      </c>
      <c r="G100">
        <v>19980000</v>
      </c>
      <c r="H100" t="s">
        <v>59</v>
      </c>
      <c r="I100">
        <v>2</v>
      </c>
      <c r="J100" t="s">
        <v>71</v>
      </c>
      <c r="L100">
        <v>4</v>
      </c>
      <c r="M100">
        <v>1720</v>
      </c>
      <c r="N100">
        <v>2102</v>
      </c>
      <c r="O100">
        <v>2102</v>
      </c>
      <c r="P100">
        <v>4760</v>
      </c>
      <c r="Q100">
        <v>1830</v>
      </c>
      <c r="S100">
        <v>1</v>
      </c>
      <c r="T100">
        <v>3990</v>
      </c>
      <c r="U100" t="s">
        <v>65</v>
      </c>
      <c r="V100">
        <v>8</v>
      </c>
      <c r="W100" t="b">
        <v>0</v>
      </c>
      <c r="X100" t="b">
        <v>0</v>
      </c>
      <c r="Y100" t="s">
        <v>42</v>
      </c>
      <c r="Z100" t="s">
        <v>48</v>
      </c>
      <c r="AA100" t="s">
        <v>232</v>
      </c>
      <c r="AB100">
        <v>2</v>
      </c>
      <c r="AD100" t="s">
        <v>198</v>
      </c>
      <c r="AE100">
        <v>5</v>
      </c>
      <c r="AF100" t="s">
        <v>42</v>
      </c>
      <c r="AG100">
        <v>1</v>
      </c>
      <c r="AH100">
        <v>224</v>
      </c>
      <c r="AJ100" t="s">
        <v>42</v>
      </c>
      <c r="AK100" t="s">
        <v>42</v>
      </c>
      <c r="AL100" t="s">
        <v>42</v>
      </c>
      <c r="AM100">
        <v>111909</v>
      </c>
      <c r="AN100" t="s">
        <v>216</v>
      </c>
      <c r="AO100">
        <v>2235691</v>
      </c>
    </row>
    <row r="101" spans="1:41" x14ac:dyDescent="0.25">
      <c r="A101" t="s">
        <v>41</v>
      </c>
      <c r="B101" s="1">
        <v>44791</v>
      </c>
      <c r="C101" t="s">
        <v>42</v>
      </c>
      <c r="D101">
        <v>1</v>
      </c>
      <c r="E101" t="s">
        <v>42</v>
      </c>
      <c r="F101" t="s">
        <v>42</v>
      </c>
      <c r="G101">
        <v>19990000</v>
      </c>
      <c r="H101" t="s">
        <v>64</v>
      </c>
      <c r="I101">
        <v>2</v>
      </c>
      <c r="J101" t="s">
        <v>46</v>
      </c>
      <c r="L101">
        <v>4</v>
      </c>
      <c r="M101">
        <v>1682</v>
      </c>
      <c r="N101">
        <v>2009</v>
      </c>
      <c r="O101">
        <v>2009</v>
      </c>
      <c r="P101">
        <v>4760</v>
      </c>
      <c r="Q101">
        <v>1829</v>
      </c>
      <c r="R101">
        <v>1296</v>
      </c>
      <c r="S101">
        <v>1</v>
      </c>
      <c r="T101">
        <v>3996</v>
      </c>
      <c r="U101" t="s">
        <v>233</v>
      </c>
      <c r="V101">
        <v>8</v>
      </c>
      <c r="W101" t="b">
        <v>0</v>
      </c>
      <c r="X101" t="b">
        <v>0</v>
      </c>
      <c r="Y101" t="s">
        <v>42</v>
      </c>
      <c r="Z101" t="s">
        <v>48</v>
      </c>
      <c r="AA101" t="s">
        <v>234</v>
      </c>
      <c r="AB101">
        <v>2</v>
      </c>
      <c r="AC101">
        <v>5</v>
      </c>
      <c r="AD101" t="s">
        <v>94</v>
      </c>
      <c r="AE101">
        <v>5</v>
      </c>
      <c r="AF101" t="s">
        <v>42</v>
      </c>
      <c r="AG101">
        <v>1</v>
      </c>
      <c r="AH101">
        <v>564</v>
      </c>
      <c r="AJ101" t="s">
        <v>42</v>
      </c>
      <c r="AK101" t="s">
        <v>42</v>
      </c>
      <c r="AL101" t="s">
        <v>42</v>
      </c>
      <c r="AM101">
        <v>76783</v>
      </c>
      <c r="AN101" t="s">
        <v>235</v>
      </c>
      <c r="AO101">
        <v>2278798</v>
      </c>
    </row>
    <row r="102" spans="1:41" x14ac:dyDescent="0.25">
      <c r="A102" t="s">
        <v>41</v>
      </c>
      <c r="B102" s="1">
        <v>40281</v>
      </c>
      <c r="C102" t="s">
        <v>42</v>
      </c>
      <c r="D102">
        <v>1</v>
      </c>
      <c r="E102" t="s">
        <v>122</v>
      </c>
      <c r="F102" t="s">
        <v>123</v>
      </c>
      <c r="G102">
        <v>20040503</v>
      </c>
      <c r="H102" t="s">
        <v>64</v>
      </c>
      <c r="I102">
        <v>2</v>
      </c>
      <c r="J102" t="s">
        <v>71</v>
      </c>
      <c r="L102">
        <v>4</v>
      </c>
      <c r="M102">
        <v>1770</v>
      </c>
      <c r="N102">
        <v>2185</v>
      </c>
      <c r="O102">
        <v>2185</v>
      </c>
      <c r="P102">
        <v>4760</v>
      </c>
      <c r="Q102">
        <v>1830</v>
      </c>
      <c r="R102">
        <v>1310</v>
      </c>
      <c r="S102">
        <v>1</v>
      </c>
      <c r="T102">
        <v>4190</v>
      </c>
      <c r="U102" t="s">
        <v>55</v>
      </c>
      <c r="V102">
        <v>8</v>
      </c>
      <c r="W102" t="b">
        <v>0</v>
      </c>
      <c r="X102" t="b">
        <v>0</v>
      </c>
      <c r="Y102" t="s">
        <v>42</v>
      </c>
      <c r="Z102" t="s">
        <v>48</v>
      </c>
      <c r="AA102" t="s">
        <v>236</v>
      </c>
      <c r="AB102">
        <v>2</v>
      </c>
      <c r="AD102" t="s">
        <v>50</v>
      </c>
      <c r="AE102">
        <v>5</v>
      </c>
      <c r="AF102" t="s">
        <v>237</v>
      </c>
      <c r="AG102">
        <v>1</v>
      </c>
      <c r="AH102">
        <v>49</v>
      </c>
      <c r="AI102">
        <v>279</v>
      </c>
      <c r="AJ102" t="s">
        <v>42</v>
      </c>
      <c r="AK102" t="s">
        <v>42</v>
      </c>
      <c r="AL102" t="s">
        <v>42</v>
      </c>
      <c r="AM102">
        <v>95001</v>
      </c>
      <c r="AN102" t="s">
        <v>238</v>
      </c>
      <c r="AO102">
        <v>2282216</v>
      </c>
    </row>
    <row r="103" spans="1:41" x14ac:dyDescent="0.25">
      <c r="A103" t="s">
        <v>41</v>
      </c>
      <c r="B103" s="1">
        <v>40297</v>
      </c>
      <c r="C103" t="s">
        <v>42</v>
      </c>
      <c r="D103">
        <v>1</v>
      </c>
      <c r="E103" t="s">
        <v>42</v>
      </c>
      <c r="F103" t="s">
        <v>42</v>
      </c>
      <c r="G103">
        <v>19990920</v>
      </c>
      <c r="H103" t="s">
        <v>92</v>
      </c>
      <c r="I103">
        <v>2</v>
      </c>
      <c r="J103" t="s">
        <v>46</v>
      </c>
      <c r="L103">
        <v>4</v>
      </c>
      <c r="M103">
        <v>1715</v>
      </c>
      <c r="N103">
        <v>2010</v>
      </c>
      <c r="O103">
        <v>2010</v>
      </c>
      <c r="P103">
        <v>4760</v>
      </c>
      <c r="Q103">
        <v>1830</v>
      </c>
      <c r="R103">
        <v>1300</v>
      </c>
      <c r="S103">
        <v>1</v>
      </c>
      <c r="T103">
        <v>3996</v>
      </c>
      <c r="U103" t="s">
        <v>65</v>
      </c>
      <c r="V103">
        <v>8</v>
      </c>
      <c r="W103" t="b">
        <v>0</v>
      </c>
      <c r="X103" t="b">
        <v>0</v>
      </c>
      <c r="Y103" t="s">
        <v>42</v>
      </c>
      <c r="Z103" t="s">
        <v>48</v>
      </c>
      <c r="AA103" t="s">
        <v>169</v>
      </c>
      <c r="AB103">
        <v>2</v>
      </c>
      <c r="AD103" t="s">
        <v>50</v>
      </c>
      <c r="AE103">
        <v>5</v>
      </c>
      <c r="AF103" t="s">
        <v>85</v>
      </c>
      <c r="AG103">
        <v>1</v>
      </c>
      <c r="AH103">
        <v>109</v>
      </c>
      <c r="AJ103" t="s">
        <v>42</v>
      </c>
      <c r="AK103" t="s">
        <v>42</v>
      </c>
      <c r="AL103" t="s">
        <v>42</v>
      </c>
      <c r="AM103">
        <v>141515</v>
      </c>
      <c r="AN103" t="s">
        <v>78</v>
      </c>
      <c r="AO103">
        <v>2282295</v>
      </c>
    </row>
    <row r="104" spans="1:41" x14ac:dyDescent="0.25">
      <c r="A104" t="s">
        <v>41</v>
      </c>
      <c r="B104" s="1">
        <v>40324</v>
      </c>
      <c r="C104" t="s">
        <v>42</v>
      </c>
      <c r="D104">
        <v>1</v>
      </c>
      <c r="E104" t="s">
        <v>42</v>
      </c>
      <c r="F104" t="s">
        <v>42</v>
      </c>
      <c r="G104">
        <v>19971110</v>
      </c>
      <c r="H104" t="s">
        <v>64</v>
      </c>
      <c r="I104">
        <v>2</v>
      </c>
      <c r="J104" t="s">
        <v>71</v>
      </c>
      <c r="L104">
        <v>4</v>
      </c>
      <c r="M104">
        <v>1780</v>
      </c>
      <c r="N104">
        <v>2100</v>
      </c>
      <c r="O104">
        <v>2100</v>
      </c>
      <c r="Q104">
        <v>1830</v>
      </c>
      <c r="S104">
        <v>1</v>
      </c>
      <c r="T104">
        <v>3996</v>
      </c>
      <c r="U104" t="s">
        <v>47</v>
      </c>
      <c r="W104" t="b">
        <v>0</v>
      </c>
      <c r="X104" t="b">
        <v>0</v>
      </c>
      <c r="Y104" t="s">
        <v>42</v>
      </c>
      <c r="Z104" t="s">
        <v>48</v>
      </c>
      <c r="AA104" t="s">
        <v>239</v>
      </c>
      <c r="AB104">
        <v>2</v>
      </c>
      <c r="AD104" t="s">
        <v>149</v>
      </c>
      <c r="AE104">
        <v>5</v>
      </c>
      <c r="AF104" t="s">
        <v>42</v>
      </c>
      <c r="AG104">
        <v>1</v>
      </c>
      <c r="AH104">
        <v>915</v>
      </c>
      <c r="AJ104" t="s">
        <v>42</v>
      </c>
      <c r="AK104" t="s">
        <v>42</v>
      </c>
      <c r="AL104" t="s">
        <v>42</v>
      </c>
      <c r="AM104">
        <v>82100</v>
      </c>
      <c r="AN104" t="s">
        <v>240</v>
      </c>
      <c r="AO104">
        <v>2295845</v>
      </c>
    </row>
    <row r="105" spans="1:41" x14ac:dyDescent="0.25">
      <c r="A105" t="s">
        <v>41</v>
      </c>
      <c r="B105" s="1">
        <v>40385</v>
      </c>
      <c r="C105" t="s">
        <v>42</v>
      </c>
      <c r="D105">
        <v>1</v>
      </c>
      <c r="E105" t="s">
        <v>107</v>
      </c>
      <c r="F105" t="s">
        <v>108</v>
      </c>
      <c r="G105">
        <v>20060622</v>
      </c>
      <c r="H105" t="s">
        <v>64</v>
      </c>
      <c r="I105">
        <v>2</v>
      </c>
      <c r="J105" t="s">
        <v>71</v>
      </c>
      <c r="L105">
        <v>4</v>
      </c>
      <c r="M105">
        <v>1735</v>
      </c>
      <c r="N105">
        <v>2075</v>
      </c>
      <c r="O105">
        <v>2075</v>
      </c>
      <c r="P105">
        <v>4790</v>
      </c>
      <c r="Q105">
        <v>1890</v>
      </c>
      <c r="R105">
        <v>1330</v>
      </c>
      <c r="S105">
        <v>1</v>
      </c>
      <c r="T105">
        <v>4190</v>
      </c>
      <c r="U105" t="s">
        <v>55</v>
      </c>
      <c r="V105">
        <v>8</v>
      </c>
      <c r="W105" t="b">
        <v>0</v>
      </c>
      <c r="X105" t="b">
        <v>0</v>
      </c>
      <c r="Y105" t="s">
        <v>42</v>
      </c>
      <c r="Z105" t="s">
        <v>48</v>
      </c>
      <c r="AA105" t="s">
        <v>236</v>
      </c>
      <c r="AB105">
        <v>2</v>
      </c>
      <c r="AC105">
        <v>6</v>
      </c>
      <c r="AD105" t="s">
        <v>50</v>
      </c>
      <c r="AE105">
        <v>5</v>
      </c>
      <c r="AF105" t="s">
        <v>106</v>
      </c>
      <c r="AG105">
        <v>1</v>
      </c>
      <c r="AH105">
        <v>91</v>
      </c>
      <c r="AI105">
        <v>269</v>
      </c>
      <c r="AJ105" t="s">
        <v>42</v>
      </c>
      <c r="AK105" t="s">
        <v>42</v>
      </c>
      <c r="AL105" t="s">
        <v>42</v>
      </c>
      <c r="AM105">
        <v>127905</v>
      </c>
      <c r="AN105" t="s">
        <v>241</v>
      </c>
      <c r="AO105">
        <v>2301018</v>
      </c>
    </row>
    <row r="106" spans="1:41" x14ac:dyDescent="0.25">
      <c r="A106" t="s">
        <v>41</v>
      </c>
      <c r="B106" s="1">
        <v>40396</v>
      </c>
      <c r="C106" t="s">
        <v>42</v>
      </c>
      <c r="D106">
        <v>1</v>
      </c>
      <c r="E106" t="s">
        <v>42</v>
      </c>
      <c r="F106" t="s">
        <v>42</v>
      </c>
      <c r="G106">
        <v>19990701</v>
      </c>
      <c r="H106" t="s">
        <v>102</v>
      </c>
      <c r="I106">
        <v>2</v>
      </c>
      <c r="J106" t="s">
        <v>71</v>
      </c>
      <c r="L106">
        <v>4</v>
      </c>
      <c r="M106">
        <v>1780</v>
      </c>
      <c r="N106">
        <v>2100</v>
      </c>
      <c r="O106">
        <v>2100</v>
      </c>
      <c r="P106">
        <v>4760</v>
      </c>
      <c r="Q106">
        <v>1830</v>
      </c>
      <c r="S106">
        <v>1</v>
      </c>
      <c r="T106">
        <v>3990</v>
      </c>
      <c r="U106" t="s">
        <v>47</v>
      </c>
      <c r="W106" t="b">
        <v>0</v>
      </c>
      <c r="X106" t="b">
        <v>0</v>
      </c>
      <c r="Y106" t="s">
        <v>42</v>
      </c>
      <c r="Z106" t="s">
        <v>48</v>
      </c>
      <c r="AA106" t="s">
        <v>242</v>
      </c>
      <c r="AB106">
        <v>2</v>
      </c>
      <c r="AD106" t="s">
        <v>206</v>
      </c>
      <c r="AE106">
        <v>5</v>
      </c>
      <c r="AF106" t="s">
        <v>42</v>
      </c>
      <c r="AG106">
        <v>1</v>
      </c>
      <c r="AH106">
        <v>853</v>
      </c>
      <c r="AJ106" t="s">
        <v>42</v>
      </c>
      <c r="AK106" t="s">
        <v>42</v>
      </c>
      <c r="AL106" t="s">
        <v>42</v>
      </c>
      <c r="AM106">
        <v>93358</v>
      </c>
      <c r="AN106" t="s">
        <v>243</v>
      </c>
      <c r="AO106">
        <v>2304342</v>
      </c>
    </row>
    <row r="107" spans="1:41" x14ac:dyDescent="0.25">
      <c r="A107" t="s">
        <v>41</v>
      </c>
      <c r="B107" s="1">
        <v>40303</v>
      </c>
      <c r="C107" t="s">
        <v>42</v>
      </c>
      <c r="D107">
        <v>1</v>
      </c>
      <c r="E107" t="s">
        <v>155</v>
      </c>
      <c r="F107" t="s">
        <v>54</v>
      </c>
      <c r="G107">
        <v>20080516</v>
      </c>
      <c r="H107" t="s">
        <v>64</v>
      </c>
      <c r="I107">
        <v>2</v>
      </c>
      <c r="J107" t="s">
        <v>46</v>
      </c>
      <c r="L107">
        <v>4</v>
      </c>
      <c r="M107">
        <v>1770</v>
      </c>
      <c r="N107">
        <v>2080</v>
      </c>
      <c r="O107">
        <v>2080</v>
      </c>
      <c r="P107">
        <v>4791</v>
      </c>
      <c r="Q107">
        <v>1893</v>
      </c>
      <c r="R107">
        <v>1322</v>
      </c>
      <c r="S107">
        <v>1</v>
      </c>
      <c r="T107">
        <v>4196</v>
      </c>
      <c r="U107" t="s">
        <v>156</v>
      </c>
      <c r="V107">
        <v>8</v>
      </c>
      <c r="W107" t="b">
        <v>1</v>
      </c>
      <c r="X107" t="b">
        <v>0</v>
      </c>
      <c r="Y107" t="s">
        <v>42</v>
      </c>
      <c r="Z107" t="s">
        <v>48</v>
      </c>
      <c r="AA107" t="s">
        <v>211</v>
      </c>
      <c r="AB107">
        <v>2</v>
      </c>
      <c r="AD107" t="s">
        <v>175</v>
      </c>
      <c r="AE107">
        <v>5</v>
      </c>
      <c r="AF107" t="s">
        <v>244</v>
      </c>
      <c r="AG107">
        <v>1</v>
      </c>
      <c r="AH107">
        <v>186</v>
      </c>
      <c r="AI107">
        <v>294</v>
      </c>
      <c r="AJ107" t="s">
        <v>42</v>
      </c>
      <c r="AK107" t="s">
        <v>42</v>
      </c>
      <c r="AL107" t="s">
        <v>42</v>
      </c>
      <c r="AM107">
        <v>63210</v>
      </c>
      <c r="AN107" t="s">
        <v>245</v>
      </c>
      <c r="AO107">
        <v>2308012</v>
      </c>
    </row>
    <row r="108" spans="1:41" x14ac:dyDescent="0.25">
      <c r="A108" t="s">
        <v>41</v>
      </c>
      <c r="B108" s="1">
        <v>40371</v>
      </c>
      <c r="C108" t="s">
        <v>42</v>
      </c>
      <c r="D108">
        <v>1</v>
      </c>
      <c r="E108" t="s">
        <v>42</v>
      </c>
      <c r="F108" t="s">
        <v>42</v>
      </c>
      <c r="G108">
        <v>19980520</v>
      </c>
      <c r="H108" t="s">
        <v>45</v>
      </c>
      <c r="I108">
        <v>2</v>
      </c>
      <c r="J108" t="s">
        <v>46</v>
      </c>
      <c r="L108">
        <v>4</v>
      </c>
      <c r="M108">
        <v>1715</v>
      </c>
      <c r="N108">
        <v>2010</v>
      </c>
      <c r="O108">
        <v>2010</v>
      </c>
      <c r="P108">
        <v>4760</v>
      </c>
      <c r="Q108">
        <v>1830</v>
      </c>
      <c r="S108">
        <v>1</v>
      </c>
      <c r="T108">
        <v>3996</v>
      </c>
      <c r="U108" t="s">
        <v>65</v>
      </c>
      <c r="V108">
        <v>8</v>
      </c>
      <c r="W108" t="b">
        <v>1</v>
      </c>
      <c r="X108" t="b">
        <v>0</v>
      </c>
      <c r="Y108" t="s">
        <v>42</v>
      </c>
      <c r="Z108" t="s">
        <v>48</v>
      </c>
      <c r="AA108" t="s">
        <v>246</v>
      </c>
      <c r="AB108">
        <v>2</v>
      </c>
      <c r="AD108" t="s">
        <v>165</v>
      </c>
      <c r="AE108">
        <v>5</v>
      </c>
      <c r="AF108" t="s">
        <v>247</v>
      </c>
      <c r="AG108">
        <v>1</v>
      </c>
      <c r="AH108">
        <v>790</v>
      </c>
      <c r="AJ108" t="s">
        <v>42</v>
      </c>
      <c r="AK108" t="s">
        <v>42</v>
      </c>
      <c r="AL108" t="s">
        <v>42</v>
      </c>
      <c r="AM108">
        <v>185097</v>
      </c>
      <c r="AN108" t="s">
        <v>78</v>
      </c>
      <c r="AO108">
        <v>2310534</v>
      </c>
    </row>
    <row r="109" spans="1:41" x14ac:dyDescent="0.25">
      <c r="A109" t="s">
        <v>41</v>
      </c>
      <c r="B109" s="1">
        <v>40333</v>
      </c>
      <c r="C109" t="s">
        <v>42</v>
      </c>
      <c r="D109">
        <v>1</v>
      </c>
      <c r="E109" t="s">
        <v>90</v>
      </c>
      <c r="F109" t="s">
        <v>91</v>
      </c>
      <c r="G109">
        <v>20020426</v>
      </c>
      <c r="H109" t="s">
        <v>59</v>
      </c>
      <c r="I109">
        <v>2</v>
      </c>
      <c r="J109" t="s">
        <v>46</v>
      </c>
      <c r="L109">
        <v>4</v>
      </c>
      <c r="M109">
        <v>1690</v>
      </c>
      <c r="N109">
        <v>2010</v>
      </c>
      <c r="O109">
        <v>2010</v>
      </c>
      <c r="P109">
        <v>4760</v>
      </c>
      <c r="Q109">
        <v>1830</v>
      </c>
      <c r="R109">
        <v>1300</v>
      </c>
      <c r="S109">
        <v>1</v>
      </c>
      <c r="T109">
        <v>3990</v>
      </c>
      <c r="U109" t="s">
        <v>47</v>
      </c>
      <c r="V109">
        <v>8</v>
      </c>
      <c r="W109" t="b">
        <v>0</v>
      </c>
      <c r="X109" t="b">
        <v>0</v>
      </c>
      <c r="Y109" t="s">
        <v>42</v>
      </c>
      <c r="Z109" t="s">
        <v>48</v>
      </c>
      <c r="AA109" t="s">
        <v>209</v>
      </c>
      <c r="AB109">
        <v>2</v>
      </c>
      <c r="AD109" t="s">
        <v>50</v>
      </c>
      <c r="AE109">
        <v>5</v>
      </c>
      <c r="AF109" t="s">
        <v>95</v>
      </c>
      <c r="AG109">
        <v>1</v>
      </c>
      <c r="AH109">
        <v>91</v>
      </c>
      <c r="AI109">
        <v>281</v>
      </c>
      <c r="AJ109" t="s">
        <v>42</v>
      </c>
      <c r="AK109" t="s">
        <v>42</v>
      </c>
      <c r="AL109" t="s">
        <v>42</v>
      </c>
      <c r="AM109">
        <v>148198</v>
      </c>
      <c r="AN109" t="s">
        <v>248</v>
      </c>
      <c r="AO109">
        <v>2321043</v>
      </c>
    </row>
    <row r="110" spans="1:41" x14ac:dyDescent="0.25">
      <c r="A110" t="s">
        <v>41</v>
      </c>
      <c r="B110" s="1">
        <v>40353</v>
      </c>
      <c r="C110" t="s">
        <v>42</v>
      </c>
      <c r="D110">
        <v>1</v>
      </c>
      <c r="E110" t="s">
        <v>249</v>
      </c>
      <c r="F110" t="s">
        <v>108</v>
      </c>
      <c r="G110">
        <v>20100624</v>
      </c>
      <c r="H110" t="s">
        <v>173</v>
      </c>
      <c r="I110">
        <v>2</v>
      </c>
      <c r="J110" t="s">
        <v>71</v>
      </c>
      <c r="L110">
        <v>4</v>
      </c>
      <c r="M110">
        <v>1734</v>
      </c>
      <c r="N110">
        <v>2120</v>
      </c>
      <c r="P110">
        <v>4784</v>
      </c>
      <c r="Q110">
        <v>1912</v>
      </c>
      <c r="R110">
        <v>1329</v>
      </c>
      <c r="S110">
        <v>1</v>
      </c>
      <c r="T110">
        <v>5000</v>
      </c>
      <c r="U110" t="s">
        <v>250</v>
      </c>
      <c r="V110">
        <v>8</v>
      </c>
      <c r="W110" t="b">
        <v>0</v>
      </c>
      <c r="Y110" t="s">
        <v>42</v>
      </c>
      <c r="Z110" t="s">
        <v>48</v>
      </c>
      <c r="AA110" t="s">
        <v>251</v>
      </c>
      <c r="AB110">
        <v>2</v>
      </c>
      <c r="AC110">
        <v>6</v>
      </c>
      <c r="AD110" t="s">
        <v>252</v>
      </c>
      <c r="AE110">
        <v>5</v>
      </c>
      <c r="AF110" t="s">
        <v>253</v>
      </c>
      <c r="AG110">
        <v>1</v>
      </c>
      <c r="AH110">
        <v>49</v>
      </c>
      <c r="AI110">
        <v>264</v>
      </c>
      <c r="AJ110" t="s">
        <v>42</v>
      </c>
      <c r="AK110" t="s">
        <v>42</v>
      </c>
      <c r="AL110" t="s">
        <v>42</v>
      </c>
      <c r="AM110">
        <v>73511</v>
      </c>
      <c r="AN110" t="s">
        <v>254</v>
      </c>
      <c r="AO110">
        <v>2327372</v>
      </c>
    </row>
    <row r="111" spans="1:41" x14ac:dyDescent="0.25">
      <c r="A111" t="s">
        <v>41</v>
      </c>
      <c r="B111" s="1">
        <v>40423</v>
      </c>
      <c r="C111" t="s">
        <v>42</v>
      </c>
      <c r="D111">
        <v>1</v>
      </c>
      <c r="E111" t="s">
        <v>42</v>
      </c>
      <c r="F111" t="s">
        <v>42</v>
      </c>
      <c r="G111">
        <v>20010000</v>
      </c>
      <c r="H111" t="s">
        <v>64</v>
      </c>
      <c r="I111">
        <v>2</v>
      </c>
      <c r="J111" t="s">
        <v>71</v>
      </c>
      <c r="K111">
        <v>1</v>
      </c>
      <c r="L111">
        <v>4</v>
      </c>
      <c r="M111">
        <v>1705</v>
      </c>
      <c r="N111">
        <v>2100</v>
      </c>
      <c r="O111">
        <v>2100</v>
      </c>
      <c r="P111">
        <v>4760</v>
      </c>
      <c r="Q111">
        <v>1829</v>
      </c>
      <c r="S111">
        <v>1</v>
      </c>
      <c r="T111">
        <v>3996</v>
      </c>
      <c r="U111" t="s">
        <v>42</v>
      </c>
      <c r="V111">
        <v>8</v>
      </c>
      <c r="W111" t="b">
        <v>0</v>
      </c>
      <c r="X111" t="b">
        <v>0</v>
      </c>
      <c r="Y111" t="s">
        <v>42</v>
      </c>
      <c r="Z111" t="s">
        <v>48</v>
      </c>
      <c r="AA111" t="s">
        <v>255</v>
      </c>
      <c r="AB111">
        <v>2</v>
      </c>
      <c r="AD111" t="s">
        <v>50</v>
      </c>
      <c r="AE111">
        <v>5</v>
      </c>
      <c r="AF111" t="s">
        <v>42</v>
      </c>
      <c r="AG111">
        <v>1</v>
      </c>
      <c r="AH111">
        <v>91</v>
      </c>
      <c r="AJ111" t="s">
        <v>42</v>
      </c>
      <c r="AK111" t="s">
        <v>42</v>
      </c>
      <c r="AL111" t="s">
        <v>42</v>
      </c>
      <c r="AM111">
        <v>64366</v>
      </c>
      <c r="AN111" t="s">
        <v>256</v>
      </c>
      <c r="AO111">
        <v>2348282</v>
      </c>
    </row>
    <row r="112" spans="1:41" x14ac:dyDescent="0.25">
      <c r="A112" t="s">
        <v>41</v>
      </c>
      <c r="B112" s="1">
        <v>40388</v>
      </c>
      <c r="C112" t="s">
        <v>42</v>
      </c>
      <c r="D112">
        <v>1</v>
      </c>
      <c r="E112" t="s">
        <v>42</v>
      </c>
      <c r="F112" t="s">
        <v>42</v>
      </c>
      <c r="G112">
        <v>19990701</v>
      </c>
      <c r="H112" t="s">
        <v>92</v>
      </c>
      <c r="I112">
        <v>2</v>
      </c>
      <c r="J112" t="s">
        <v>71</v>
      </c>
      <c r="L112">
        <v>4</v>
      </c>
      <c r="M112">
        <v>1780</v>
      </c>
      <c r="N112">
        <v>2100</v>
      </c>
      <c r="O112">
        <v>2100</v>
      </c>
      <c r="P112">
        <v>4760</v>
      </c>
      <c r="Q112">
        <v>1829</v>
      </c>
      <c r="R112">
        <v>1306</v>
      </c>
      <c r="S112">
        <v>1</v>
      </c>
      <c r="T112">
        <v>3996</v>
      </c>
      <c r="U112" t="s">
        <v>47</v>
      </c>
      <c r="W112" t="b">
        <v>0</v>
      </c>
      <c r="X112" t="b">
        <v>0</v>
      </c>
      <c r="Y112" t="s">
        <v>42</v>
      </c>
      <c r="Z112" t="s">
        <v>48</v>
      </c>
      <c r="AA112" t="s">
        <v>257</v>
      </c>
      <c r="AD112" t="s">
        <v>258</v>
      </c>
      <c r="AE112">
        <v>5</v>
      </c>
      <c r="AF112" t="s">
        <v>42</v>
      </c>
      <c r="AG112">
        <v>1</v>
      </c>
      <c r="AH112">
        <v>91</v>
      </c>
      <c r="AJ112" t="s">
        <v>42</v>
      </c>
      <c r="AK112" t="s">
        <v>42</v>
      </c>
      <c r="AL112" t="s">
        <v>42</v>
      </c>
      <c r="AM112">
        <v>107974</v>
      </c>
      <c r="AN112" t="s">
        <v>259</v>
      </c>
      <c r="AO112">
        <v>2353263</v>
      </c>
    </row>
    <row r="113" spans="1:41" x14ac:dyDescent="0.25">
      <c r="A113" t="s">
        <v>41</v>
      </c>
      <c r="B113" s="1">
        <v>40490</v>
      </c>
      <c r="C113" t="s">
        <v>42</v>
      </c>
      <c r="D113">
        <v>1</v>
      </c>
      <c r="E113" t="s">
        <v>151</v>
      </c>
      <c r="F113" t="s">
        <v>152</v>
      </c>
      <c r="G113">
        <v>20020524</v>
      </c>
      <c r="H113" t="s">
        <v>102</v>
      </c>
      <c r="I113">
        <v>2</v>
      </c>
      <c r="J113" t="s">
        <v>46</v>
      </c>
      <c r="L113">
        <v>4</v>
      </c>
      <c r="M113">
        <v>1690</v>
      </c>
      <c r="N113">
        <v>2010</v>
      </c>
      <c r="O113">
        <v>2010</v>
      </c>
      <c r="P113">
        <v>4760</v>
      </c>
      <c r="Q113">
        <v>1830</v>
      </c>
      <c r="R113">
        <v>1300</v>
      </c>
      <c r="S113">
        <v>1</v>
      </c>
      <c r="T113">
        <v>3990</v>
      </c>
      <c r="U113" t="s">
        <v>65</v>
      </c>
      <c r="V113">
        <v>8</v>
      </c>
      <c r="W113" t="b">
        <v>0</v>
      </c>
      <c r="X113" t="b">
        <v>0</v>
      </c>
      <c r="Y113" t="s">
        <v>42</v>
      </c>
      <c r="Z113" t="s">
        <v>48</v>
      </c>
      <c r="AA113" t="s">
        <v>260</v>
      </c>
      <c r="AB113">
        <v>2</v>
      </c>
      <c r="AD113" t="s">
        <v>165</v>
      </c>
      <c r="AE113">
        <v>5</v>
      </c>
      <c r="AF113" t="s">
        <v>95</v>
      </c>
      <c r="AG113">
        <v>1</v>
      </c>
      <c r="AH113">
        <v>49</v>
      </c>
      <c r="AI113">
        <v>301</v>
      </c>
      <c r="AJ113" t="s">
        <v>42</v>
      </c>
      <c r="AK113" t="s">
        <v>42</v>
      </c>
      <c r="AL113" t="s">
        <v>42</v>
      </c>
      <c r="AM113">
        <v>74469</v>
      </c>
      <c r="AN113" t="s">
        <v>261</v>
      </c>
      <c r="AO113">
        <v>2354513</v>
      </c>
    </row>
    <row r="114" spans="1:41" x14ac:dyDescent="0.25">
      <c r="A114" t="s">
        <v>41</v>
      </c>
      <c r="B114" s="1">
        <v>40470</v>
      </c>
      <c r="C114" t="s">
        <v>42</v>
      </c>
      <c r="D114">
        <v>1</v>
      </c>
      <c r="E114" t="s">
        <v>42</v>
      </c>
      <c r="F114" t="s">
        <v>42</v>
      </c>
      <c r="G114">
        <v>19990709</v>
      </c>
      <c r="H114" t="s">
        <v>45</v>
      </c>
      <c r="I114">
        <v>2</v>
      </c>
      <c r="J114" t="s">
        <v>71</v>
      </c>
      <c r="L114">
        <v>4</v>
      </c>
      <c r="M114">
        <v>1845</v>
      </c>
      <c r="N114">
        <v>2100</v>
      </c>
      <c r="O114">
        <v>2100</v>
      </c>
      <c r="P114">
        <v>4760</v>
      </c>
      <c r="Q114">
        <v>1830</v>
      </c>
      <c r="S114">
        <v>1</v>
      </c>
      <c r="T114">
        <v>3990</v>
      </c>
      <c r="U114" t="s">
        <v>65</v>
      </c>
      <c r="V114">
        <v>8</v>
      </c>
      <c r="W114" t="b">
        <v>1</v>
      </c>
      <c r="X114" t="b">
        <v>0</v>
      </c>
      <c r="Y114" t="s">
        <v>42</v>
      </c>
      <c r="Z114" t="s">
        <v>48</v>
      </c>
      <c r="AA114" t="s">
        <v>262</v>
      </c>
      <c r="AD114" t="s">
        <v>50</v>
      </c>
      <c r="AE114">
        <v>5</v>
      </c>
      <c r="AF114" t="s">
        <v>42</v>
      </c>
      <c r="AG114">
        <v>1</v>
      </c>
      <c r="AH114">
        <v>91</v>
      </c>
      <c r="AI114">
        <v>305</v>
      </c>
      <c r="AJ114" t="s">
        <v>42</v>
      </c>
      <c r="AK114" t="s">
        <v>42</v>
      </c>
      <c r="AL114" t="s">
        <v>42</v>
      </c>
      <c r="AM114">
        <v>166090</v>
      </c>
      <c r="AN114" t="s">
        <v>68</v>
      </c>
      <c r="AO114">
        <v>2378320</v>
      </c>
    </row>
    <row r="115" spans="1:41" x14ac:dyDescent="0.25">
      <c r="A115" t="s">
        <v>41</v>
      </c>
      <c r="B115" s="1">
        <v>40522</v>
      </c>
      <c r="C115" t="s">
        <v>42</v>
      </c>
      <c r="D115">
        <v>1</v>
      </c>
      <c r="E115" t="s">
        <v>42</v>
      </c>
      <c r="F115" t="s">
        <v>42</v>
      </c>
      <c r="G115">
        <v>20010301</v>
      </c>
      <c r="H115" t="s">
        <v>84</v>
      </c>
      <c r="I115">
        <v>2</v>
      </c>
      <c r="J115" t="s">
        <v>71</v>
      </c>
      <c r="K115">
        <v>1</v>
      </c>
      <c r="L115">
        <v>2</v>
      </c>
      <c r="M115">
        <v>1810</v>
      </c>
      <c r="N115">
        <v>2100</v>
      </c>
      <c r="O115">
        <v>2100</v>
      </c>
      <c r="P115">
        <v>4760</v>
      </c>
      <c r="Q115">
        <v>1830</v>
      </c>
      <c r="R115">
        <v>1310</v>
      </c>
      <c r="S115">
        <v>1</v>
      </c>
      <c r="T115">
        <v>3996</v>
      </c>
      <c r="U115" t="s">
        <v>47</v>
      </c>
      <c r="V115">
        <v>8</v>
      </c>
      <c r="W115" t="b">
        <v>0</v>
      </c>
      <c r="X115" t="b">
        <v>0</v>
      </c>
      <c r="Y115" t="s">
        <v>42</v>
      </c>
      <c r="Z115" t="s">
        <v>48</v>
      </c>
      <c r="AA115" t="s">
        <v>215</v>
      </c>
      <c r="AB115">
        <v>2</v>
      </c>
      <c r="AD115" t="s">
        <v>94</v>
      </c>
      <c r="AE115">
        <v>5</v>
      </c>
      <c r="AF115" t="s">
        <v>42</v>
      </c>
      <c r="AG115">
        <v>1</v>
      </c>
      <c r="AH115">
        <v>257</v>
      </c>
      <c r="AJ115" t="s">
        <v>42</v>
      </c>
      <c r="AK115" t="s">
        <v>42</v>
      </c>
      <c r="AL115" t="s">
        <v>42</v>
      </c>
      <c r="AM115">
        <v>51264</v>
      </c>
      <c r="AN115" t="s">
        <v>263</v>
      </c>
      <c r="AO115">
        <v>2384361</v>
      </c>
    </row>
    <row r="116" spans="1:41" x14ac:dyDescent="0.25">
      <c r="A116" t="s">
        <v>41</v>
      </c>
      <c r="B116" s="1">
        <v>40534</v>
      </c>
      <c r="C116" t="s">
        <v>42</v>
      </c>
      <c r="D116">
        <v>1</v>
      </c>
      <c r="E116" t="s">
        <v>42</v>
      </c>
      <c r="F116" t="s">
        <v>42</v>
      </c>
      <c r="G116">
        <v>20010000</v>
      </c>
      <c r="H116" t="s">
        <v>92</v>
      </c>
      <c r="I116">
        <v>2</v>
      </c>
      <c r="J116" t="s">
        <v>71</v>
      </c>
      <c r="L116">
        <v>4</v>
      </c>
      <c r="M116">
        <v>1870</v>
      </c>
      <c r="N116">
        <v>2100</v>
      </c>
      <c r="O116">
        <v>2100</v>
      </c>
      <c r="P116">
        <v>4760</v>
      </c>
      <c r="Q116">
        <v>1830</v>
      </c>
      <c r="R116">
        <v>1310</v>
      </c>
      <c r="S116">
        <v>1</v>
      </c>
      <c r="T116">
        <v>3990</v>
      </c>
      <c r="U116" t="s">
        <v>264</v>
      </c>
      <c r="V116">
        <v>8</v>
      </c>
      <c r="W116" t="b">
        <v>0</v>
      </c>
      <c r="X116" t="b">
        <v>0</v>
      </c>
      <c r="Y116" t="s">
        <v>42</v>
      </c>
      <c r="Z116" t="s">
        <v>48</v>
      </c>
      <c r="AA116" t="s">
        <v>265</v>
      </c>
      <c r="AB116">
        <v>2</v>
      </c>
      <c r="AC116">
        <v>5</v>
      </c>
      <c r="AD116" t="s">
        <v>266</v>
      </c>
      <c r="AE116">
        <v>5</v>
      </c>
      <c r="AF116" t="s">
        <v>42</v>
      </c>
      <c r="AG116">
        <v>1</v>
      </c>
      <c r="AH116">
        <v>91</v>
      </c>
      <c r="AJ116" t="s">
        <v>42</v>
      </c>
      <c r="AK116" t="s">
        <v>42</v>
      </c>
      <c r="AL116" t="s">
        <v>42</v>
      </c>
      <c r="AM116">
        <v>83658</v>
      </c>
      <c r="AN116" t="s">
        <v>267</v>
      </c>
      <c r="AO116">
        <v>2394027</v>
      </c>
    </row>
    <row r="117" spans="1:41" x14ac:dyDescent="0.25">
      <c r="A117" t="s">
        <v>41</v>
      </c>
      <c r="B117" s="1">
        <v>40659</v>
      </c>
      <c r="C117" t="s">
        <v>42</v>
      </c>
      <c r="D117">
        <v>1</v>
      </c>
      <c r="E117" t="s">
        <v>42</v>
      </c>
      <c r="F117" t="s">
        <v>42</v>
      </c>
      <c r="G117">
        <v>19970101</v>
      </c>
      <c r="H117" t="s">
        <v>92</v>
      </c>
      <c r="I117">
        <v>2</v>
      </c>
      <c r="J117" t="s">
        <v>71</v>
      </c>
      <c r="K117">
        <v>4</v>
      </c>
      <c r="L117">
        <v>4</v>
      </c>
      <c r="M117">
        <v>1760</v>
      </c>
      <c r="N117">
        <v>2100</v>
      </c>
      <c r="O117">
        <v>2100</v>
      </c>
      <c r="P117">
        <v>4760</v>
      </c>
      <c r="Q117">
        <v>1829</v>
      </c>
      <c r="R117">
        <v>1306</v>
      </c>
      <c r="S117">
        <v>1</v>
      </c>
      <c r="T117">
        <v>3994</v>
      </c>
      <c r="U117" t="s">
        <v>47</v>
      </c>
      <c r="V117">
        <v>8</v>
      </c>
      <c r="W117" t="b">
        <v>0</v>
      </c>
      <c r="X117" t="b">
        <v>0</v>
      </c>
      <c r="Y117" t="s">
        <v>42</v>
      </c>
      <c r="Z117" t="s">
        <v>48</v>
      </c>
      <c r="AA117" t="s">
        <v>145</v>
      </c>
      <c r="AB117">
        <v>2</v>
      </c>
      <c r="AC117">
        <v>4</v>
      </c>
      <c r="AD117" t="s">
        <v>94</v>
      </c>
      <c r="AE117">
        <v>5</v>
      </c>
      <c r="AF117" t="s">
        <v>42</v>
      </c>
      <c r="AG117">
        <v>1</v>
      </c>
      <c r="AH117">
        <v>143</v>
      </c>
      <c r="AJ117" t="s">
        <v>42</v>
      </c>
      <c r="AK117" t="s">
        <v>42</v>
      </c>
      <c r="AL117" t="s">
        <v>42</v>
      </c>
      <c r="AM117">
        <v>95741</v>
      </c>
      <c r="AN117" t="s">
        <v>268</v>
      </c>
      <c r="AO117">
        <v>2402120</v>
      </c>
    </row>
    <row r="118" spans="1:41" x14ac:dyDescent="0.25">
      <c r="A118" t="s">
        <v>41</v>
      </c>
      <c r="B118" s="1">
        <v>40631</v>
      </c>
      <c r="C118" t="s">
        <v>42</v>
      </c>
      <c r="D118">
        <v>1</v>
      </c>
      <c r="E118" t="s">
        <v>42</v>
      </c>
      <c r="F118" t="s">
        <v>42</v>
      </c>
      <c r="G118">
        <v>19980319</v>
      </c>
      <c r="H118" t="s">
        <v>45</v>
      </c>
      <c r="I118">
        <v>2</v>
      </c>
      <c r="J118" t="s">
        <v>42</v>
      </c>
      <c r="K118">
        <v>4</v>
      </c>
      <c r="L118">
        <v>4</v>
      </c>
      <c r="M118">
        <v>1810</v>
      </c>
      <c r="O118">
        <v>2100</v>
      </c>
      <c r="P118">
        <v>4760</v>
      </c>
      <c r="Q118">
        <v>2590</v>
      </c>
      <c r="S118">
        <v>1</v>
      </c>
      <c r="T118">
        <v>4000</v>
      </c>
      <c r="U118" t="s">
        <v>42</v>
      </c>
      <c r="V118">
        <v>8</v>
      </c>
      <c r="W118" t="b">
        <v>0</v>
      </c>
      <c r="X118" t="b">
        <v>0</v>
      </c>
      <c r="Y118" t="s">
        <v>42</v>
      </c>
      <c r="Z118" t="s">
        <v>48</v>
      </c>
      <c r="AA118" t="s">
        <v>269</v>
      </c>
      <c r="AD118" t="s">
        <v>270</v>
      </c>
      <c r="AE118">
        <v>5</v>
      </c>
      <c r="AF118" t="s">
        <v>42</v>
      </c>
      <c r="AG118">
        <v>1</v>
      </c>
      <c r="AH118">
        <v>98</v>
      </c>
      <c r="AJ118" t="s">
        <v>42</v>
      </c>
      <c r="AK118" t="s">
        <v>42</v>
      </c>
      <c r="AL118" t="s">
        <v>42</v>
      </c>
      <c r="AM118">
        <v>131117</v>
      </c>
      <c r="AN118" t="s">
        <v>271</v>
      </c>
      <c r="AO118">
        <v>2453986</v>
      </c>
    </row>
    <row r="119" spans="1:41" x14ac:dyDescent="0.25">
      <c r="A119" t="s">
        <v>41</v>
      </c>
      <c r="B119" s="1">
        <v>40647</v>
      </c>
      <c r="C119" t="s">
        <v>42</v>
      </c>
      <c r="D119">
        <v>1</v>
      </c>
      <c r="E119" t="s">
        <v>42</v>
      </c>
      <c r="F119" t="s">
        <v>42</v>
      </c>
      <c r="G119">
        <v>19980701</v>
      </c>
      <c r="H119" t="s">
        <v>64</v>
      </c>
      <c r="I119">
        <v>2</v>
      </c>
      <c r="J119" t="s">
        <v>71</v>
      </c>
      <c r="L119">
        <v>4</v>
      </c>
      <c r="M119">
        <v>1720</v>
      </c>
      <c r="N119">
        <v>2100</v>
      </c>
      <c r="O119">
        <v>2100</v>
      </c>
      <c r="P119">
        <v>4760</v>
      </c>
      <c r="Q119">
        <v>1830</v>
      </c>
      <c r="S119">
        <v>1</v>
      </c>
      <c r="T119">
        <v>3990</v>
      </c>
      <c r="U119" t="s">
        <v>47</v>
      </c>
      <c r="V119">
        <v>8</v>
      </c>
      <c r="W119" t="b">
        <v>0</v>
      </c>
      <c r="X119" t="b">
        <v>0</v>
      </c>
      <c r="Y119" t="s">
        <v>42</v>
      </c>
      <c r="Z119" t="s">
        <v>48</v>
      </c>
      <c r="AA119" t="s">
        <v>272</v>
      </c>
      <c r="AB119">
        <v>2</v>
      </c>
      <c r="AD119" t="s">
        <v>50</v>
      </c>
      <c r="AE119">
        <v>5</v>
      </c>
      <c r="AF119" t="s">
        <v>42</v>
      </c>
      <c r="AG119">
        <v>1</v>
      </c>
      <c r="AH119">
        <v>49</v>
      </c>
      <c r="AJ119" t="s">
        <v>42</v>
      </c>
      <c r="AK119" t="s">
        <v>42</v>
      </c>
      <c r="AL119" t="s">
        <v>42</v>
      </c>
      <c r="AM119">
        <v>113618</v>
      </c>
      <c r="AN119" t="s">
        <v>216</v>
      </c>
      <c r="AO119">
        <v>2469255</v>
      </c>
    </row>
    <row r="120" spans="1:41" x14ac:dyDescent="0.25">
      <c r="A120" t="s">
        <v>41</v>
      </c>
      <c r="B120" s="1">
        <v>40662</v>
      </c>
      <c r="C120" t="s">
        <v>42</v>
      </c>
      <c r="D120">
        <v>1</v>
      </c>
      <c r="E120" t="s">
        <v>122</v>
      </c>
      <c r="F120" t="s">
        <v>123</v>
      </c>
      <c r="G120">
        <v>20021107</v>
      </c>
      <c r="H120" t="s">
        <v>59</v>
      </c>
      <c r="I120">
        <v>2</v>
      </c>
      <c r="J120" t="s">
        <v>71</v>
      </c>
      <c r="L120">
        <v>4</v>
      </c>
      <c r="M120">
        <v>1770</v>
      </c>
      <c r="N120">
        <v>2185</v>
      </c>
      <c r="O120">
        <v>2185</v>
      </c>
      <c r="P120">
        <v>4760</v>
      </c>
      <c r="Q120">
        <v>1830</v>
      </c>
      <c r="R120">
        <v>1310</v>
      </c>
      <c r="S120">
        <v>1</v>
      </c>
      <c r="T120">
        <v>4190</v>
      </c>
      <c r="U120" t="s">
        <v>273</v>
      </c>
      <c r="V120">
        <v>8</v>
      </c>
      <c r="W120" t="b">
        <v>0</v>
      </c>
      <c r="X120" t="b">
        <v>0</v>
      </c>
      <c r="Y120" t="s">
        <v>42</v>
      </c>
      <c r="Z120" t="s">
        <v>48</v>
      </c>
      <c r="AA120" t="s">
        <v>236</v>
      </c>
      <c r="AB120">
        <v>2</v>
      </c>
      <c r="AD120" t="s">
        <v>50</v>
      </c>
      <c r="AE120">
        <v>5</v>
      </c>
      <c r="AF120" t="s">
        <v>74</v>
      </c>
      <c r="AG120">
        <v>1</v>
      </c>
      <c r="AH120">
        <v>837</v>
      </c>
      <c r="AI120">
        <v>279</v>
      </c>
      <c r="AJ120" t="s">
        <v>42</v>
      </c>
      <c r="AK120" t="s">
        <v>42</v>
      </c>
      <c r="AL120" t="s">
        <v>42</v>
      </c>
      <c r="AM120">
        <v>222721</v>
      </c>
      <c r="AN120" t="s">
        <v>274</v>
      </c>
      <c r="AO120">
        <v>2476262</v>
      </c>
    </row>
    <row r="121" spans="1:41" x14ac:dyDescent="0.25">
      <c r="A121" t="s">
        <v>41</v>
      </c>
      <c r="B121" s="1">
        <v>40653</v>
      </c>
      <c r="C121" t="s">
        <v>42</v>
      </c>
      <c r="D121">
        <v>1</v>
      </c>
      <c r="E121" t="s">
        <v>160</v>
      </c>
      <c r="F121" t="s">
        <v>108</v>
      </c>
      <c r="G121">
        <v>20061130</v>
      </c>
      <c r="H121" t="s">
        <v>64</v>
      </c>
      <c r="I121">
        <v>2</v>
      </c>
      <c r="J121" t="s">
        <v>71</v>
      </c>
      <c r="L121">
        <v>4</v>
      </c>
      <c r="M121">
        <v>1785</v>
      </c>
      <c r="N121">
        <v>2120</v>
      </c>
      <c r="O121">
        <v>2120</v>
      </c>
      <c r="P121">
        <v>4790</v>
      </c>
      <c r="Q121">
        <v>1890</v>
      </c>
      <c r="R121">
        <v>1330</v>
      </c>
      <c r="S121">
        <v>1</v>
      </c>
      <c r="T121">
        <v>4190</v>
      </c>
      <c r="U121" t="s">
        <v>156</v>
      </c>
      <c r="V121">
        <v>8</v>
      </c>
      <c r="W121" t="b">
        <v>1</v>
      </c>
      <c r="X121" t="b">
        <v>0</v>
      </c>
      <c r="Y121" t="s">
        <v>42</v>
      </c>
      <c r="Z121" t="s">
        <v>48</v>
      </c>
      <c r="AA121" t="s">
        <v>236</v>
      </c>
      <c r="AB121">
        <v>2</v>
      </c>
      <c r="AD121" t="s">
        <v>50</v>
      </c>
      <c r="AE121">
        <v>5</v>
      </c>
      <c r="AF121" t="s">
        <v>57</v>
      </c>
      <c r="AG121">
        <v>1</v>
      </c>
      <c r="AH121">
        <v>91</v>
      </c>
      <c r="AI121">
        <v>294</v>
      </c>
      <c r="AJ121" t="s">
        <v>42</v>
      </c>
      <c r="AK121" t="s">
        <v>42</v>
      </c>
      <c r="AL121" t="s">
        <v>42</v>
      </c>
      <c r="AM121">
        <v>81879</v>
      </c>
      <c r="AN121" t="s">
        <v>275</v>
      </c>
      <c r="AO121">
        <v>2489110</v>
      </c>
    </row>
    <row r="122" spans="1:41" x14ac:dyDescent="0.25">
      <c r="A122" t="s">
        <v>41</v>
      </c>
      <c r="B122" s="1">
        <v>40689</v>
      </c>
      <c r="C122" t="s">
        <v>42</v>
      </c>
      <c r="D122">
        <v>1</v>
      </c>
      <c r="E122" t="s">
        <v>42</v>
      </c>
      <c r="F122" t="s">
        <v>42</v>
      </c>
      <c r="G122">
        <v>19990826</v>
      </c>
      <c r="H122" t="s">
        <v>84</v>
      </c>
      <c r="I122">
        <v>2</v>
      </c>
      <c r="J122" t="s">
        <v>71</v>
      </c>
      <c r="L122">
        <v>4</v>
      </c>
      <c r="M122">
        <v>1810</v>
      </c>
      <c r="N122">
        <v>2100</v>
      </c>
      <c r="O122">
        <v>2100</v>
      </c>
      <c r="P122">
        <v>4760</v>
      </c>
      <c r="Q122">
        <v>1830</v>
      </c>
      <c r="S122">
        <v>1</v>
      </c>
      <c r="T122">
        <v>3990</v>
      </c>
      <c r="U122" t="s">
        <v>47</v>
      </c>
      <c r="V122">
        <v>8</v>
      </c>
      <c r="W122" t="b">
        <v>0</v>
      </c>
      <c r="X122" t="b">
        <v>0</v>
      </c>
      <c r="Y122" t="s">
        <v>42</v>
      </c>
      <c r="Z122" t="s">
        <v>48</v>
      </c>
      <c r="AA122" t="s">
        <v>201</v>
      </c>
      <c r="AB122">
        <v>2</v>
      </c>
      <c r="AD122" t="s">
        <v>94</v>
      </c>
      <c r="AE122">
        <v>5</v>
      </c>
      <c r="AF122" t="s">
        <v>67</v>
      </c>
      <c r="AG122">
        <v>1</v>
      </c>
      <c r="AH122">
        <v>92</v>
      </c>
      <c r="AJ122" t="s">
        <v>42</v>
      </c>
      <c r="AK122" t="s">
        <v>42</v>
      </c>
      <c r="AL122" t="s">
        <v>42</v>
      </c>
      <c r="AM122">
        <v>79989</v>
      </c>
      <c r="AN122" t="s">
        <v>61</v>
      </c>
      <c r="AO122">
        <v>2489995</v>
      </c>
    </row>
    <row r="123" spans="1:41" x14ac:dyDescent="0.25">
      <c r="A123" t="s">
        <v>41</v>
      </c>
      <c r="B123" s="1">
        <v>40772</v>
      </c>
      <c r="C123" t="s">
        <v>42</v>
      </c>
      <c r="D123">
        <v>1</v>
      </c>
      <c r="E123" t="s">
        <v>42</v>
      </c>
      <c r="F123" t="s">
        <v>42</v>
      </c>
      <c r="G123">
        <v>19981015</v>
      </c>
      <c r="H123" t="s">
        <v>45</v>
      </c>
      <c r="I123">
        <v>2</v>
      </c>
      <c r="J123" t="s">
        <v>71</v>
      </c>
      <c r="L123">
        <v>4</v>
      </c>
      <c r="M123">
        <v>1825</v>
      </c>
      <c r="N123">
        <v>2100</v>
      </c>
      <c r="O123">
        <v>2100</v>
      </c>
      <c r="P123">
        <v>4760</v>
      </c>
      <c r="Q123">
        <v>1829</v>
      </c>
      <c r="R123">
        <v>1276</v>
      </c>
      <c r="S123">
        <v>1</v>
      </c>
      <c r="T123">
        <v>3996</v>
      </c>
      <c r="U123" t="s">
        <v>65</v>
      </c>
      <c r="V123">
        <v>8</v>
      </c>
      <c r="W123" t="b">
        <v>0</v>
      </c>
      <c r="X123" t="b">
        <v>0</v>
      </c>
      <c r="Y123" t="s">
        <v>42</v>
      </c>
      <c r="Z123" t="s">
        <v>48</v>
      </c>
      <c r="AA123" t="s">
        <v>276</v>
      </c>
      <c r="AB123">
        <v>2</v>
      </c>
      <c r="AC123">
        <v>6</v>
      </c>
      <c r="AD123" t="s">
        <v>50</v>
      </c>
      <c r="AE123">
        <v>5</v>
      </c>
      <c r="AF123" t="s">
        <v>42</v>
      </c>
      <c r="AG123">
        <v>1</v>
      </c>
      <c r="AH123">
        <v>853</v>
      </c>
      <c r="AJ123" t="s">
        <v>42</v>
      </c>
      <c r="AK123" t="s">
        <v>42</v>
      </c>
      <c r="AL123" t="s">
        <v>42</v>
      </c>
      <c r="AM123">
        <v>203369</v>
      </c>
      <c r="AN123" t="s">
        <v>68</v>
      </c>
      <c r="AO123">
        <v>2505460</v>
      </c>
    </row>
    <row r="124" spans="1:41" x14ac:dyDescent="0.25">
      <c r="A124" t="s">
        <v>41</v>
      </c>
      <c r="B124" s="1">
        <v>40777</v>
      </c>
      <c r="C124" t="s">
        <v>42</v>
      </c>
      <c r="D124">
        <v>1</v>
      </c>
      <c r="E124" t="s">
        <v>42</v>
      </c>
      <c r="F124" t="s">
        <v>42</v>
      </c>
      <c r="G124">
        <v>19990101</v>
      </c>
      <c r="H124" t="s">
        <v>64</v>
      </c>
      <c r="I124">
        <v>2</v>
      </c>
      <c r="J124" t="s">
        <v>71</v>
      </c>
      <c r="L124">
        <v>4</v>
      </c>
      <c r="M124">
        <v>1690</v>
      </c>
      <c r="N124">
        <v>2010</v>
      </c>
      <c r="O124">
        <v>2010</v>
      </c>
      <c r="P124">
        <v>4760</v>
      </c>
      <c r="Q124">
        <v>1830</v>
      </c>
      <c r="S124">
        <v>1</v>
      </c>
      <c r="T124">
        <v>3996</v>
      </c>
      <c r="U124" t="s">
        <v>47</v>
      </c>
      <c r="W124" t="b">
        <v>0</v>
      </c>
      <c r="X124" t="b">
        <v>0</v>
      </c>
      <c r="Y124" t="s">
        <v>42</v>
      </c>
      <c r="Z124" t="s">
        <v>48</v>
      </c>
      <c r="AA124" t="s">
        <v>215</v>
      </c>
      <c r="AB124">
        <v>2</v>
      </c>
      <c r="AD124" t="s">
        <v>94</v>
      </c>
      <c r="AE124">
        <v>5</v>
      </c>
      <c r="AF124" t="s">
        <v>42</v>
      </c>
      <c r="AG124">
        <v>1</v>
      </c>
      <c r="AH124">
        <v>423</v>
      </c>
      <c r="AJ124" t="s">
        <v>42</v>
      </c>
      <c r="AK124" t="s">
        <v>42</v>
      </c>
      <c r="AL124" t="s">
        <v>42</v>
      </c>
      <c r="AM124">
        <v>163488</v>
      </c>
      <c r="AN124" t="s">
        <v>243</v>
      </c>
      <c r="AO124">
        <v>2515753</v>
      </c>
    </row>
    <row r="125" spans="1:41" x14ac:dyDescent="0.25">
      <c r="A125" t="s">
        <v>41</v>
      </c>
      <c r="B125" s="1">
        <v>40801</v>
      </c>
      <c r="C125" t="s">
        <v>42</v>
      </c>
      <c r="D125">
        <v>1</v>
      </c>
      <c r="E125" t="s">
        <v>42</v>
      </c>
      <c r="F125" t="s">
        <v>42</v>
      </c>
      <c r="G125">
        <v>19980223</v>
      </c>
      <c r="H125" t="s">
        <v>173</v>
      </c>
      <c r="I125">
        <v>2</v>
      </c>
      <c r="J125" t="s">
        <v>71</v>
      </c>
      <c r="L125">
        <v>4</v>
      </c>
      <c r="M125">
        <v>1795</v>
      </c>
      <c r="N125">
        <v>2100</v>
      </c>
      <c r="O125">
        <v>2100</v>
      </c>
      <c r="P125">
        <v>4760</v>
      </c>
      <c r="Q125">
        <v>1830</v>
      </c>
      <c r="S125">
        <v>1</v>
      </c>
      <c r="T125">
        <v>3990</v>
      </c>
      <c r="U125" t="s">
        <v>47</v>
      </c>
      <c r="V125">
        <v>8</v>
      </c>
      <c r="W125" t="b">
        <v>0</v>
      </c>
      <c r="X125" t="b">
        <v>0</v>
      </c>
      <c r="Y125" t="s">
        <v>42</v>
      </c>
      <c r="Z125" t="s">
        <v>48</v>
      </c>
      <c r="AA125" t="s">
        <v>201</v>
      </c>
      <c r="AB125">
        <v>2</v>
      </c>
      <c r="AD125" t="s">
        <v>94</v>
      </c>
      <c r="AE125">
        <v>5</v>
      </c>
      <c r="AF125" t="s">
        <v>42</v>
      </c>
      <c r="AG125">
        <v>1</v>
      </c>
      <c r="AH125">
        <v>915</v>
      </c>
      <c r="AJ125" t="s">
        <v>42</v>
      </c>
      <c r="AK125" t="s">
        <v>42</v>
      </c>
      <c r="AL125" t="s">
        <v>42</v>
      </c>
      <c r="AM125">
        <v>129747</v>
      </c>
      <c r="AN125" t="s">
        <v>216</v>
      </c>
      <c r="AO125">
        <v>2521265</v>
      </c>
    </row>
    <row r="126" spans="1:41" x14ac:dyDescent="0.25">
      <c r="A126" t="s">
        <v>41</v>
      </c>
      <c r="B126" s="1">
        <v>40807</v>
      </c>
      <c r="C126" t="s">
        <v>42</v>
      </c>
      <c r="D126">
        <v>1</v>
      </c>
      <c r="E126" t="s">
        <v>42</v>
      </c>
      <c r="F126" t="s">
        <v>42</v>
      </c>
      <c r="G126">
        <v>19970630</v>
      </c>
      <c r="H126" t="s">
        <v>59</v>
      </c>
      <c r="I126">
        <v>2</v>
      </c>
      <c r="J126" t="s">
        <v>71</v>
      </c>
      <c r="L126">
        <v>4</v>
      </c>
      <c r="M126">
        <v>1720</v>
      </c>
      <c r="N126">
        <v>2100</v>
      </c>
      <c r="O126">
        <v>2100</v>
      </c>
      <c r="P126">
        <v>4760</v>
      </c>
      <c r="Q126">
        <v>1830</v>
      </c>
      <c r="S126">
        <v>1</v>
      </c>
      <c r="T126">
        <v>3990</v>
      </c>
      <c r="U126" t="s">
        <v>47</v>
      </c>
      <c r="V126">
        <v>8</v>
      </c>
      <c r="W126" t="b">
        <v>0</v>
      </c>
      <c r="X126" t="b">
        <v>0</v>
      </c>
      <c r="Y126" t="s">
        <v>42</v>
      </c>
      <c r="Z126" t="s">
        <v>48</v>
      </c>
      <c r="AA126" t="s">
        <v>201</v>
      </c>
      <c r="AB126">
        <v>2</v>
      </c>
      <c r="AD126" t="s">
        <v>94</v>
      </c>
      <c r="AE126">
        <v>5</v>
      </c>
      <c r="AF126" t="s">
        <v>42</v>
      </c>
      <c r="AG126">
        <v>1</v>
      </c>
      <c r="AH126">
        <v>398</v>
      </c>
      <c r="AJ126" t="s">
        <v>42</v>
      </c>
      <c r="AK126" t="s">
        <v>42</v>
      </c>
      <c r="AL126" t="s">
        <v>42</v>
      </c>
      <c r="AM126">
        <v>149694</v>
      </c>
      <c r="AN126" t="s">
        <v>87</v>
      </c>
      <c r="AO126">
        <v>2522809</v>
      </c>
    </row>
    <row r="127" spans="1:41" x14ac:dyDescent="0.25">
      <c r="A127" t="s">
        <v>41</v>
      </c>
      <c r="B127" s="1">
        <v>40873</v>
      </c>
      <c r="C127" t="s">
        <v>42</v>
      </c>
      <c r="D127">
        <v>1</v>
      </c>
      <c r="E127" t="s">
        <v>42</v>
      </c>
      <c r="F127" t="s">
        <v>42</v>
      </c>
      <c r="G127">
        <v>20040000</v>
      </c>
      <c r="H127" t="s">
        <v>59</v>
      </c>
      <c r="I127">
        <v>2</v>
      </c>
      <c r="J127" t="s">
        <v>71</v>
      </c>
      <c r="K127">
        <v>4</v>
      </c>
      <c r="L127">
        <v>4</v>
      </c>
      <c r="M127">
        <v>1760</v>
      </c>
      <c r="N127">
        <v>2174</v>
      </c>
      <c r="O127">
        <v>2174</v>
      </c>
      <c r="P127">
        <v>4780</v>
      </c>
      <c r="Q127">
        <v>1830</v>
      </c>
      <c r="R127">
        <v>1300</v>
      </c>
      <c r="S127">
        <v>1</v>
      </c>
      <c r="T127">
        <v>4190</v>
      </c>
      <c r="U127" t="s">
        <v>42</v>
      </c>
      <c r="V127">
        <v>8</v>
      </c>
      <c r="W127" t="b">
        <v>0</v>
      </c>
      <c r="X127" t="b">
        <v>0</v>
      </c>
      <c r="Y127" t="s">
        <v>42</v>
      </c>
      <c r="Z127" t="s">
        <v>48</v>
      </c>
      <c r="AA127" t="s">
        <v>236</v>
      </c>
      <c r="AB127">
        <v>2</v>
      </c>
      <c r="AD127" t="s">
        <v>50</v>
      </c>
      <c r="AE127">
        <v>5</v>
      </c>
      <c r="AF127" t="s">
        <v>42</v>
      </c>
      <c r="AG127">
        <v>1</v>
      </c>
      <c r="AH127">
        <v>167</v>
      </c>
      <c r="AJ127" t="s">
        <v>42</v>
      </c>
      <c r="AK127" t="s">
        <v>42</v>
      </c>
      <c r="AL127" t="s">
        <v>42</v>
      </c>
      <c r="AM127">
        <v>65310</v>
      </c>
      <c r="AN127" t="s">
        <v>277</v>
      </c>
      <c r="AO127">
        <v>2525146</v>
      </c>
    </row>
    <row r="128" spans="1:41" x14ac:dyDescent="0.25">
      <c r="A128" t="s">
        <v>41</v>
      </c>
      <c r="B128" s="1">
        <v>40787</v>
      </c>
      <c r="C128" t="s">
        <v>42</v>
      </c>
      <c r="D128">
        <v>1</v>
      </c>
      <c r="E128" t="s">
        <v>42</v>
      </c>
      <c r="F128" t="s">
        <v>42</v>
      </c>
      <c r="G128">
        <v>19980922</v>
      </c>
      <c r="H128" t="s">
        <v>64</v>
      </c>
      <c r="I128">
        <v>2</v>
      </c>
      <c r="J128" t="s">
        <v>71</v>
      </c>
      <c r="L128">
        <v>4</v>
      </c>
      <c r="M128">
        <v>1820</v>
      </c>
      <c r="N128">
        <v>2100</v>
      </c>
      <c r="O128">
        <v>2100</v>
      </c>
      <c r="P128">
        <v>4760</v>
      </c>
      <c r="Q128">
        <v>1830</v>
      </c>
      <c r="S128">
        <v>1</v>
      </c>
      <c r="T128">
        <v>3990</v>
      </c>
      <c r="U128" t="s">
        <v>47</v>
      </c>
      <c r="V128">
        <v>8</v>
      </c>
      <c r="W128" t="b">
        <v>0</v>
      </c>
      <c r="X128" t="b">
        <v>0</v>
      </c>
      <c r="Y128" t="s">
        <v>42</v>
      </c>
      <c r="Z128" t="s">
        <v>48</v>
      </c>
      <c r="AA128" t="s">
        <v>201</v>
      </c>
      <c r="AB128">
        <v>2</v>
      </c>
      <c r="AD128" t="s">
        <v>94</v>
      </c>
      <c r="AE128">
        <v>5</v>
      </c>
      <c r="AF128" t="s">
        <v>42</v>
      </c>
      <c r="AG128">
        <v>1</v>
      </c>
      <c r="AH128">
        <v>49</v>
      </c>
      <c r="AJ128" t="s">
        <v>42</v>
      </c>
      <c r="AK128" t="s">
        <v>42</v>
      </c>
      <c r="AL128" t="s">
        <v>42</v>
      </c>
      <c r="AM128">
        <v>137658</v>
      </c>
      <c r="AN128" t="s">
        <v>278</v>
      </c>
      <c r="AO128">
        <v>2533258</v>
      </c>
    </row>
    <row r="129" spans="1:41" x14ac:dyDescent="0.25">
      <c r="A129" t="s">
        <v>41</v>
      </c>
      <c r="B129" s="1">
        <v>40737</v>
      </c>
      <c r="C129" t="s">
        <v>42</v>
      </c>
      <c r="D129">
        <v>1</v>
      </c>
      <c r="E129" t="s">
        <v>53</v>
      </c>
      <c r="F129" t="s">
        <v>54</v>
      </c>
      <c r="G129">
        <v>20060628</v>
      </c>
      <c r="H129" t="s">
        <v>42</v>
      </c>
      <c r="I129">
        <v>2</v>
      </c>
      <c r="J129" t="s">
        <v>46</v>
      </c>
      <c r="L129">
        <v>4</v>
      </c>
      <c r="M129">
        <v>1720</v>
      </c>
      <c r="N129">
        <v>2035</v>
      </c>
      <c r="O129">
        <v>2035</v>
      </c>
      <c r="P129">
        <v>4790</v>
      </c>
      <c r="Q129">
        <v>1890</v>
      </c>
      <c r="R129">
        <v>1320</v>
      </c>
      <c r="S129">
        <v>1</v>
      </c>
      <c r="T129">
        <v>4190</v>
      </c>
      <c r="U129" t="s">
        <v>55</v>
      </c>
      <c r="V129">
        <v>8</v>
      </c>
      <c r="W129" t="b">
        <v>0</v>
      </c>
      <c r="X129" t="b">
        <v>0</v>
      </c>
      <c r="Y129" t="s">
        <v>42</v>
      </c>
      <c r="Z129" t="s">
        <v>48</v>
      </c>
      <c r="AA129" t="s">
        <v>279</v>
      </c>
      <c r="AD129" t="s">
        <v>50</v>
      </c>
      <c r="AE129">
        <v>5</v>
      </c>
      <c r="AF129" t="s">
        <v>106</v>
      </c>
      <c r="AG129">
        <v>1</v>
      </c>
      <c r="AH129">
        <v>91</v>
      </c>
      <c r="AI129">
        <v>269</v>
      </c>
      <c r="AJ129" t="s">
        <v>42</v>
      </c>
      <c r="AK129" t="s">
        <v>42</v>
      </c>
      <c r="AL129" t="s">
        <v>42</v>
      </c>
      <c r="AM129">
        <v>187813</v>
      </c>
      <c r="AN129" t="s">
        <v>280</v>
      </c>
      <c r="AO129">
        <v>2533914</v>
      </c>
    </row>
    <row r="130" spans="1:41" x14ac:dyDescent="0.25">
      <c r="A130" t="s">
        <v>41</v>
      </c>
      <c r="B130" s="1">
        <v>40780</v>
      </c>
      <c r="C130" t="s">
        <v>42</v>
      </c>
      <c r="D130">
        <v>1</v>
      </c>
      <c r="E130" t="s">
        <v>42</v>
      </c>
      <c r="F130" t="s">
        <v>42</v>
      </c>
      <c r="G130">
        <v>19980000</v>
      </c>
      <c r="H130" t="s">
        <v>92</v>
      </c>
      <c r="I130">
        <v>2</v>
      </c>
      <c r="J130" t="s">
        <v>71</v>
      </c>
      <c r="K130">
        <v>4</v>
      </c>
      <c r="L130">
        <v>4</v>
      </c>
      <c r="M130">
        <v>1780</v>
      </c>
      <c r="N130">
        <v>2100</v>
      </c>
      <c r="O130">
        <v>2100</v>
      </c>
      <c r="P130">
        <v>4760</v>
      </c>
      <c r="Q130">
        <v>1829</v>
      </c>
      <c r="S130">
        <v>1</v>
      </c>
      <c r="T130">
        <v>3996</v>
      </c>
      <c r="U130" t="s">
        <v>47</v>
      </c>
      <c r="V130">
        <v>8</v>
      </c>
      <c r="W130" t="b">
        <v>0</v>
      </c>
      <c r="X130" t="b">
        <v>0</v>
      </c>
      <c r="Y130" t="s">
        <v>42</v>
      </c>
      <c r="Z130" t="s">
        <v>48</v>
      </c>
      <c r="AA130" t="s">
        <v>205</v>
      </c>
      <c r="AB130">
        <v>2</v>
      </c>
      <c r="AD130" t="s">
        <v>206</v>
      </c>
      <c r="AE130">
        <v>5</v>
      </c>
      <c r="AF130" t="s">
        <v>42</v>
      </c>
      <c r="AG130">
        <v>1</v>
      </c>
      <c r="AH130">
        <v>609</v>
      </c>
      <c r="AJ130" t="s">
        <v>42</v>
      </c>
      <c r="AK130" t="s">
        <v>42</v>
      </c>
      <c r="AL130" t="s">
        <v>42</v>
      </c>
      <c r="AM130">
        <v>79931</v>
      </c>
      <c r="AN130" t="s">
        <v>216</v>
      </c>
      <c r="AO130">
        <v>2533996</v>
      </c>
    </row>
    <row r="131" spans="1:41" x14ac:dyDescent="0.25">
      <c r="A131" t="s">
        <v>41</v>
      </c>
      <c r="B131" s="1">
        <v>41376</v>
      </c>
      <c r="C131" t="s">
        <v>42</v>
      </c>
      <c r="D131">
        <v>1</v>
      </c>
      <c r="E131" t="s">
        <v>42</v>
      </c>
      <c r="F131" t="s">
        <v>42</v>
      </c>
      <c r="G131">
        <v>20000101</v>
      </c>
      <c r="H131" t="s">
        <v>217</v>
      </c>
      <c r="I131">
        <v>2</v>
      </c>
      <c r="J131" t="s">
        <v>71</v>
      </c>
      <c r="L131">
        <v>4</v>
      </c>
      <c r="M131">
        <v>1780</v>
      </c>
      <c r="N131">
        <v>2100</v>
      </c>
      <c r="O131">
        <v>2100</v>
      </c>
      <c r="P131">
        <v>4760</v>
      </c>
      <c r="Q131">
        <v>1830</v>
      </c>
      <c r="R131">
        <v>1310</v>
      </c>
      <c r="S131">
        <v>1</v>
      </c>
      <c r="T131">
        <v>3996</v>
      </c>
      <c r="U131" t="s">
        <v>47</v>
      </c>
      <c r="V131">
        <v>8</v>
      </c>
      <c r="W131" t="b">
        <v>0</v>
      </c>
      <c r="X131" t="b">
        <v>0</v>
      </c>
      <c r="Y131" t="s">
        <v>42</v>
      </c>
      <c r="Z131" t="s">
        <v>48</v>
      </c>
      <c r="AA131" t="s">
        <v>255</v>
      </c>
      <c r="AB131">
        <v>2</v>
      </c>
      <c r="AD131" t="s">
        <v>50</v>
      </c>
      <c r="AE131">
        <v>5</v>
      </c>
      <c r="AF131" t="s">
        <v>42</v>
      </c>
      <c r="AG131">
        <v>1</v>
      </c>
      <c r="AH131">
        <v>91</v>
      </c>
      <c r="AJ131" t="s">
        <v>42</v>
      </c>
      <c r="AK131" t="s">
        <v>42</v>
      </c>
      <c r="AL131" t="s">
        <v>42</v>
      </c>
      <c r="AM131">
        <v>88820</v>
      </c>
      <c r="AN131" t="s">
        <v>281</v>
      </c>
      <c r="AO131">
        <v>2540915</v>
      </c>
    </row>
    <row r="132" spans="1:41" x14ac:dyDescent="0.25">
      <c r="A132" t="s">
        <v>41</v>
      </c>
      <c r="B132" s="1">
        <v>40785</v>
      </c>
      <c r="C132" t="s">
        <v>42</v>
      </c>
      <c r="D132">
        <v>1</v>
      </c>
      <c r="E132" t="s">
        <v>62</v>
      </c>
      <c r="F132" t="s">
        <v>100</v>
      </c>
      <c r="G132">
        <v>20000607</v>
      </c>
      <c r="H132" t="s">
        <v>84</v>
      </c>
      <c r="I132">
        <v>2</v>
      </c>
      <c r="J132" t="s">
        <v>46</v>
      </c>
      <c r="L132">
        <v>4</v>
      </c>
      <c r="M132">
        <v>1720</v>
      </c>
      <c r="N132">
        <v>2010</v>
      </c>
      <c r="O132">
        <v>2010</v>
      </c>
      <c r="P132">
        <v>4760</v>
      </c>
      <c r="Q132">
        <v>1830</v>
      </c>
      <c r="R132">
        <v>1300</v>
      </c>
      <c r="S132">
        <v>1</v>
      </c>
      <c r="T132">
        <v>3996</v>
      </c>
      <c r="U132" t="s">
        <v>47</v>
      </c>
      <c r="V132">
        <v>8</v>
      </c>
      <c r="W132" t="b">
        <v>0</v>
      </c>
      <c r="X132" t="b">
        <v>0</v>
      </c>
      <c r="Y132" t="s">
        <v>42</v>
      </c>
      <c r="Z132" t="s">
        <v>48</v>
      </c>
      <c r="AA132" t="s">
        <v>169</v>
      </c>
      <c r="AB132">
        <v>2</v>
      </c>
      <c r="AD132" t="s">
        <v>50</v>
      </c>
      <c r="AE132">
        <v>5</v>
      </c>
      <c r="AF132" t="s">
        <v>114</v>
      </c>
      <c r="AG132">
        <v>1</v>
      </c>
      <c r="AH132">
        <v>593</v>
      </c>
      <c r="AI132">
        <v>285</v>
      </c>
      <c r="AJ132" t="s">
        <v>42</v>
      </c>
      <c r="AK132" t="s">
        <v>42</v>
      </c>
      <c r="AL132" t="s">
        <v>42</v>
      </c>
      <c r="AM132">
        <v>325975</v>
      </c>
      <c r="AN132" t="s">
        <v>282</v>
      </c>
      <c r="AO132">
        <v>2541443</v>
      </c>
    </row>
    <row r="133" spans="1:41" x14ac:dyDescent="0.25">
      <c r="A133" t="s">
        <v>41</v>
      </c>
      <c r="B133" s="1">
        <v>40772</v>
      </c>
      <c r="C133" t="s">
        <v>42</v>
      </c>
      <c r="D133">
        <v>1</v>
      </c>
      <c r="E133" t="s">
        <v>42</v>
      </c>
      <c r="F133" t="s">
        <v>42</v>
      </c>
      <c r="G133">
        <v>19980824</v>
      </c>
      <c r="H133" t="s">
        <v>283</v>
      </c>
      <c r="I133">
        <v>2</v>
      </c>
      <c r="J133" t="s">
        <v>71</v>
      </c>
      <c r="K133">
        <v>4</v>
      </c>
      <c r="L133">
        <v>4</v>
      </c>
      <c r="M133">
        <v>1770</v>
      </c>
      <c r="N133">
        <v>2100</v>
      </c>
      <c r="O133">
        <v>2100</v>
      </c>
      <c r="P133">
        <v>4760</v>
      </c>
      <c r="Q133">
        <v>2016</v>
      </c>
      <c r="R133">
        <v>1271</v>
      </c>
      <c r="S133">
        <v>1</v>
      </c>
      <c r="T133">
        <v>3996</v>
      </c>
      <c r="U133" t="s">
        <v>42</v>
      </c>
      <c r="V133">
        <v>8</v>
      </c>
      <c r="W133" t="b">
        <v>0</v>
      </c>
      <c r="X133" t="b">
        <v>0</v>
      </c>
      <c r="Y133" t="s">
        <v>42</v>
      </c>
      <c r="Z133" t="s">
        <v>48</v>
      </c>
      <c r="AA133" t="s">
        <v>284</v>
      </c>
      <c r="AB133">
        <v>2</v>
      </c>
      <c r="AD133" t="s">
        <v>285</v>
      </c>
      <c r="AE133">
        <v>5</v>
      </c>
      <c r="AF133" t="s">
        <v>42</v>
      </c>
      <c r="AG133">
        <v>1</v>
      </c>
      <c r="AH133">
        <v>853</v>
      </c>
      <c r="AJ133" t="s">
        <v>42</v>
      </c>
      <c r="AK133" t="s">
        <v>42</v>
      </c>
      <c r="AL133" t="s">
        <v>42</v>
      </c>
      <c r="AM133">
        <v>122229</v>
      </c>
      <c r="AN133" t="s">
        <v>278</v>
      </c>
      <c r="AO133">
        <v>2545851</v>
      </c>
    </row>
    <row r="134" spans="1:41" x14ac:dyDescent="0.25">
      <c r="A134" t="s">
        <v>41</v>
      </c>
      <c r="B134" s="1">
        <v>40829</v>
      </c>
      <c r="C134" t="s">
        <v>42</v>
      </c>
      <c r="D134">
        <v>1</v>
      </c>
      <c r="E134" t="s">
        <v>42</v>
      </c>
      <c r="F134" t="s">
        <v>42</v>
      </c>
      <c r="G134">
        <v>19990205</v>
      </c>
      <c r="H134" t="s">
        <v>88</v>
      </c>
      <c r="I134">
        <v>2</v>
      </c>
      <c r="J134" t="s">
        <v>71</v>
      </c>
      <c r="K134">
        <v>4</v>
      </c>
      <c r="L134">
        <v>4</v>
      </c>
      <c r="M134">
        <v>1780</v>
      </c>
      <c r="N134">
        <v>2100</v>
      </c>
      <c r="O134">
        <v>2100</v>
      </c>
      <c r="P134">
        <v>4760</v>
      </c>
      <c r="Q134">
        <v>1829</v>
      </c>
      <c r="R134">
        <v>1306</v>
      </c>
      <c r="S134">
        <v>1</v>
      </c>
      <c r="T134">
        <v>3996</v>
      </c>
      <c r="U134" t="s">
        <v>47</v>
      </c>
      <c r="V134">
        <v>8</v>
      </c>
      <c r="W134" t="b">
        <v>0</v>
      </c>
      <c r="X134" t="b">
        <v>0</v>
      </c>
      <c r="Y134" t="s">
        <v>42</v>
      </c>
      <c r="Z134" t="s">
        <v>48</v>
      </c>
      <c r="AA134" t="s">
        <v>215</v>
      </c>
      <c r="AB134">
        <v>2</v>
      </c>
      <c r="AD134" t="s">
        <v>94</v>
      </c>
      <c r="AE134">
        <v>5</v>
      </c>
      <c r="AF134" t="s">
        <v>42</v>
      </c>
      <c r="AG134">
        <v>1</v>
      </c>
      <c r="AH134">
        <v>200</v>
      </c>
      <c r="AJ134" t="s">
        <v>42</v>
      </c>
      <c r="AK134" t="s">
        <v>42</v>
      </c>
      <c r="AL134" t="s">
        <v>42</v>
      </c>
      <c r="AM134">
        <v>66020</v>
      </c>
      <c r="AN134" t="s">
        <v>146</v>
      </c>
      <c r="AO134">
        <v>2549515</v>
      </c>
    </row>
    <row r="135" spans="1:41" x14ac:dyDescent="0.25">
      <c r="A135" t="s">
        <v>41</v>
      </c>
      <c r="B135" s="1">
        <v>40829</v>
      </c>
      <c r="C135" t="s">
        <v>42</v>
      </c>
      <c r="D135">
        <v>1</v>
      </c>
      <c r="E135" t="s">
        <v>42</v>
      </c>
      <c r="F135" t="s">
        <v>42</v>
      </c>
      <c r="G135">
        <v>20010000</v>
      </c>
      <c r="H135" t="s">
        <v>102</v>
      </c>
      <c r="I135">
        <v>2</v>
      </c>
      <c r="J135" t="s">
        <v>42</v>
      </c>
      <c r="K135">
        <v>4</v>
      </c>
      <c r="L135">
        <v>4</v>
      </c>
      <c r="M135">
        <v>1825</v>
      </c>
      <c r="N135">
        <v>2100</v>
      </c>
      <c r="O135">
        <v>2100</v>
      </c>
      <c r="P135">
        <v>4760</v>
      </c>
      <c r="Q135">
        <v>1830</v>
      </c>
      <c r="S135">
        <v>1</v>
      </c>
      <c r="T135">
        <v>3990</v>
      </c>
      <c r="U135" t="s">
        <v>65</v>
      </c>
      <c r="V135">
        <v>8</v>
      </c>
      <c r="W135" t="b">
        <v>1</v>
      </c>
      <c r="X135" t="b">
        <v>0</v>
      </c>
      <c r="Y135" t="s">
        <v>42</v>
      </c>
      <c r="Z135" t="s">
        <v>48</v>
      </c>
      <c r="AA135" t="s">
        <v>286</v>
      </c>
      <c r="AB135">
        <v>2</v>
      </c>
      <c r="AD135" t="s">
        <v>287</v>
      </c>
      <c r="AE135">
        <v>5</v>
      </c>
      <c r="AF135" t="s">
        <v>42</v>
      </c>
      <c r="AG135">
        <v>1</v>
      </c>
      <c r="AH135">
        <v>837</v>
      </c>
      <c r="AJ135" t="s">
        <v>42</v>
      </c>
      <c r="AK135" t="s">
        <v>42</v>
      </c>
      <c r="AL135" t="s">
        <v>42</v>
      </c>
      <c r="AM135">
        <v>154218</v>
      </c>
      <c r="AN135" t="s">
        <v>288</v>
      </c>
      <c r="AO135">
        <v>2565287</v>
      </c>
    </row>
    <row r="136" spans="1:41" x14ac:dyDescent="0.25">
      <c r="A136" t="s">
        <v>41</v>
      </c>
      <c r="B136" s="1">
        <v>40808</v>
      </c>
      <c r="C136" t="s">
        <v>42</v>
      </c>
      <c r="D136">
        <v>1</v>
      </c>
      <c r="E136" t="s">
        <v>42</v>
      </c>
      <c r="F136" t="s">
        <v>42</v>
      </c>
      <c r="G136">
        <v>19970402</v>
      </c>
      <c r="H136" t="s">
        <v>64</v>
      </c>
      <c r="I136">
        <v>2</v>
      </c>
      <c r="J136" t="s">
        <v>71</v>
      </c>
      <c r="L136">
        <v>4</v>
      </c>
      <c r="M136">
        <v>1720</v>
      </c>
      <c r="N136">
        <v>2100</v>
      </c>
      <c r="O136">
        <v>2100</v>
      </c>
      <c r="P136">
        <v>4760</v>
      </c>
      <c r="Q136">
        <v>1830</v>
      </c>
      <c r="S136">
        <v>1</v>
      </c>
      <c r="T136">
        <v>3990</v>
      </c>
      <c r="U136" t="s">
        <v>47</v>
      </c>
      <c r="V136">
        <v>8</v>
      </c>
      <c r="W136" t="b">
        <v>0</v>
      </c>
      <c r="X136" t="b">
        <v>0</v>
      </c>
      <c r="Y136" t="s">
        <v>42</v>
      </c>
      <c r="Z136" t="s">
        <v>48</v>
      </c>
      <c r="AA136" t="s">
        <v>201</v>
      </c>
      <c r="AB136">
        <v>2</v>
      </c>
      <c r="AD136" t="s">
        <v>94</v>
      </c>
      <c r="AE136">
        <v>5</v>
      </c>
      <c r="AF136" t="s">
        <v>42</v>
      </c>
      <c r="AG136">
        <v>1</v>
      </c>
      <c r="AH136">
        <v>204</v>
      </c>
      <c r="AJ136" t="s">
        <v>42</v>
      </c>
      <c r="AK136" t="s">
        <v>42</v>
      </c>
      <c r="AL136" t="s">
        <v>42</v>
      </c>
      <c r="AM136">
        <v>140283</v>
      </c>
      <c r="AN136" t="s">
        <v>289</v>
      </c>
      <c r="AO136">
        <v>2568375</v>
      </c>
    </row>
    <row r="137" spans="1:41" x14ac:dyDescent="0.25">
      <c r="A137" t="s">
        <v>41</v>
      </c>
      <c r="B137" s="1">
        <v>41050</v>
      </c>
      <c r="C137" t="s">
        <v>42</v>
      </c>
      <c r="D137">
        <v>1</v>
      </c>
      <c r="E137" t="s">
        <v>42</v>
      </c>
      <c r="F137" t="s">
        <v>42</v>
      </c>
      <c r="G137">
        <v>19980000</v>
      </c>
      <c r="H137" t="s">
        <v>64</v>
      </c>
      <c r="I137">
        <v>2</v>
      </c>
      <c r="J137" t="s">
        <v>71</v>
      </c>
      <c r="L137">
        <v>4</v>
      </c>
      <c r="M137">
        <v>1810</v>
      </c>
      <c r="N137">
        <v>2100</v>
      </c>
      <c r="O137">
        <v>2100</v>
      </c>
      <c r="P137">
        <v>4760</v>
      </c>
      <c r="Q137">
        <v>1830</v>
      </c>
      <c r="S137">
        <v>1</v>
      </c>
      <c r="T137">
        <v>3990</v>
      </c>
      <c r="U137" t="s">
        <v>47</v>
      </c>
      <c r="V137">
        <v>8</v>
      </c>
      <c r="W137" t="b">
        <v>0</v>
      </c>
      <c r="X137" t="b">
        <v>0</v>
      </c>
      <c r="Y137" t="s">
        <v>42</v>
      </c>
      <c r="Z137" t="s">
        <v>48</v>
      </c>
      <c r="AA137" t="s">
        <v>201</v>
      </c>
      <c r="AB137">
        <v>2</v>
      </c>
      <c r="AD137" t="s">
        <v>94</v>
      </c>
      <c r="AE137">
        <v>5</v>
      </c>
      <c r="AF137" t="s">
        <v>42</v>
      </c>
      <c r="AG137">
        <v>1</v>
      </c>
      <c r="AH137">
        <v>61</v>
      </c>
      <c r="AJ137" t="s">
        <v>42</v>
      </c>
      <c r="AK137" t="s">
        <v>42</v>
      </c>
      <c r="AL137" t="s">
        <v>42</v>
      </c>
      <c r="AM137">
        <v>103440</v>
      </c>
      <c r="AN137" t="s">
        <v>216</v>
      </c>
      <c r="AO137">
        <v>2574919</v>
      </c>
    </row>
    <row r="138" spans="1:41" x14ac:dyDescent="0.25">
      <c r="A138" t="s">
        <v>41</v>
      </c>
      <c r="B138" s="1">
        <v>40822</v>
      </c>
      <c r="C138" t="s">
        <v>42</v>
      </c>
      <c r="D138">
        <v>1</v>
      </c>
      <c r="E138" t="s">
        <v>69</v>
      </c>
      <c r="F138" t="s">
        <v>101</v>
      </c>
      <c r="G138">
        <v>20031125</v>
      </c>
      <c r="H138" t="s">
        <v>92</v>
      </c>
      <c r="I138">
        <v>2</v>
      </c>
      <c r="J138" t="s">
        <v>46</v>
      </c>
      <c r="L138">
        <v>4</v>
      </c>
      <c r="M138">
        <v>1735</v>
      </c>
      <c r="N138">
        <v>2110</v>
      </c>
      <c r="O138">
        <v>2110</v>
      </c>
      <c r="P138">
        <v>4780</v>
      </c>
      <c r="Q138">
        <v>1830</v>
      </c>
      <c r="R138">
        <v>1300</v>
      </c>
      <c r="S138">
        <v>1</v>
      </c>
      <c r="T138">
        <v>4196</v>
      </c>
      <c r="U138" t="s">
        <v>72</v>
      </c>
      <c r="V138">
        <v>8</v>
      </c>
      <c r="W138" t="b">
        <v>1</v>
      </c>
      <c r="X138" t="b">
        <v>0</v>
      </c>
      <c r="Y138" t="s">
        <v>42</v>
      </c>
      <c r="Z138" t="s">
        <v>48</v>
      </c>
      <c r="AA138" t="s">
        <v>194</v>
      </c>
      <c r="AB138">
        <v>2</v>
      </c>
      <c r="AC138">
        <v>6</v>
      </c>
      <c r="AD138" t="s">
        <v>50</v>
      </c>
      <c r="AE138">
        <v>5</v>
      </c>
      <c r="AF138" t="s">
        <v>104</v>
      </c>
      <c r="AG138">
        <v>1</v>
      </c>
      <c r="AH138">
        <v>92</v>
      </c>
      <c r="AI138">
        <v>304</v>
      </c>
      <c r="AJ138" t="s">
        <v>42</v>
      </c>
      <c r="AK138" t="s">
        <v>42</v>
      </c>
      <c r="AL138" t="s">
        <v>42</v>
      </c>
      <c r="AM138">
        <v>166970</v>
      </c>
      <c r="AN138" t="s">
        <v>290</v>
      </c>
      <c r="AO138">
        <v>2575757</v>
      </c>
    </row>
    <row r="139" spans="1:41" x14ac:dyDescent="0.25">
      <c r="A139" t="s">
        <v>41</v>
      </c>
      <c r="B139" s="1">
        <v>40928</v>
      </c>
      <c r="C139" t="s">
        <v>42</v>
      </c>
      <c r="D139">
        <v>1</v>
      </c>
      <c r="E139" t="s">
        <v>79</v>
      </c>
      <c r="F139" t="s">
        <v>291</v>
      </c>
      <c r="G139">
        <v>20000502</v>
      </c>
      <c r="H139" t="s">
        <v>64</v>
      </c>
      <c r="I139">
        <v>2</v>
      </c>
      <c r="J139" t="s">
        <v>46</v>
      </c>
      <c r="M139">
        <v>1715</v>
      </c>
      <c r="N139">
        <v>2010</v>
      </c>
      <c r="O139">
        <v>2010</v>
      </c>
      <c r="P139">
        <v>4760</v>
      </c>
      <c r="Q139">
        <v>1829</v>
      </c>
      <c r="R139">
        <v>1296</v>
      </c>
      <c r="S139">
        <v>1</v>
      </c>
      <c r="T139">
        <v>3996</v>
      </c>
      <c r="U139" t="s">
        <v>65</v>
      </c>
      <c r="W139" t="b">
        <v>0</v>
      </c>
      <c r="X139" t="b">
        <v>0</v>
      </c>
      <c r="Y139" t="s">
        <v>42</v>
      </c>
      <c r="Z139" t="s">
        <v>48</v>
      </c>
      <c r="AA139" t="s">
        <v>246</v>
      </c>
      <c r="AB139">
        <v>2</v>
      </c>
      <c r="AD139" t="s">
        <v>165</v>
      </c>
      <c r="AE139">
        <v>5</v>
      </c>
      <c r="AF139" t="s">
        <v>82</v>
      </c>
      <c r="AG139">
        <v>1</v>
      </c>
      <c r="AH139">
        <v>408</v>
      </c>
      <c r="AI139">
        <v>293</v>
      </c>
      <c r="AJ139" t="s">
        <v>42</v>
      </c>
      <c r="AK139" t="s">
        <v>42</v>
      </c>
      <c r="AL139" t="s">
        <v>42</v>
      </c>
      <c r="AM139">
        <v>71339</v>
      </c>
      <c r="AN139" t="s">
        <v>83</v>
      </c>
      <c r="AO139">
        <v>2601464</v>
      </c>
    </row>
    <row r="140" spans="1:41" x14ac:dyDescent="0.25">
      <c r="A140" t="s">
        <v>41</v>
      </c>
      <c r="B140" s="1">
        <v>40983</v>
      </c>
      <c r="C140" t="s">
        <v>42</v>
      </c>
      <c r="D140">
        <v>1</v>
      </c>
      <c r="E140" t="s">
        <v>42</v>
      </c>
      <c r="F140" t="s">
        <v>42</v>
      </c>
      <c r="G140">
        <v>20000104</v>
      </c>
      <c r="H140" t="s">
        <v>84</v>
      </c>
      <c r="I140">
        <v>2</v>
      </c>
      <c r="J140" t="s">
        <v>71</v>
      </c>
      <c r="K140">
        <v>4</v>
      </c>
      <c r="L140">
        <v>4</v>
      </c>
      <c r="M140">
        <v>1825</v>
      </c>
      <c r="N140">
        <v>2100</v>
      </c>
      <c r="O140">
        <v>2100</v>
      </c>
      <c r="P140">
        <v>4760</v>
      </c>
      <c r="Q140">
        <v>1830</v>
      </c>
      <c r="R140">
        <v>1310</v>
      </c>
      <c r="S140">
        <v>1</v>
      </c>
      <c r="T140">
        <v>3990</v>
      </c>
      <c r="U140" t="s">
        <v>65</v>
      </c>
      <c r="V140">
        <v>8</v>
      </c>
      <c r="W140" t="b">
        <v>1</v>
      </c>
      <c r="X140" t="b">
        <v>0</v>
      </c>
      <c r="Y140" t="s">
        <v>42</v>
      </c>
      <c r="Z140" t="s">
        <v>48</v>
      </c>
      <c r="AA140" t="s">
        <v>292</v>
      </c>
      <c r="AB140">
        <v>2</v>
      </c>
      <c r="AC140">
        <v>5</v>
      </c>
      <c r="AD140" t="s">
        <v>293</v>
      </c>
      <c r="AE140">
        <v>5</v>
      </c>
      <c r="AF140" t="s">
        <v>42</v>
      </c>
      <c r="AG140">
        <v>1</v>
      </c>
      <c r="AH140">
        <v>398</v>
      </c>
      <c r="AJ140" t="s">
        <v>42</v>
      </c>
      <c r="AK140" t="s">
        <v>42</v>
      </c>
      <c r="AL140" t="s">
        <v>42</v>
      </c>
      <c r="AM140">
        <v>92932</v>
      </c>
      <c r="AN140" t="s">
        <v>294</v>
      </c>
      <c r="AO140">
        <v>2644851</v>
      </c>
    </row>
    <row r="141" spans="1:41" x14ac:dyDescent="0.25">
      <c r="A141" t="s">
        <v>41</v>
      </c>
      <c r="B141" s="1">
        <v>40969</v>
      </c>
      <c r="C141" t="s">
        <v>42</v>
      </c>
      <c r="D141">
        <v>1</v>
      </c>
      <c r="E141" t="s">
        <v>295</v>
      </c>
      <c r="F141" t="s">
        <v>296</v>
      </c>
      <c r="G141">
        <v>20120301</v>
      </c>
      <c r="H141" t="s">
        <v>64</v>
      </c>
      <c r="I141">
        <v>2</v>
      </c>
      <c r="J141" t="s">
        <v>46</v>
      </c>
      <c r="L141">
        <v>4</v>
      </c>
      <c r="M141">
        <v>1824</v>
      </c>
      <c r="N141">
        <v>2145</v>
      </c>
      <c r="P141">
        <v>4784</v>
      </c>
      <c r="Q141">
        <v>1912</v>
      </c>
      <c r="R141">
        <v>1322</v>
      </c>
      <c r="S141">
        <v>1</v>
      </c>
      <c r="T141">
        <v>5000</v>
      </c>
      <c r="U141" t="s">
        <v>297</v>
      </c>
      <c r="V141">
        <v>8</v>
      </c>
      <c r="W141" t="b">
        <v>1</v>
      </c>
      <c r="Y141" t="s">
        <v>42</v>
      </c>
      <c r="Z141" t="s">
        <v>48</v>
      </c>
      <c r="AA141" t="s">
        <v>298</v>
      </c>
      <c r="AB141">
        <v>2</v>
      </c>
      <c r="AC141">
        <v>6</v>
      </c>
      <c r="AD141" t="s">
        <v>175</v>
      </c>
      <c r="AE141">
        <v>5</v>
      </c>
      <c r="AF141" t="s">
        <v>253</v>
      </c>
      <c r="AG141">
        <v>1</v>
      </c>
      <c r="AH141">
        <v>425</v>
      </c>
      <c r="AI141">
        <v>292</v>
      </c>
      <c r="AJ141" t="s">
        <v>42</v>
      </c>
      <c r="AK141" t="s">
        <v>42</v>
      </c>
      <c r="AL141" t="s">
        <v>42</v>
      </c>
      <c r="AM141">
        <v>57345</v>
      </c>
      <c r="AN141" t="s">
        <v>299</v>
      </c>
      <c r="AO141">
        <v>2651562</v>
      </c>
    </row>
    <row r="142" spans="1:41" x14ac:dyDescent="0.25">
      <c r="A142" t="s">
        <v>41</v>
      </c>
      <c r="B142" s="1">
        <v>41002</v>
      </c>
      <c r="C142" t="s">
        <v>42</v>
      </c>
      <c r="D142">
        <v>1</v>
      </c>
      <c r="E142" t="s">
        <v>42</v>
      </c>
      <c r="F142" t="s">
        <v>42</v>
      </c>
      <c r="G142">
        <v>20020000</v>
      </c>
      <c r="H142" t="s">
        <v>84</v>
      </c>
      <c r="I142">
        <v>2</v>
      </c>
      <c r="J142" t="s">
        <v>71</v>
      </c>
      <c r="L142">
        <v>4</v>
      </c>
      <c r="M142">
        <v>1880</v>
      </c>
      <c r="N142">
        <v>2097</v>
      </c>
      <c r="O142">
        <v>2097</v>
      </c>
      <c r="P142">
        <v>4760</v>
      </c>
      <c r="Q142">
        <v>1830</v>
      </c>
      <c r="R142">
        <v>1310</v>
      </c>
      <c r="S142">
        <v>1</v>
      </c>
      <c r="T142">
        <v>3990</v>
      </c>
      <c r="U142" t="s">
        <v>65</v>
      </c>
      <c r="V142">
        <v>8</v>
      </c>
      <c r="W142" t="b">
        <v>1</v>
      </c>
      <c r="X142" t="b">
        <v>0</v>
      </c>
      <c r="Y142" t="s">
        <v>42</v>
      </c>
      <c r="Z142" t="s">
        <v>48</v>
      </c>
      <c r="AA142" t="s">
        <v>300</v>
      </c>
      <c r="AB142">
        <v>2</v>
      </c>
      <c r="AD142" t="s">
        <v>165</v>
      </c>
      <c r="AE142">
        <v>5</v>
      </c>
      <c r="AF142" t="s">
        <v>42</v>
      </c>
      <c r="AG142">
        <v>1</v>
      </c>
      <c r="AH142">
        <v>98</v>
      </c>
      <c r="AJ142" t="s">
        <v>42</v>
      </c>
      <c r="AK142" t="s">
        <v>42</v>
      </c>
      <c r="AL142" t="s">
        <v>42</v>
      </c>
      <c r="AM142">
        <v>79184</v>
      </c>
      <c r="AN142" t="s">
        <v>301</v>
      </c>
      <c r="AO142">
        <v>2655980</v>
      </c>
    </row>
    <row r="143" spans="1:41" x14ac:dyDescent="0.25">
      <c r="A143" t="s">
        <v>41</v>
      </c>
      <c r="B143" s="1">
        <v>40998</v>
      </c>
      <c r="C143" t="s">
        <v>42</v>
      </c>
      <c r="D143">
        <v>1</v>
      </c>
      <c r="E143" t="s">
        <v>42</v>
      </c>
      <c r="F143" t="s">
        <v>42</v>
      </c>
      <c r="G143">
        <v>20050316</v>
      </c>
      <c r="H143" t="s">
        <v>64</v>
      </c>
      <c r="I143">
        <v>2</v>
      </c>
      <c r="J143" t="s">
        <v>46</v>
      </c>
      <c r="K143">
        <v>1</v>
      </c>
      <c r="L143">
        <v>4</v>
      </c>
      <c r="M143">
        <v>1660</v>
      </c>
      <c r="N143">
        <v>2110</v>
      </c>
      <c r="O143">
        <v>2110</v>
      </c>
      <c r="P143">
        <v>4776</v>
      </c>
      <c r="Q143">
        <v>1829</v>
      </c>
      <c r="R143">
        <v>1296</v>
      </c>
      <c r="S143">
        <v>1</v>
      </c>
      <c r="T143">
        <v>4190</v>
      </c>
      <c r="U143" t="s">
        <v>72</v>
      </c>
      <c r="V143">
        <v>8</v>
      </c>
      <c r="W143" t="b">
        <v>1</v>
      </c>
      <c r="X143" t="b">
        <v>0</v>
      </c>
      <c r="Y143" t="s">
        <v>42</v>
      </c>
      <c r="Z143" t="s">
        <v>48</v>
      </c>
      <c r="AA143" t="s">
        <v>171</v>
      </c>
      <c r="AB143">
        <v>2</v>
      </c>
      <c r="AD143" t="s">
        <v>50</v>
      </c>
      <c r="AE143">
        <v>5</v>
      </c>
      <c r="AF143" t="s">
        <v>42</v>
      </c>
      <c r="AG143">
        <v>1</v>
      </c>
      <c r="AH143">
        <v>91</v>
      </c>
      <c r="AI143">
        <v>304</v>
      </c>
      <c r="AJ143" t="s">
        <v>42</v>
      </c>
      <c r="AK143" t="s">
        <v>42</v>
      </c>
      <c r="AL143" t="s">
        <v>42</v>
      </c>
      <c r="AM143">
        <v>99559</v>
      </c>
      <c r="AN143" t="s">
        <v>302</v>
      </c>
      <c r="AO143">
        <v>2665979</v>
      </c>
    </row>
    <row r="144" spans="1:41" x14ac:dyDescent="0.25">
      <c r="A144" t="s">
        <v>41</v>
      </c>
      <c r="B144" s="1">
        <v>41024</v>
      </c>
      <c r="C144" t="s">
        <v>42</v>
      </c>
      <c r="D144">
        <v>1</v>
      </c>
      <c r="E144" t="s">
        <v>42</v>
      </c>
      <c r="F144" t="s">
        <v>42</v>
      </c>
      <c r="G144">
        <v>20000127</v>
      </c>
      <c r="H144" t="s">
        <v>102</v>
      </c>
      <c r="I144">
        <v>2</v>
      </c>
      <c r="J144" t="s">
        <v>46</v>
      </c>
      <c r="K144">
        <v>1</v>
      </c>
      <c r="L144">
        <v>4</v>
      </c>
      <c r="M144">
        <v>1690</v>
      </c>
      <c r="N144">
        <v>2009</v>
      </c>
      <c r="O144">
        <v>2009</v>
      </c>
      <c r="P144">
        <v>4760</v>
      </c>
      <c r="Q144">
        <v>1829</v>
      </c>
      <c r="R144">
        <v>1296</v>
      </c>
      <c r="S144">
        <v>1</v>
      </c>
      <c r="T144">
        <v>3996</v>
      </c>
      <c r="U144" t="s">
        <v>47</v>
      </c>
      <c r="V144">
        <v>8</v>
      </c>
      <c r="W144" t="b">
        <v>0</v>
      </c>
      <c r="X144" t="b">
        <v>0</v>
      </c>
      <c r="Y144" t="s">
        <v>42</v>
      </c>
      <c r="Z144" t="s">
        <v>48</v>
      </c>
      <c r="AA144" t="s">
        <v>169</v>
      </c>
      <c r="AB144">
        <v>2</v>
      </c>
      <c r="AD144" t="s">
        <v>50</v>
      </c>
      <c r="AE144">
        <v>5</v>
      </c>
      <c r="AF144" t="s">
        <v>42</v>
      </c>
      <c r="AG144">
        <v>1</v>
      </c>
      <c r="AH144">
        <v>186</v>
      </c>
      <c r="AJ144" t="s">
        <v>42</v>
      </c>
      <c r="AK144" t="s">
        <v>42</v>
      </c>
      <c r="AL144" t="s">
        <v>42</v>
      </c>
      <c r="AM144">
        <v>139710</v>
      </c>
      <c r="AN144" t="s">
        <v>303</v>
      </c>
      <c r="AO144">
        <v>2668635</v>
      </c>
    </row>
    <row r="145" spans="1:41" x14ac:dyDescent="0.25">
      <c r="A145" t="s">
        <v>41</v>
      </c>
      <c r="B145" s="1">
        <v>42227</v>
      </c>
      <c r="C145" t="s">
        <v>42</v>
      </c>
      <c r="D145">
        <v>1</v>
      </c>
      <c r="E145" t="s">
        <v>42</v>
      </c>
      <c r="F145" t="s">
        <v>42</v>
      </c>
      <c r="G145">
        <v>19980502</v>
      </c>
      <c r="H145" t="s">
        <v>64</v>
      </c>
      <c r="I145">
        <v>2</v>
      </c>
      <c r="J145" t="s">
        <v>46</v>
      </c>
      <c r="K145">
        <v>1</v>
      </c>
      <c r="L145">
        <v>4</v>
      </c>
      <c r="M145">
        <v>1720</v>
      </c>
      <c r="N145">
        <v>2010</v>
      </c>
      <c r="O145">
        <v>2010</v>
      </c>
      <c r="P145">
        <v>4760</v>
      </c>
      <c r="Q145">
        <v>1830</v>
      </c>
      <c r="R145">
        <v>1280</v>
      </c>
      <c r="S145">
        <v>1</v>
      </c>
      <c r="T145">
        <v>3990</v>
      </c>
      <c r="U145" t="s">
        <v>47</v>
      </c>
      <c r="V145">
        <v>8</v>
      </c>
      <c r="W145" t="b">
        <v>0</v>
      </c>
      <c r="X145" t="b">
        <v>0</v>
      </c>
      <c r="Y145" t="s">
        <v>42</v>
      </c>
      <c r="Z145" t="s">
        <v>48</v>
      </c>
      <c r="AA145" t="s">
        <v>304</v>
      </c>
      <c r="AB145">
        <v>2</v>
      </c>
      <c r="AD145" t="s">
        <v>94</v>
      </c>
      <c r="AE145">
        <v>5</v>
      </c>
      <c r="AF145" t="s">
        <v>115</v>
      </c>
      <c r="AG145">
        <v>1</v>
      </c>
      <c r="AH145">
        <v>49</v>
      </c>
      <c r="AJ145" t="s">
        <v>42</v>
      </c>
      <c r="AK145" t="s">
        <v>42</v>
      </c>
      <c r="AL145" t="s">
        <v>42</v>
      </c>
      <c r="AM145">
        <v>106899</v>
      </c>
      <c r="AN145" t="s">
        <v>305</v>
      </c>
      <c r="AO145">
        <v>2669346</v>
      </c>
    </row>
    <row r="146" spans="1:41" x14ac:dyDescent="0.25">
      <c r="A146" t="s">
        <v>41</v>
      </c>
      <c r="B146" s="1">
        <v>41044</v>
      </c>
      <c r="C146" t="s">
        <v>42</v>
      </c>
      <c r="D146">
        <v>1</v>
      </c>
      <c r="E146" t="s">
        <v>62</v>
      </c>
      <c r="F146" t="s">
        <v>100</v>
      </c>
      <c r="G146">
        <v>20000222</v>
      </c>
      <c r="H146" t="s">
        <v>64</v>
      </c>
      <c r="I146">
        <v>2</v>
      </c>
      <c r="J146" t="s">
        <v>46</v>
      </c>
      <c r="K146">
        <v>1</v>
      </c>
      <c r="L146">
        <v>4</v>
      </c>
      <c r="M146">
        <v>1630</v>
      </c>
      <c r="N146">
        <v>2010</v>
      </c>
      <c r="O146">
        <v>2010</v>
      </c>
      <c r="P146">
        <v>4760</v>
      </c>
      <c r="Q146">
        <v>1829</v>
      </c>
      <c r="S146">
        <v>1</v>
      </c>
      <c r="T146">
        <v>3996</v>
      </c>
      <c r="U146" t="s">
        <v>47</v>
      </c>
      <c r="V146">
        <v>8</v>
      </c>
      <c r="W146" t="b">
        <v>0</v>
      </c>
      <c r="X146" t="b">
        <v>0</v>
      </c>
      <c r="Y146" t="s">
        <v>42</v>
      </c>
      <c r="Z146" t="s">
        <v>48</v>
      </c>
      <c r="AA146" t="s">
        <v>234</v>
      </c>
      <c r="AB146">
        <v>2</v>
      </c>
      <c r="AD146" t="s">
        <v>94</v>
      </c>
      <c r="AE146">
        <v>5</v>
      </c>
      <c r="AF146" t="s">
        <v>306</v>
      </c>
      <c r="AG146">
        <v>1</v>
      </c>
      <c r="AH146">
        <v>91</v>
      </c>
      <c r="AJ146" t="s">
        <v>42</v>
      </c>
      <c r="AK146" t="s">
        <v>42</v>
      </c>
      <c r="AL146" t="s">
        <v>42</v>
      </c>
      <c r="AM146">
        <v>154644</v>
      </c>
      <c r="AN146" t="s">
        <v>307</v>
      </c>
      <c r="AO146">
        <v>2683121</v>
      </c>
    </row>
    <row r="147" spans="1:41" x14ac:dyDescent="0.25">
      <c r="A147" t="s">
        <v>41</v>
      </c>
      <c r="B147" s="1">
        <v>41144</v>
      </c>
      <c r="C147" t="s">
        <v>42</v>
      </c>
      <c r="D147">
        <v>1</v>
      </c>
      <c r="E147" t="s">
        <v>42</v>
      </c>
      <c r="F147" t="s">
        <v>42</v>
      </c>
      <c r="G147">
        <v>19980521</v>
      </c>
      <c r="H147" t="s">
        <v>59</v>
      </c>
      <c r="I147">
        <v>2</v>
      </c>
      <c r="J147" t="s">
        <v>46</v>
      </c>
      <c r="K147">
        <v>1</v>
      </c>
      <c r="L147">
        <v>4</v>
      </c>
      <c r="M147">
        <v>1720</v>
      </c>
      <c r="N147">
        <v>2010</v>
      </c>
      <c r="O147">
        <v>2010</v>
      </c>
      <c r="P147">
        <v>4760</v>
      </c>
      <c r="Q147">
        <v>1830</v>
      </c>
      <c r="S147">
        <v>1</v>
      </c>
      <c r="T147">
        <v>3996</v>
      </c>
      <c r="U147" t="s">
        <v>47</v>
      </c>
      <c r="V147">
        <v>8</v>
      </c>
      <c r="W147" t="b">
        <v>0</v>
      </c>
      <c r="X147" t="b">
        <v>0</v>
      </c>
      <c r="Y147" t="s">
        <v>42</v>
      </c>
      <c r="Z147" t="s">
        <v>48</v>
      </c>
      <c r="AA147" t="s">
        <v>308</v>
      </c>
      <c r="AB147">
        <v>2</v>
      </c>
      <c r="AD147" t="s">
        <v>198</v>
      </c>
      <c r="AE147">
        <v>5</v>
      </c>
      <c r="AF147" t="s">
        <v>115</v>
      </c>
      <c r="AG147">
        <v>1</v>
      </c>
      <c r="AH147">
        <v>91</v>
      </c>
      <c r="AJ147" t="s">
        <v>42</v>
      </c>
      <c r="AK147" t="s">
        <v>42</v>
      </c>
      <c r="AL147" t="s">
        <v>42</v>
      </c>
      <c r="AM147">
        <v>207583</v>
      </c>
      <c r="AN147" t="s">
        <v>52</v>
      </c>
      <c r="AO147">
        <v>2687833</v>
      </c>
    </row>
    <row r="148" spans="1:41" x14ac:dyDescent="0.25">
      <c r="A148" t="s">
        <v>41</v>
      </c>
      <c r="B148" s="1">
        <v>41094</v>
      </c>
      <c r="C148" t="s">
        <v>42</v>
      </c>
      <c r="D148">
        <v>1</v>
      </c>
      <c r="E148" t="s">
        <v>42</v>
      </c>
      <c r="F148" t="s">
        <v>42</v>
      </c>
      <c r="G148">
        <v>19970101</v>
      </c>
      <c r="H148" t="s">
        <v>92</v>
      </c>
      <c r="I148">
        <v>2</v>
      </c>
      <c r="J148" t="s">
        <v>71</v>
      </c>
      <c r="L148">
        <v>4</v>
      </c>
      <c r="M148">
        <v>1760</v>
      </c>
      <c r="N148">
        <v>2100</v>
      </c>
      <c r="O148">
        <v>2100</v>
      </c>
      <c r="P148">
        <v>4760</v>
      </c>
      <c r="Q148">
        <v>1829</v>
      </c>
      <c r="R148">
        <v>1306</v>
      </c>
      <c r="S148">
        <v>1</v>
      </c>
      <c r="T148">
        <v>3994</v>
      </c>
      <c r="U148" t="s">
        <v>47</v>
      </c>
      <c r="V148">
        <v>8</v>
      </c>
      <c r="W148" t="b">
        <v>0</v>
      </c>
      <c r="X148" t="b">
        <v>0</v>
      </c>
      <c r="Y148" t="s">
        <v>42</v>
      </c>
      <c r="Z148" t="s">
        <v>48</v>
      </c>
      <c r="AA148" t="s">
        <v>309</v>
      </c>
      <c r="AB148">
        <v>2</v>
      </c>
      <c r="AD148" t="s">
        <v>94</v>
      </c>
      <c r="AE148">
        <v>5</v>
      </c>
      <c r="AF148" t="s">
        <v>42</v>
      </c>
      <c r="AG148">
        <v>1</v>
      </c>
      <c r="AH148">
        <v>837</v>
      </c>
      <c r="AJ148" t="s">
        <v>42</v>
      </c>
      <c r="AK148" t="s">
        <v>42</v>
      </c>
      <c r="AL148" t="s">
        <v>42</v>
      </c>
      <c r="AM148">
        <v>120981</v>
      </c>
      <c r="AN148" t="s">
        <v>268</v>
      </c>
      <c r="AO148">
        <v>2691340</v>
      </c>
    </row>
    <row r="149" spans="1:41" x14ac:dyDescent="0.25">
      <c r="A149" t="s">
        <v>41</v>
      </c>
      <c r="B149" s="1">
        <v>41101</v>
      </c>
      <c r="C149" t="s">
        <v>42</v>
      </c>
      <c r="D149">
        <v>1</v>
      </c>
      <c r="E149" t="s">
        <v>42</v>
      </c>
      <c r="F149" t="s">
        <v>42</v>
      </c>
      <c r="G149">
        <v>19961113</v>
      </c>
      <c r="H149" t="s">
        <v>173</v>
      </c>
      <c r="I149">
        <v>2</v>
      </c>
      <c r="J149" t="s">
        <v>71</v>
      </c>
      <c r="L149">
        <v>4</v>
      </c>
      <c r="M149">
        <v>1720</v>
      </c>
      <c r="N149">
        <v>2100</v>
      </c>
      <c r="O149">
        <v>2100</v>
      </c>
      <c r="P149">
        <v>4760</v>
      </c>
      <c r="Q149">
        <v>1830</v>
      </c>
      <c r="S149">
        <v>1</v>
      </c>
      <c r="T149">
        <v>3990</v>
      </c>
      <c r="U149" t="s">
        <v>47</v>
      </c>
      <c r="V149">
        <v>8</v>
      </c>
      <c r="W149" t="b">
        <v>0</v>
      </c>
      <c r="X149" t="b">
        <v>0</v>
      </c>
      <c r="Y149" t="s">
        <v>42</v>
      </c>
      <c r="Z149" t="s">
        <v>48</v>
      </c>
      <c r="AA149" t="s">
        <v>201</v>
      </c>
      <c r="AB149">
        <v>2</v>
      </c>
      <c r="AD149" t="s">
        <v>94</v>
      </c>
      <c r="AE149">
        <v>5</v>
      </c>
      <c r="AF149" t="s">
        <v>42</v>
      </c>
      <c r="AG149">
        <v>1</v>
      </c>
      <c r="AH149">
        <v>536</v>
      </c>
      <c r="AJ149" t="s">
        <v>42</v>
      </c>
      <c r="AK149" t="s">
        <v>42</v>
      </c>
      <c r="AL149" t="s">
        <v>42</v>
      </c>
      <c r="AM149">
        <v>87283</v>
      </c>
      <c r="AN149" t="s">
        <v>179</v>
      </c>
      <c r="AO149">
        <v>2695845</v>
      </c>
    </row>
    <row r="150" spans="1:41" x14ac:dyDescent="0.25">
      <c r="A150" t="s">
        <v>41</v>
      </c>
      <c r="B150" s="1">
        <v>41283</v>
      </c>
      <c r="C150" t="s">
        <v>42</v>
      </c>
      <c r="D150">
        <v>1</v>
      </c>
      <c r="E150" t="s">
        <v>53</v>
      </c>
      <c r="F150" t="s">
        <v>54</v>
      </c>
      <c r="G150">
        <v>20060831</v>
      </c>
      <c r="H150" t="s">
        <v>310</v>
      </c>
      <c r="I150">
        <v>2</v>
      </c>
      <c r="J150" t="s">
        <v>46</v>
      </c>
      <c r="K150">
        <v>1</v>
      </c>
      <c r="L150">
        <v>4</v>
      </c>
      <c r="M150">
        <v>1720</v>
      </c>
      <c r="N150">
        <v>2035</v>
      </c>
      <c r="O150">
        <v>2035</v>
      </c>
      <c r="P150">
        <v>4791</v>
      </c>
      <c r="Q150">
        <v>1893</v>
      </c>
      <c r="R150">
        <v>1322</v>
      </c>
      <c r="S150">
        <v>1</v>
      </c>
      <c r="T150">
        <v>4196</v>
      </c>
      <c r="U150" t="s">
        <v>55</v>
      </c>
      <c r="V150">
        <v>8</v>
      </c>
      <c r="W150" t="b">
        <v>0</v>
      </c>
      <c r="X150" t="b">
        <v>0</v>
      </c>
      <c r="Y150" t="s">
        <v>42</v>
      </c>
      <c r="Z150" t="s">
        <v>48</v>
      </c>
      <c r="AA150" t="s">
        <v>194</v>
      </c>
      <c r="AB150">
        <v>2</v>
      </c>
      <c r="AD150" t="s">
        <v>50</v>
      </c>
      <c r="AE150">
        <v>5</v>
      </c>
      <c r="AF150" t="s">
        <v>106</v>
      </c>
      <c r="AG150">
        <v>1</v>
      </c>
      <c r="AH150">
        <v>240</v>
      </c>
      <c r="AI150">
        <v>269</v>
      </c>
      <c r="AJ150" t="s">
        <v>42</v>
      </c>
      <c r="AK150" t="s">
        <v>42</v>
      </c>
      <c r="AL150" t="s">
        <v>42</v>
      </c>
      <c r="AM150">
        <v>183215</v>
      </c>
      <c r="AN150" t="s">
        <v>172</v>
      </c>
      <c r="AO150">
        <v>2701447</v>
      </c>
    </row>
    <row r="151" spans="1:41" x14ac:dyDescent="0.25">
      <c r="A151" t="s">
        <v>41</v>
      </c>
      <c r="B151" s="1">
        <v>41107</v>
      </c>
      <c r="C151" t="s">
        <v>42</v>
      </c>
      <c r="D151">
        <v>1</v>
      </c>
      <c r="E151" t="s">
        <v>42</v>
      </c>
      <c r="F151" t="s">
        <v>42</v>
      </c>
      <c r="G151">
        <v>20030101</v>
      </c>
      <c r="H151" t="s">
        <v>102</v>
      </c>
      <c r="I151">
        <v>2</v>
      </c>
      <c r="J151" t="s">
        <v>71</v>
      </c>
      <c r="L151">
        <v>4</v>
      </c>
      <c r="M151">
        <v>1735</v>
      </c>
      <c r="N151">
        <v>2177</v>
      </c>
      <c r="O151">
        <v>2177</v>
      </c>
      <c r="P151">
        <v>4760</v>
      </c>
      <c r="Q151">
        <v>1830</v>
      </c>
      <c r="R151">
        <v>1296</v>
      </c>
      <c r="S151">
        <v>1</v>
      </c>
      <c r="T151">
        <v>4196</v>
      </c>
      <c r="U151" t="s">
        <v>273</v>
      </c>
      <c r="V151">
        <v>8</v>
      </c>
      <c r="W151" t="b">
        <v>0</v>
      </c>
      <c r="X151" t="b">
        <v>0</v>
      </c>
      <c r="Y151" t="s">
        <v>42</v>
      </c>
      <c r="Z151" t="s">
        <v>48</v>
      </c>
      <c r="AA151" t="s">
        <v>311</v>
      </c>
      <c r="AB151">
        <v>2</v>
      </c>
      <c r="AD151" t="s">
        <v>206</v>
      </c>
      <c r="AE151">
        <v>5</v>
      </c>
      <c r="AF151" t="s">
        <v>42</v>
      </c>
      <c r="AG151">
        <v>1</v>
      </c>
      <c r="AH151">
        <v>543</v>
      </c>
      <c r="AJ151" t="s">
        <v>42</v>
      </c>
      <c r="AK151" t="s">
        <v>42</v>
      </c>
      <c r="AL151" t="s">
        <v>42</v>
      </c>
      <c r="AM151">
        <v>85121</v>
      </c>
      <c r="AN151" t="s">
        <v>312</v>
      </c>
      <c r="AO151">
        <v>2702146</v>
      </c>
    </row>
    <row r="152" spans="1:41" x14ac:dyDescent="0.25">
      <c r="A152" t="s">
        <v>41</v>
      </c>
      <c r="B152" s="1">
        <v>41375</v>
      </c>
      <c r="C152" t="s">
        <v>42</v>
      </c>
      <c r="D152">
        <v>1</v>
      </c>
      <c r="E152" t="s">
        <v>42</v>
      </c>
      <c r="F152" t="s">
        <v>42</v>
      </c>
      <c r="G152">
        <v>19980731</v>
      </c>
      <c r="H152" t="s">
        <v>64</v>
      </c>
      <c r="I152">
        <v>2</v>
      </c>
      <c r="J152" t="s">
        <v>46</v>
      </c>
      <c r="L152">
        <v>4</v>
      </c>
      <c r="M152">
        <v>1690</v>
      </c>
      <c r="N152">
        <v>2010</v>
      </c>
      <c r="O152">
        <v>2010</v>
      </c>
      <c r="P152">
        <v>4760</v>
      </c>
      <c r="Q152">
        <v>1829</v>
      </c>
      <c r="R152">
        <v>1296</v>
      </c>
      <c r="S152">
        <v>1</v>
      </c>
      <c r="T152">
        <v>3996</v>
      </c>
      <c r="U152" t="s">
        <v>47</v>
      </c>
      <c r="V152">
        <v>8</v>
      </c>
      <c r="W152" t="b">
        <v>0</v>
      </c>
      <c r="X152" t="b">
        <v>0</v>
      </c>
      <c r="Y152" t="s">
        <v>42</v>
      </c>
      <c r="Z152" t="s">
        <v>48</v>
      </c>
      <c r="AA152" t="s">
        <v>313</v>
      </c>
      <c r="AB152">
        <v>2</v>
      </c>
      <c r="AC152">
        <v>5</v>
      </c>
      <c r="AD152" t="s">
        <v>219</v>
      </c>
      <c r="AE152">
        <v>5</v>
      </c>
      <c r="AF152" t="s">
        <v>115</v>
      </c>
      <c r="AG152">
        <v>1</v>
      </c>
      <c r="AH152">
        <v>710</v>
      </c>
      <c r="AJ152" t="s">
        <v>42</v>
      </c>
      <c r="AK152" t="s">
        <v>42</v>
      </c>
      <c r="AL152" t="s">
        <v>42</v>
      </c>
      <c r="AM152">
        <v>167840</v>
      </c>
      <c r="AN152" t="s">
        <v>52</v>
      </c>
      <c r="AO152">
        <v>2702358</v>
      </c>
    </row>
    <row r="153" spans="1:41" x14ac:dyDescent="0.25">
      <c r="A153" t="s">
        <v>41</v>
      </c>
      <c r="B153" s="1">
        <v>41135</v>
      </c>
      <c r="C153" t="s">
        <v>42</v>
      </c>
      <c r="D153">
        <v>1</v>
      </c>
      <c r="E153" t="s">
        <v>42</v>
      </c>
      <c r="F153" t="s">
        <v>42</v>
      </c>
      <c r="G153">
        <v>19980000</v>
      </c>
      <c r="H153" t="s">
        <v>88</v>
      </c>
      <c r="I153">
        <v>2</v>
      </c>
      <c r="J153" t="s">
        <v>71</v>
      </c>
      <c r="L153">
        <v>4</v>
      </c>
      <c r="M153">
        <v>1780</v>
      </c>
      <c r="N153">
        <v>2100</v>
      </c>
      <c r="O153">
        <v>2100</v>
      </c>
      <c r="P153">
        <v>4760</v>
      </c>
      <c r="Q153">
        <v>1830</v>
      </c>
      <c r="S153">
        <v>1</v>
      </c>
      <c r="T153">
        <v>3990</v>
      </c>
      <c r="U153" t="s">
        <v>47</v>
      </c>
      <c r="V153">
        <v>8</v>
      </c>
      <c r="W153" t="b">
        <v>0</v>
      </c>
      <c r="X153" t="b">
        <v>0</v>
      </c>
      <c r="Y153" t="s">
        <v>42</v>
      </c>
      <c r="Z153" t="s">
        <v>48</v>
      </c>
      <c r="AA153" t="s">
        <v>201</v>
      </c>
      <c r="AB153">
        <v>2</v>
      </c>
      <c r="AC153">
        <v>6</v>
      </c>
      <c r="AD153" t="s">
        <v>94</v>
      </c>
      <c r="AE153">
        <v>5</v>
      </c>
      <c r="AF153" t="s">
        <v>42</v>
      </c>
      <c r="AG153">
        <v>1</v>
      </c>
      <c r="AH153">
        <v>398</v>
      </c>
      <c r="AJ153" t="s">
        <v>42</v>
      </c>
      <c r="AK153" t="s">
        <v>42</v>
      </c>
      <c r="AL153" t="s">
        <v>42</v>
      </c>
      <c r="AM153">
        <v>132834</v>
      </c>
      <c r="AN153" t="s">
        <v>216</v>
      </c>
      <c r="AO153">
        <v>2709928</v>
      </c>
    </row>
    <row r="154" spans="1:41" x14ac:dyDescent="0.25">
      <c r="A154" t="s">
        <v>41</v>
      </c>
      <c r="B154" s="1">
        <v>41157</v>
      </c>
      <c r="C154" t="s">
        <v>42</v>
      </c>
      <c r="D154">
        <v>1</v>
      </c>
      <c r="E154" t="s">
        <v>42</v>
      </c>
      <c r="F154" t="s">
        <v>42</v>
      </c>
      <c r="G154">
        <v>19970101</v>
      </c>
      <c r="H154" t="s">
        <v>88</v>
      </c>
      <c r="I154">
        <v>2</v>
      </c>
      <c r="J154" t="s">
        <v>71</v>
      </c>
      <c r="L154">
        <v>4</v>
      </c>
      <c r="M154">
        <v>1780</v>
      </c>
      <c r="O154">
        <v>2100</v>
      </c>
      <c r="P154">
        <v>4760</v>
      </c>
      <c r="Q154">
        <v>183</v>
      </c>
      <c r="S154">
        <v>1</v>
      </c>
      <c r="T154">
        <v>3996</v>
      </c>
      <c r="U154" t="s">
        <v>47</v>
      </c>
      <c r="V154">
        <v>8</v>
      </c>
      <c r="W154" t="b">
        <v>0</v>
      </c>
      <c r="X154" t="b">
        <v>0</v>
      </c>
      <c r="Y154" t="s">
        <v>42</v>
      </c>
      <c r="Z154" t="s">
        <v>48</v>
      </c>
      <c r="AA154" t="s">
        <v>314</v>
      </c>
      <c r="AB154">
        <v>2</v>
      </c>
      <c r="AD154" t="s">
        <v>315</v>
      </c>
      <c r="AE154">
        <v>5</v>
      </c>
      <c r="AF154" t="s">
        <v>42</v>
      </c>
      <c r="AG154">
        <v>1</v>
      </c>
      <c r="AH154">
        <v>858</v>
      </c>
      <c r="AJ154" t="s">
        <v>42</v>
      </c>
      <c r="AK154" t="s">
        <v>42</v>
      </c>
      <c r="AL154" t="s">
        <v>42</v>
      </c>
      <c r="AM154">
        <v>66747</v>
      </c>
      <c r="AN154" t="s">
        <v>316</v>
      </c>
      <c r="AO154">
        <v>2716513</v>
      </c>
    </row>
    <row r="155" spans="1:41" x14ac:dyDescent="0.25">
      <c r="A155" t="s">
        <v>41</v>
      </c>
      <c r="B155" s="1">
        <v>41142</v>
      </c>
      <c r="C155" t="s">
        <v>42</v>
      </c>
      <c r="D155">
        <v>1</v>
      </c>
      <c r="E155" t="s">
        <v>42</v>
      </c>
      <c r="F155" t="s">
        <v>42</v>
      </c>
      <c r="G155">
        <v>19981211</v>
      </c>
      <c r="H155" t="s">
        <v>64</v>
      </c>
      <c r="I155">
        <v>2</v>
      </c>
      <c r="J155" t="s">
        <v>71</v>
      </c>
      <c r="L155">
        <v>4</v>
      </c>
      <c r="M155">
        <v>1780</v>
      </c>
      <c r="O155">
        <v>2100</v>
      </c>
      <c r="P155">
        <v>4760</v>
      </c>
      <c r="Q155">
        <v>1830</v>
      </c>
      <c r="S155">
        <v>1</v>
      </c>
      <c r="T155">
        <v>3996</v>
      </c>
      <c r="U155" t="s">
        <v>47</v>
      </c>
      <c r="V155">
        <v>8</v>
      </c>
      <c r="W155" t="b">
        <v>0</v>
      </c>
      <c r="X155" t="b">
        <v>0</v>
      </c>
      <c r="Y155" t="s">
        <v>42</v>
      </c>
      <c r="Z155" t="s">
        <v>48</v>
      </c>
      <c r="AA155" t="s">
        <v>317</v>
      </c>
      <c r="AB155">
        <v>2</v>
      </c>
      <c r="AD155" t="s">
        <v>318</v>
      </c>
      <c r="AE155">
        <v>5</v>
      </c>
      <c r="AF155" t="s">
        <v>67</v>
      </c>
      <c r="AG155">
        <v>1</v>
      </c>
      <c r="AH155">
        <v>740</v>
      </c>
      <c r="AJ155" t="s">
        <v>42</v>
      </c>
      <c r="AK155" t="s">
        <v>42</v>
      </c>
      <c r="AL155" t="s">
        <v>42</v>
      </c>
      <c r="AM155">
        <v>256865</v>
      </c>
      <c r="AN155" t="s">
        <v>61</v>
      </c>
      <c r="AO155">
        <v>2724149</v>
      </c>
    </row>
    <row r="156" spans="1:41" x14ac:dyDescent="0.25">
      <c r="A156" t="s">
        <v>41</v>
      </c>
      <c r="B156" s="1">
        <v>41234</v>
      </c>
      <c r="C156" t="s">
        <v>42</v>
      </c>
      <c r="D156">
        <v>1</v>
      </c>
      <c r="E156" t="s">
        <v>42</v>
      </c>
      <c r="F156" t="s">
        <v>42</v>
      </c>
      <c r="G156">
        <v>20010000</v>
      </c>
      <c r="H156" t="s">
        <v>84</v>
      </c>
      <c r="I156">
        <v>2</v>
      </c>
      <c r="J156" t="s">
        <v>71</v>
      </c>
      <c r="L156">
        <v>4</v>
      </c>
      <c r="M156">
        <v>1860</v>
      </c>
      <c r="N156">
        <v>2100</v>
      </c>
      <c r="O156">
        <v>2100</v>
      </c>
      <c r="P156">
        <v>4700</v>
      </c>
      <c r="Q156">
        <v>1750</v>
      </c>
      <c r="S156">
        <v>1</v>
      </c>
      <c r="T156">
        <v>3990</v>
      </c>
      <c r="U156" t="s">
        <v>65</v>
      </c>
      <c r="V156">
        <v>8</v>
      </c>
      <c r="W156" t="b">
        <v>1</v>
      </c>
      <c r="X156" t="b">
        <v>0</v>
      </c>
      <c r="Y156" t="s">
        <v>42</v>
      </c>
      <c r="Z156" t="s">
        <v>48</v>
      </c>
      <c r="AA156" t="s">
        <v>300</v>
      </c>
      <c r="AB156">
        <v>2</v>
      </c>
      <c r="AD156" t="s">
        <v>165</v>
      </c>
      <c r="AE156">
        <v>5</v>
      </c>
      <c r="AF156" t="s">
        <v>42</v>
      </c>
      <c r="AG156">
        <v>1</v>
      </c>
      <c r="AH156">
        <v>235</v>
      </c>
      <c r="AI156">
        <v>289</v>
      </c>
      <c r="AJ156" t="s">
        <v>42</v>
      </c>
      <c r="AK156" t="s">
        <v>42</v>
      </c>
      <c r="AL156" t="s">
        <v>42</v>
      </c>
      <c r="AM156">
        <v>76486</v>
      </c>
      <c r="AN156" t="s">
        <v>319</v>
      </c>
      <c r="AO156">
        <v>2742153</v>
      </c>
    </row>
    <row r="157" spans="1:41" x14ac:dyDescent="0.25">
      <c r="A157" t="s">
        <v>41</v>
      </c>
      <c r="B157" s="1">
        <v>41348</v>
      </c>
      <c r="C157" t="s">
        <v>42</v>
      </c>
      <c r="D157">
        <v>1</v>
      </c>
      <c r="E157" t="s">
        <v>43</v>
      </c>
      <c r="F157" t="s">
        <v>44</v>
      </c>
      <c r="G157">
        <v>19980000</v>
      </c>
      <c r="H157" t="s">
        <v>64</v>
      </c>
      <c r="I157">
        <v>2</v>
      </c>
      <c r="J157" t="s">
        <v>46</v>
      </c>
      <c r="K157">
        <v>1</v>
      </c>
      <c r="L157">
        <v>4</v>
      </c>
      <c r="M157">
        <v>1720</v>
      </c>
      <c r="N157">
        <v>2010</v>
      </c>
      <c r="O157">
        <v>2010</v>
      </c>
      <c r="P157">
        <v>4760</v>
      </c>
      <c r="Q157">
        <v>1830</v>
      </c>
      <c r="S157">
        <v>1</v>
      </c>
      <c r="T157">
        <v>3996</v>
      </c>
      <c r="U157" t="s">
        <v>47</v>
      </c>
      <c r="V157">
        <v>8</v>
      </c>
      <c r="W157" t="b">
        <v>0</v>
      </c>
      <c r="X157" t="b">
        <v>0</v>
      </c>
      <c r="Y157" t="s">
        <v>42</v>
      </c>
      <c r="Z157" t="s">
        <v>48</v>
      </c>
      <c r="AA157" t="s">
        <v>169</v>
      </c>
      <c r="AB157">
        <v>2</v>
      </c>
      <c r="AD157" t="s">
        <v>50</v>
      </c>
      <c r="AE157">
        <v>5</v>
      </c>
      <c r="AF157" t="s">
        <v>114</v>
      </c>
      <c r="AG157">
        <v>1</v>
      </c>
      <c r="AH157">
        <v>400</v>
      </c>
      <c r="AJ157" t="s">
        <v>42</v>
      </c>
      <c r="AK157" t="s">
        <v>42</v>
      </c>
      <c r="AL157" t="s">
        <v>42</v>
      </c>
      <c r="AM157">
        <v>56227</v>
      </c>
      <c r="AN157" t="s">
        <v>52</v>
      </c>
      <c r="AO157">
        <v>2786464</v>
      </c>
    </row>
    <row r="158" spans="1:41" x14ac:dyDescent="0.25">
      <c r="A158" t="s">
        <v>41</v>
      </c>
      <c r="B158" s="1">
        <v>41402</v>
      </c>
      <c r="C158" t="s">
        <v>42</v>
      </c>
      <c r="D158">
        <v>1</v>
      </c>
      <c r="E158" t="s">
        <v>155</v>
      </c>
      <c r="F158" t="s">
        <v>54</v>
      </c>
      <c r="G158">
        <v>20070205</v>
      </c>
      <c r="H158" t="s">
        <v>64</v>
      </c>
      <c r="I158">
        <v>2</v>
      </c>
      <c r="J158" t="s">
        <v>46</v>
      </c>
      <c r="K158">
        <v>1</v>
      </c>
      <c r="L158">
        <v>4</v>
      </c>
      <c r="M158">
        <v>1770</v>
      </c>
      <c r="N158">
        <v>2080</v>
      </c>
      <c r="O158">
        <v>2080</v>
      </c>
      <c r="P158">
        <v>4791</v>
      </c>
      <c r="Q158">
        <v>1893</v>
      </c>
      <c r="R158">
        <v>1322</v>
      </c>
      <c r="S158">
        <v>1</v>
      </c>
      <c r="T158">
        <v>4196</v>
      </c>
      <c r="U158" t="s">
        <v>156</v>
      </c>
      <c r="V158">
        <v>8</v>
      </c>
      <c r="W158" t="b">
        <v>1</v>
      </c>
      <c r="X158" t="b">
        <v>0</v>
      </c>
      <c r="Y158" t="s">
        <v>42</v>
      </c>
      <c r="Z158" t="s">
        <v>48</v>
      </c>
      <c r="AA158" t="s">
        <v>320</v>
      </c>
      <c r="AB158">
        <v>2</v>
      </c>
      <c r="AD158" t="s">
        <v>175</v>
      </c>
      <c r="AE158">
        <v>5</v>
      </c>
      <c r="AF158" t="s">
        <v>57</v>
      </c>
      <c r="AG158">
        <v>1</v>
      </c>
      <c r="AH158">
        <v>91</v>
      </c>
      <c r="AI158">
        <v>294</v>
      </c>
      <c r="AJ158" t="s">
        <v>42</v>
      </c>
      <c r="AK158" t="s">
        <v>42</v>
      </c>
      <c r="AL158" t="s">
        <v>42</v>
      </c>
      <c r="AM158">
        <v>61544</v>
      </c>
      <c r="AN158" t="s">
        <v>158</v>
      </c>
      <c r="AO158">
        <v>2806459</v>
      </c>
    </row>
    <row r="159" spans="1:41" x14ac:dyDescent="0.25">
      <c r="A159" t="s">
        <v>41</v>
      </c>
      <c r="B159" s="1">
        <v>41410</v>
      </c>
      <c r="C159" t="s">
        <v>42</v>
      </c>
      <c r="D159">
        <v>1</v>
      </c>
      <c r="E159" t="s">
        <v>42</v>
      </c>
      <c r="F159" t="s">
        <v>42</v>
      </c>
      <c r="G159">
        <v>19990000</v>
      </c>
      <c r="H159" t="s">
        <v>45</v>
      </c>
      <c r="I159">
        <v>2</v>
      </c>
      <c r="J159" t="s">
        <v>42</v>
      </c>
      <c r="K159">
        <v>4</v>
      </c>
      <c r="L159">
        <v>4</v>
      </c>
      <c r="M159">
        <v>1845</v>
      </c>
      <c r="N159">
        <v>2100</v>
      </c>
      <c r="O159">
        <v>2100</v>
      </c>
      <c r="P159">
        <v>4760</v>
      </c>
      <c r="Q159">
        <v>1830</v>
      </c>
      <c r="S159">
        <v>1</v>
      </c>
      <c r="T159">
        <v>3990</v>
      </c>
      <c r="U159" t="s">
        <v>47</v>
      </c>
      <c r="V159">
        <v>8</v>
      </c>
      <c r="W159" t="b">
        <v>0</v>
      </c>
      <c r="X159" t="b">
        <v>0</v>
      </c>
      <c r="Y159" t="s">
        <v>42</v>
      </c>
      <c r="Z159" t="s">
        <v>48</v>
      </c>
      <c r="AA159" t="s">
        <v>221</v>
      </c>
      <c r="AB159">
        <v>2</v>
      </c>
      <c r="AD159" t="s">
        <v>94</v>
      </c>
      <c r="AE159">
        <v>5</v>
      </c>
      <c r="AF159" t="s">
        <v>42</v>
      </c>
      <c r="AG159">
        <v>1</v>
      </c>
      <c r="AH159">
        <v>853</v>
      </c>
      <c r="AJ159" t="s">
        <v>42</v>
      </c>
      <c r="AK159" t="s">
        <v>42</v>
      </c>
      <c r="AL159" t="s">
        <v>42</v>
      </c>
      <c r="AM159">
        <v>146954</v>
      </c>
      <c r="AN159" t="s">
        <v>259</v>
      </c>
      <c r="AO159">
        <v>2836001</v>
      </c>
    </row>
    <row r="160" spans="1:41" x14ac:dyDescent="0.25">
      <c r="A160" t="s">
        <v>41</v>
      </c>
      <c r="B160" s="1">
        <v>41416</v>
      </c>
      <c r="C160" t="s">
        <v>42</v>
      </c>
      <c r="D160">
        <v>1</v>
      </c>
      <c r="E160" t="s">
        <v>107</v>
      </c>
      <c r="F160" t="s">
        <v>108</v>
      </c>
      <c r="G160">
        <v>20061013</v>
      </c>
      <c r="H160" t="s">
        <v>59</v>
      </c>
      <c r="I160">
        <v>2</v>
      </c>
      <c r="J160" t="s">
        <v>71</v>
      </c>
      <c r="K160">
        <v>4</v>
      </c>
      <c r="L160">
        <v>4</v>
      </c>
      <c r="M160">
        <v>1735</v>
      </c>
      <c r="N160">
        <v>2075</v>
      </c>
      <c r="O160">
        <v>2075</v>
      </c>
      <c r="P160">
        <v>4790</v>
      </c>
      <c r="Q160">
        <v>1890</v>
      </c>
      <c r="R160">
        <v>1330</v>
      </c>
      <c r="S160">
        <v>1</v>
      </c>
      <c r="T160">
        <v>4190</v>
      </c>
      <c r="U160" t="s">
        <v>55</v>
      </c>
      <c r="V160">
        <v>8</v>
      </c>
      <c r="W160" t="b">
        <v>0</v>
      </c>
      <c r="X160" t="b">
        <v>0</v>
      </c>
      <c r="Y160" t="s">
        <v>42</v>
      </c>
      <c r="Z160" t="s">
        <v>48</v>
      </c>
      <c r="AA160" t="s">
        <v>236</v>
      </c>
      <c r="AB160">
        <v>2</v>
      </c>
      <c r="AD160" t="s">
        <v>50</v>
      </c>
      <c r="AE160">
        <v>5</v>
      </c>
      <c r="AF160" t="s">
        <v>57</v>
      </c>
      <c r="AG160">
        <v>1</v>
      </c>
      <c r="AH160">
        <v>257</v>
      </c>
      <c r="AI160">
        <v>269</v>
      </c>
      <c r="AJ160" t="s">
        <v>42</v>
      </c>
      <c r="AK160" t="s">
        <v>42</v>
      </c>
      <c r="AL160" t="s">
        <v>42</v>
      </c>
      <c r="AM160">
        <v>117211</v>
      </c>
      <c r="AN160" t="s">
        <v>118</v>
      </c>
      <c r="AO160">
        <v>2837836</v>
      </c>
    </row>
    <row r="161" spans="1:41" x14ac:dyDescent="0.25">
      <c r="A161" t="s">
        <v>41</v>
      </c>
      <c r="B161" s="1">
        <v>41472</v>
      </c>
      <c r="C161" t="s">
        <v>42</v>
      </c>
      <c r="D161">
        <v>1</v>
      </c>
      <c r="E161" t="s">
        <v>53</v>
      </c>
      <c r="F161" t="s">
        <v>54</v>
      </c>
      <c r="G161">
        <v>20060330</v>
      </c>
      <c r="H161" t="s">
        <v>173</v>
      </c>
      <c r="I161">
        <v>2</v>
      </c>
      <c r="J161" t="s">
        <v>46</v>
      </c>
      <c r="L161">
        <v>4</v>
      </c>
      <c r="M161">
        <v>1720</v>
      </c>
      <c r="N161">
        <v>2035</v>
      </c>
      <c r="O161">
        <v>2035</v>
      </c>
      <c r="P161">
        <v>4790</v>
      </c>
      <c r="Q161">
        <v>1890</v>
      </c>
      <c r="R161">
        <v>1320</v>
      </c>
      <c r="S161">
        <v>1</v>
      </c>
      <c r="T161">
        <v>4190</v>
      </c>
      <c r="U161" t="s">
        <v>55</v>
      </c>
      <c r="V161">
        <v>8</v>
      </c>
      <c r="W161" t="b">
        <v>0</v>
      </c>
      <c r="X161" t="b">
        <v>0</v>
      </c>
      <c r="Y161" t="s">
        <v>42</v>
      </c>
      <c r="Z161" t="s">
        <v>48</v>
      </c>
      <c r="AA161" t="s">
        <v>171</v>
      </c>
      <c r="AB161">
        <v>2</v>
      </c>
      <c r="AD161" t="s">
        <v>50</v>
      </c>
      <c r="AE161">
        <v>5</v>
      </c>
      <c r="AF161" t="s">
        <v>106</v>
      </c>
      <c r="AG161">
        <v>1</v>
      </c>
      <c r="AH161">
        <v>598</v>
      </c>
      <c r="AI161">
        <v>269</v>
      </c>
      <c r="AJ161" t="s">
        <v>42</v>
      </c>
      <c r="AK161" t="s">
        <v>42</v>
      </c>
      <c r="AL161" t="s">
        <v>42</v>
      </c>
      <c r="AM161">
        <v>233488</v>
      </c>
      <c r="AN161" t="s">
        <v>321</v>
      </c>
      <c r="AO161">
        <v>2840108</v>
      </c>
    </row>
    <row r="162" spans="1:41" x14ac:dyDescent="0.25">
      <c r="A162" t="s">
        <v>41</v>
      </c>
      <c r="B162" s="1">
        <v>41460</v>
      </c>
      <c r="C162" t="s">
        <v>42</v>
      </c>
      <c r="D162">
        <v>1</v>
      </c>
      <c r="E162" t="s">
        <v>160</v>
      </c>
      <c r="F162" t="s">
        <v>108</v>
      </c>
      <c r="G162">
        <v>20061130</v>
      </c>
      <c r="H162" t="s">
        <v>64</v>
      </c>
      <c r="I162">
        <v>2</v>
      </c>
      <c r="J162" t="s">
        <v>71</v>
      </c>
      <c r="K162">
        <v>4</v>
      </c>
      <c r="L162">
        <v>4</v>
      </c>
      <c r="M162">
        <v>1785</v>
      </c>
      <c r="N162">
        <v>2120</v>
      </c>
      <c r="O162">
        <v>2120</v>
      </c>
      <c r="P162">
        <v>4791</v>
      </c>
      <c r="Q162">
        <v>1893</v>
      </c>
      <c r="R162">
        <v>1329</v>
      </c>
      <c r="S162">
        <v>1</v>
      </c>
      <c r="T162">
        <v>4190</v>
      </c>
      <c r="U162" t="s">
        <v>156</v>
      </c>
      <c r="V162">
        <v>8</v>
      </c>
      <c r="W162" t="b">
        <v>1</v>
      </c>
      <c r="X162" t="b">
        <v>0</v>
      </c>
      <c r="Y162" t="s">
        <v>42</v>
      </c>
      <c r="Z162" t="s">
        <v>48</v>
      </c>
      <c r="AA162" t="s">
        <v>236</v>
      </c>
      <c r="AB162">
        <v>2</v>
      </c>
      <c r="AC162">
        <v>6</v>
      </c>
      <c r="AD162" t="s">
        <v>50</v>
      </c>
      <c r="AE162">
        <v>5</v>
      </c>
      <c r="AF162" t="s">
        <v>57</v>
      </c>
      <c r="AG162">
        <v>1</v>
      </c>
      <c r="AH162">
        <v>91</v>
      </c>
      <c r="AI162">
        <v>294</v>
      </c>
      <c r="AJ162" t="s">
        <v>42</v>
      </c>
      <c r="AK162" t="s">
        <v>42</v>
      </c>
      <c r="AL162" t="s">
        <v>42</v>
      </c>
      <c r="AM162">
        <v>65741</v>
      </c>
      <c r="AN162" t="s">
        <v>322</v>
      </c>
      <c r="AO162">
        <v>2847660</v>
      </c>
    </row>
    <row r="163" spans="1:41" x14ac:dyDescent="0.25">
      <c r="A163" t="s">
        <v>41</v>
      </c>
      <c r="B163" s="1">
        <v>41459</v>
      </c>
      <c r="C163" t="s">
        <v>42</v>
      </c>
      <c r="D163">
        <v>5</v>
      </c>
      <c r="E163" t="s">
        <v>160</v>
      </c>
      <c r="F163" t="s">
        <v>108</v>
      </c>
      <c r="G163">
        <v>20081016</v>
      </c>
      <c r="H163" t="s">
        <v>45</v>
      </c>
      <c r="I163">
        <v>2</v>
      </c>
      <c r="J163" t="s">
        <v>71</v>
      </c>
      <c r="L163">
        <v>4</v>
      </c>
      <c r="M163">
        <v>1785</v>
      </c>
      <c r="N163">
        <v>2120</v>
      </c>
      <c r="O163">
        <v>2120</v>
      </c>
      <c r="P163">
        <v>4790</v>
      </c>
      <c r="Q163">
        <v>1890</v>
      </c>
      <c r="R163">
        <v>1330</v>
      </c>
      <c r="S163">
        <v>1</v>
      </c>
      <c r="T163">
        <v>4190</v>
      </c>
      <c r="U163" t="s">
        <v>156</v>
      </c>
      <c r="V163">
        <v>8</v>
      </c>
      <c r="W163" t="b">
        <v>1</v>
      </c>
      <c r="X163" t="b">
        <v>0</v>
      </c>
      <c r="Y163" t="s">
        <v>42</v>
      </c>
      <c r="Z163" t="s">
        <v>48</v>
      </c>
      <c r="AA163" t="s">
        <v>236</v>
      </c>
      <c r="AB163">
        <v>2</v>
      </c>
      <c r="AD163" t="s">
        <v>50</v>
      </c>
      <c r="AE163">
        <v>5</v>
      </c>
      <c r="AF163" t="s">
        <v>57</v>
      </c>
      <c r="AG163">
        <v>1</v>
      </c>
      <c r="AH163">
        <v>297</v>
      </c>
      <c r="AI163">
        <v>294</v>
      </c>
      <c r="AJ163" t="s">
        <v>42</v>
      </c>
      <c r="AK163" t="s">
        <v>42</v>
      </c>
      <c r="AL163" t="s">
        <v>42</v>
      </c>
      <c r="AM163">
        <v>71661</v>
      </c>
      <c r="AN163" t="s">
        <v>275</v>
      </c>
      <c r="AO163">
        <v>2856975</v>
      </c>
    </row>
    <row r="164" spans="1:41" x14ac:dyDescent="0.25">
      <c r="A164" t="s">
        <v>41</v>
      </c>
      <c r="B164" s="1">
        <v>41703</v>
      </c>
      <c r="C164" t="s">
        <v>42</v>
      </c>
      <c r="D164">
        <v>1</v>
      </c>
      <c r="E164" t="s">
        <v>42</v>
      </c>
      <c r="F164" t="s">
        <v>42</v>
      </c>
      <c r="G164">
        <v>20040101</v>
      </c>
      <c r="H164" t="s">
        <v>64</v>
      </c>
      <c r="I164">
        <v>2</v>
      </c>
      <c r="J164" t="s">
        <v>71</v>
      </c>
      <c r="L164">
        <v>4</v>
      </c>
      <c r="M164">
        <v>1735</v>
      </c>
      <c r="N164">
        <v>2184</v>
      </c>
      <c r="O164">
        <v>2184</v>
      </c>
      <c r="P164">
        <v>4775</v>
      </c>
      <c r="Q164">
        <v>1800</v>
      </c>
      <c r="R164">
        <v>1310</v>
      </c>
      <c r="S164">
        <v>1</v>
      </c>
      <c r="T164">
        <v>4196</v>
      </c>
      <c r="U164" t="s">
        <v>323</v>
      </c>
      <c r="V164">
        <v>8</v>
      </c>
      <c r="W164" t="b">
        <v>1</v>
      </c>
      <c r="X164" t="b">
        <v>0</v>
      </c>
      <c r="Y164" t="s">
        <v>42</v>
      </c>
      <c r="Z164" t="s">
        <v>48</v>
      </c>
      <c r="AA164" t="s">
        <v>324</v>
      </c>
      <c r="AB164">
        <v>2</v>
      </c>
      <c r="AD164" t="s">
        <v>165</v>
      </c>
      <c r="AE164">
        <v>5</v>
      </c>
      <c r="AF164" t="s">
        <v>42</v>
      </c>
      <c r="AG164">
        <v>1</v>
      </c>
      <c r="AH164">
        <v>853</v>
      </c>
      <c r="AI164">
        <v>282</v>
      </c>
      <c r="AJ164" t="s">
        <v>42</v>
      </c>
      <c r="AK164" t="s">
        <v>42</v>
      </c>
      <c r="AL164" t="s">
        <v>42</v>
      </c>
      <c r="AM164">
        <v>73379</v>
      </c>
      <c r="AN164" t="s">
        <v>325</v>
      </c>
      <c r="AO164">
        <v>2869418</v>
      </c>
    </row>
    <row r="165" spans="1:41" x14ac:dyDescent="0.25">
      <c r="A165" t="s">
        <v>41</v>
      </c>
      <c r="B165" s="1">
        <v>41480</v>
      </c>
      <c r="C165" t="s">
        <v>42</v>
      </c>
      <c r="D165">
        <v>1</v>
      </c>
      <c r="E165" t="s">
        <v>42</v>
      </c>
      <c r="F165" t="s">
        <v>42</v>
      </c>
      <c r="G165">
        <v>19970000</v>
      </c>
      <c r="H165" t="s">
        <v>64</v>
      </c>
      <c r="I165">
        <v>2</v>
      </c>
      <c r="J165" t="s">
        <v>46</v>
      </c>
      <c r="K165">
        <v>1</v>
      </c>
      <c r="L165">
        <v>4</v>
      </c>
      <c r="M165">
        <v>1680</v>
      </c>
      <c r="N165">
        <v>2010</v>
      </c>
      <c r="O165">
        <v>2010</v>
      </c>
      <c r="P165">
        <v>4760</v>
      </c>
      <c r="Q165">
        <v>1830</v>
      </c>
      <c r="S165">
        <v>1</v>
      </c>
      <c r="T165">
        <v>3996</v>
      </c>
      <c r="U165" t="s">
        <v>47</v>
      </c>
      <c r="V165">
        <v>8</v>
      </c>
      <c r="W165" t="b">
        <v>0</v>
      </c>
      <c r="X165" t="b">
        <v>0</v>
      </c>
      <c r="Y165" t="s">
        <v>42</v>
      </c>
      <c r="Z165" t="s">
        <v>48</v>
      </c>
      <c r="AA165" t="s">
        <v>234</v>
      </c>
      <c r="AB165">
        <v>2</v>
      </c>
      <c r="AD165" t="s">
        <v>94</v>
      </c>
      <c r="AE165">
        <v>5</v>
      </c>
      <c r="AF165" t="s">
        <v>42</v>
      </c>
      <c r="AG165">
        <v>1</v>
      </c>
      <c r="AH165">
        <v>845</v>
      </c>
      <c r="AJ165" t="s">
        <v>42</v>
      </c>
      <c r="AK165" t="s">
        <v>42</v>
      </c>
      <c r="AL165" t="s">
        <v>42</v>
      </c>
      <c r="AM165">
        <v>85476</v>
      </c>
      <c r="AN165" t="s">
        <v>326</v>
      </c>
      <c r="AO165">
        <v>2874333</v>
      </c>
    </row>
    <row r="166" spans="1:41" x14ac:dyDescent="0.25">
      <c r="A166" t="s">
        <v>41</v>
      </c>
      <c r="B166" s="1">
        <v>41481</v>
      </c>
      <c r="C166" t="s">
        <v>42</v>
      </c>
      <c r="D166">
        <v>1</v>
      </c>
      <c r="E166" t="s">
        <v>42</v>
      </c>
      <c r="F166" t="s">
        <v>42</v>
      </c>
      <c r="G166">
        <v>19990000</v>
      </c>
      <c r="H166" t="s">
        <v>64</v>
      </c>
      <c r="I166">
        <v>2</v>
      </c>
      <c r="J166" t="s">
        <v>71</v>
      </c>
      <c r="L166">
        <v>4</v>
      </c>
      <c r="M166">
        <v>1780</v>
      </c>
      <c r="N166">
        <v>2100</v>
      </c>
      <c r="O166">
        <v>2100</v>
      </c>
      <c r="P166">
        <v>4760</v>
      </c>
      <c r="Q166">
        <v>1830</v>
      </c>
      <c r="S166">
        <v>1</v>
      </c>
      <c r="T166">
        <v>3996</v>
      </c>
      <c r="U166" t="s">
        <v>47</v>
      </c>
      <c r="V166">
        <v>8</v>
      </c>
      <c r="W166" t="b">
        <v>0</v>
      </c>
      <c r="X166" t="b">
        <v>0</v>
      </c>
      <c r="Y166" t="s">
        <v>42</v>
      </c>
      <c r="Z166" t="s">
        <v>48</v>
      </c>
      <c r="AA166" t="s">
        <v>215</v>
      </c>
      <c r="AB166">
        <v>2</v>
      </c>
      <c r="AD166" t="s">
        <v>94</v>
      </c>
      <c r="AE166">
        <v>5</v>
      </c>
      <c r="AF166" t="s">
        <v>42</v>
      </c>
      <c r="AG166">
        <v>1</v>
      </c>
      <c r="AH166">
        <v>61</v>
      </c>
      <c r="AJ166" t="s">
        <v>42</v>
      </c>
      <c r="AK166" t="s">
        <v>42</v>
      </c>
      <c r="AL166" t="s">
        <v>42</v>
      </c>
      <c r="AM166">
        <v>171721</v>
      </c>
      <c r="AN166" t="s">
        <v>327</v>
      </c>
      <c r="AO166">
        <v>2876187</v>
      </c>
    </row>
    <row r="167" spans="1:41" x14ac:dyDescent="0.25">
      <c r="A167" t="s">
        <v>41</v>
      </c>
      <c r="B167" s="1">
        <v>41598</v>
      </c>
      <c r="C167" t="s">
        <v>42</v>
      </c>
      <c r="D167">
        <v>1</v>
      </c>
      <c r="E167" t="s">
        <v>42</v>
      </c>
      <c r="F167" t="s">
        <v>42</v>
      </c>
      <c r="G167">
        <v>19990611</v>
      </c>
      <c r="H167" t="s">
        <v>64</v>
      </c>
      <c r="I167">
        <v>2</v>
      </c>
      <c r="J167" t="s">
        <v>46</v>
      </c>
      <c r="K167">
        <v>1</v>
      </c>
      <c r="L167">
        <v>4</v>
      </c>
      <c r="M167">
        <v>1720</v>
      </c>
      <c r="N167">
        <v>2010</v>
      </c>
      <c r="O167">
        <v>2010</v>
      </c>
      <c r="P167">
        <v>4760</v>
      </c>
      <c r="Q167">
        <v>1830</v>
      </c>
      <c r="S167">
        <v>1</v>
      </c>
      <c r="T167">
        <v>3996</v>
      </c>
      <c r="U167" t="s">
        <v>47</v>
      </c>
      <c r="V167">
        <v>8</v>
      </c>
      <c r="W167" t="b">
        <v>0</v>
      </c>
      <c r="X167" t="b">
        <v>0</v>
      </c>
      <c r="Y167" t="s">
        <v>42</v>
      </c>
      <c r="Z167" t="s">
        <v>48</v>
      </c>
      <c r="AA167" t="s">
        <v>234</v>
      </c>
      <c r="AB167">
        <v>2</v>
      </c>
      <c r="AD167" t="s">
        <v>94</v>
      </c>
      <c r="AE167">
        <v>5</v>
      </c>
      <c r="AF167" t="s">
        <v>85</v>
      </c>
      <c r="AG167">
        <v>1</v>
      </c>
      <c r="AH167">
        <v>908</v>
      </c>
      <c r="AJ167" t="s">
        <v>42</v>
      </c>
      <c r="AK167" t="s">
        <v>42</v>
      </c>
      <c r="AL167" t="s">
        <v>42</v>
      </c>
      <c r="AM167">
        <v>229651</v>
      </c>
      <c r="AN167" t="s">
        <v>52</v>
      </c>
      <c r="AO167">
        <v>2895491</v>
      </c>
    </row>
    <row r="168" spans="1:41" x14ac:dyDescent="0.25">
      <c r="A168" t="s">
        <v>41</v>
      </c>
      <c r="B168" s="1">
        <v>41758</v>
      </c>
      <c r="C168" t="s">
        <v>42</v>
      </c>
      <c r="D168">
        <v>1</v>
      </c>
      <c r="E168" t="s">
        <v>328</v>
      </c>
      <c r="F168" t="s">
        <v>108</v>
      </c>
      <c r="G168">
        <v>20110104</v>
      </c>
      <c r="H168" t="s">
        <v>64</v>
      </c>
      <c r="I168">
        <v>2</v>
      </c>
      <c r="J168" t="s">
        <v>71</v>
      </c>
      <c r="L168">
        <v>4</v>
      </c>
      <c r="M168">
        <v>1839</v>
      </c>
      <c r="N168">
        <v>2185</v>
      </c>
      <c r="O168">
        <v>2185</v>
      </c>
      <c r="P168">
        <v>4784</v>
      </c>
      <c r="Q168">
        <v>1892</v>
      </c>
      <c r="R168">
        <v>1329</v>
      </c>
      <c r="S168">
        <v>1</v>
      </c>
      <c r="T168">
        <v>5000</v>
      </c>
      <c r="U168" t="s">
        <v>297</v>
      </c>
      <c r="V168">
        <v>8</v>
      </c>
      <c r="W168" t="b">
        <v>1</v>
      </c>
      <c r="X168" t="b">
        <v>0</v>
      </c>
      <c r="Y168" t="s">
        <v>42</v>
      </c>
      <c r="Z168" t="s">
        <v>48</v>
      </c>
      <c r="AA168" t="s">
        <v>329</v>
      </c>
      <c r="AB168">
        <v>2</v>
      </c>
      <c r="AC168">
        <v>6</v>
      </c>
      <c r="AD168" t="s">
        <v>189</v>
      </c>
      <c r="AE168">
        <v>5</v>
      </c>
      <c r="AF168" t="s">
        <v>253</v>
      </c>
      <c r="AG168">
        <v>1</v>
      </c>
      <c r="AH168">
        <v>405</v>
      </c>
      <c r="AI168">
        <v>292</v>
      </c>
      <c r="AJ168" t="s">
        <v>42</v>
      </c>
      <c r="AK168" t="s">
        <v>42</v>
      </c>
      <c r="AL168" t="s">
        <v>42</v>
      </c>
      <c r="AM168">
        <v>79741</v>
      </c>
      <c r="AN168" t="s">
        <v>330</v>
      </c>
      <c r="AO168">
        <v>2898030</v>
      </c>
    </row>
    <row r="169" spans="1:41" x14ac:dyDescent="0.25">
      <c r="A169" t="s">
        <v>41</v>
      </c>
      <c r="B169" s="1">
        <v>41584</v>
      </c>
      <c r="C169" t="s">
        <v>42</v>
      </c>
      <c r="D169">
        <v>1</v>
      </c>
      <c r="E169" t="s">
        <v>42</v>
      </c>
      <c r="F169" t="s">
        <v>42</v>
      </c>
      <c r="G169">
        <v>19970204</v>
      </c>
      <c r="H169" t="s">
        <v>64</v>
      </c>
      <c r="I169">
        <v>2</v>
      </c>
      <c r="J169" t="s">
        <v>46</v>
      </c>
      <c r="L169">
        <v>4</v>
      </c>
      <c r="M169">
        <v>1720</v>
      </c>
      <c r="N169">
        <v>2010</v>
      </c>
      <c r="O169">
        <v>2010</v>
      </c>
      <c r="P169">
        <v>4760</v>
      </c>
      <c r="Q169">
        <v>1830</v>
      </c>
      <c r="S169">
        <v>1</v>
      </c>
      <c r="T169">
        <v>3996</v>
      </c>
      <c r="U169" t="s">
        <v>47</v>
      </c>
      <c r="V169">
        <v>8</v>
      </c>
      <c r="W169" t="b">
        <v>0</v>
      </c>
      <c r="X169" t="b">
        <v>0</v>
      </c>
      <c r="Y169" t="s">
        <v>42</v>
      </c>
      <c r="Z169" t="s">
        <v>48</v>
      </c>
      <c r="AA169" t="s">
        <v>234</v>
      </c>
      <c r="AB169">
        <v>2</v>
      </c>
      <c r="AD169" t="s">
        <v>94</v>
      </c>
      <c r="AE169">
        <v>5</v>
      </c>
      <c r="AF169" t="s">
        <v>51</v>
      </c>
      <c r="AG169">
        <v>1</v>
      </c>
      <c r="AH169">
        <v>91</v>
      </c>
      <c r="AJ169" t="s">
        <v>42</v>
      </c>
      <c r="AK169" t="s">
        <v>42</v>
      </c>
      <c r="AL169" t="s">
        <v>42</v>
      </c>
      <c r="AM169">
        <v>141746</v>
      </c>
      <c r="AN169" t="s">
        <v>52</v>
      </c>
      <c r="AO169">
        <v>2914546</v>
      </c>
    </row>
    <row r="170" spans="1:41" x14ac:dyDescent="0.25">
      <c r="A170" t="s">
        <v>41</v>
      </c>
      <c r="B170" s="1">
        <v>42270</v>
      </c>
      <c r="C170" t="s">
        <v>42</v>
      </c>
      <c r="D170">
        <v>1</v>
      </c>
      <c r="E170" t="s">
        <v>42</v>
      </c>
      <c r="F170" t="s">
        <v>42</v>
      </c>
      <c r="G170">
        <v>20010000</v>
      </c>
      <c r="H170" t="s">
        <v>59</v>
      </c>
      <c r="I170">
        <v>2</v>
      </c>
      <c r="J170" t="s">
        <v>71</v>
      </c>
      <c r="L170">
        <v>4</v>
      </c>
      <c r="M170">
        <v>1860</v>
      </c>
      <c r="N170">
        <v>2100</v>
      </c>
      <c r="O170">
        <v>2100</v>
      </c>
      <c r="P170">
        <v>4700</v>
      </c>
      <c r="Q170">
        <v>1750</v>
      </c>
      <c r="S170">
        <v>1</v>
      </c>
      <c r="T170">
        <v>3996</v>
      </c>
      <c r="U170" t="s">
        <v>65</v>
      </c>
      <c r="V170">
        <v>8</v>
      </c>
      <c r="W170" t="b">
        <v>0</v>
      </c>
      <c r="X170" t="b">
        <v>0</v>
      </c>
      <c r="Y170" t="s">
        <v>42</v>
      </c>
      <c r="Z170" t="s">
        <v>48</v>
      </c>
      <c r="AA170" t="s">
        <v>331</v>
      </c>
      <c r="AB170">
        <v>2</v>
      </c>
      <c r="AD170" t="s">
        <v>165</v>
      </c>
      <c r="AE170">
        <v>5</v>
      </c>
      <c r="AF170" t="s">
        <v>42</v>
      </c>
      <c r="AG170">
        <v>1</v>
      </c>
      <c r="AH170">
        <v>49</v>
      </c>
      <c r="AJ170" t="s">
        <v>42</v>
      </c>
      <c r="AK170" t="s">
        <v>42</v>
      </c>
      <c r="AL170" t="s">
        <v>42</v>
      </c>
      <c r="AM170">
        <v>104141</v>
      </c>
      <c r="AN170" t="s">
        <v>332</v>
      </c>
      <c r="AO170">
        <v>2931159</v>
      </c>
    </row>
    <row r="171" spans="1:41" x14ac:dyDescent="0.25">
      <c r="A171" t="s">
        <v>41</v>
      </c>
      <c r="B171" s="1">
        <v>41785</v>
      </c>
      <c r="C171" t="s">
        <v>42</v>
      </c>
      <c r="D171">
        <v>1</v>
      </c>
      <c r="E171" t="s">
        <v>42</v>
      </c>
      <c r="F171" t="s">
        <v>42</v>
      </c>
      <c r="G171">
        <v>19990527</v>
      </c>
      <c r="H171" t="s">
        <v>92</v>
      </c>
      <c r="I171">
        <v>2</v>
      </c>
      <c r="J171" t="s">
        <v>46</v>
      </c>
      <c r="K171">
        <v>1</v>
      </c>
      <c r="L171">
        <v>4</v>
      </c>
      <c r="M171">
        <v>1735</v>
      </c>
      <c r="N171">
        <v>2010</v>
      </c>
      <c r="O171">
        <v>2010</v>
      </c>
      <c r="P171">
        <v>4760</v>
      </c>
      <c r="Q171">
        <v>1829</v>
      </c>
      <c r="R171">
        <v>1296</v>
      </c>
      <c r="S171">
        <v>1</v>
      </c>
      <c r="T171">
        <v>3996</v>
      </c>
      <c r="U171" t="s">
        <v>65</v>
      </c>
      <c r="V171">
        <v>8</v>
      </c>
      <c r="W171" t="b">
        <v>1</v>
      </c>
      <c r="X171" t="b">
        <v>0</v>
      </c>
      <c r="Y171" t="s">
        <v>42</v>
      </c>
      <c r="Z171" t="s">
        <v>48</v>
      </c>
      <c r="AA171" t="s">
        <v>333</v>
      </c>
      <c r="AB171">
        <v>2</v>
      </c>
      <c r="AD171" t="s">
        <v>175</v>
      </c>
      <c r="AE171">
        <v>5</v>
      </c>
      <c r="AF171" t="s">
        <v>42</v>
      </c>
      <c r="AG171">
        <v>1</v>
      </c>
      <c r="AH171">
        <v>276</v>
      </c>
      <c r="AJ171" t="s">
        <v>42</v>
      </c>
      <c r="AK171" t="s">
        <v>42</v>
      </c>
      <c r="AL171" t="s">
        <v>42</v>
      </c>
      <c r="AM171">
        <v>160973</v>
      </c>
      <c r="AN171" t="s">
        <v>78</v>
      </c>
      <c r="AO171">
        <v>2933695</v>
      </c>
    </row>
    <row r="172" spans="1:41" x14ac:dyDescent="0.25">
      <c r="A172" t="s">
        <v>41</v>
      </c>
      <c r="B172" s="1">
        <v>41713</v>
      </c>
      <c r="C172" t="s">
        <v>42</v>
      </c>
      <c r="D172">
        <v>1</v>
      </c>
      <c r="E172" t="s">
        <v>53</v>
      </c>
      <c r="F172" t="s">
        <v>54</v>
      </c>
      <c r="G172">
        <v>20061009</v>
      </c>
      <c r="H172" t="s">
        <v>84</v>
      </c>
      <c r="I172">
        <v>2</v>
      </c>
      <c r="J172" t="s">
        <v>46</v>
      </c>
      <c r="L172">
        <v>4</v>
      </c>
      <c r="M172">
        <v>1720</v>
      </c>
      <c r="N172">
        <v>2035</v>
      </c>
      <c r="O172">
        <v>2035</v>
      </c>
      <c r="P172">
        <v>4790</v>
      </c>
      <c r="Q172">
        <v>1890</v>
      </c>
      <c r="R172">
        <v>1320</v>
      </c>
      <c r="S172">
        <v>1</v>
      </c>
      <c r="T172">
        <v>4190</v>
      </c>
      <c r="U172" t="s">
        <v>55</v>
      </c>
      <c r="V172">
        <v>8</v>
      </c>
      <c r="W172" t="b">
        <v>0</v>
      </c>
      <c r="X172" t="b">
        <v>0</v>
      </c>
      <c r="Y172" t="s">
        <v>42</v>
      </c>
      <c r="Z172" t="s">
        <v>48</v>
      </c>
      <c r="AA172" t="s">
        <v>279</v>
      </c>
      <c r="AD172" t="s">
        <v>50</v>
      </c>
      <c r="AE172">
        <v>5</v>
      </c>
      <c r="AF172" t="s">
        <v>57</v>
      </c>
      <c r="AG172">
        <v>1</v>
      </c>
      <c r="AH172">
        <v>297</v>
      </c>
      <c r="AI172">
        <v>269</v>
      </c>
      <c r="AJ172" t="s">
        <v>42</v>
      </c>
      <c r="AK172" t="s">
        <v>42</v>
      </c>
      <c r="AL172" t="s">
        <v>42</v>
      </c>
      <c r="AM172">
        <v>147531</v>
      </c>
      <c r="AN172" t="s">
        <v>280</v>
      </c>
      <c r="AO172">
        <v>2968213</v>
      </c>
    </row>
    <row r="173" spans="1:41" x14ac:dyDescent="0.25">
      <c r="A173" t="s">
        <v>41</v>
      </c>
      <c r="B173" s="1">
        <v>41764</v>
      </c>
      <c r="C173" t="s">
        <v>42</v>
      </c>
      <c r="D173">
        <v>1</v>
      </c>
      <c r="E173" t="s">
        <v>42</v>
      </c>
      <c r="F173" t="s">
        <v>42</v>
      </c>
      <c r="G173">
        <v>19990617</v>
      </c>
      <c r="H173" t="s">
        <v>59</v>
      </c>
      <c r="I173">
        <v>2</v>
      </c>
      <c r="J173" t="s">
        <v>71</v>
      </c>
      <c r="K173">
        <v>4</v>
      </c>
      <c r="L173">
        <v>4</v>
      </c>
      <c r="M173">
        <v>1825</v>
      </c>
      <c r="N173">
        <v>2100</v>
      </c>
      <c r="O173">
        <v>2100</v>
      </c>
      <c r="P173">
        <v>4760</v>
      </c>
      <c r="Q173">
        <v>1830</v>
      </c>
      <c r="S173">
        <v>1</v>
      </c>
      <c r="T173">
        <v>3996</v>
      </c>
      <c r="U173" t="s">
        <v>334</v>
      </c>
      <c r="V173">
        <v>8</v>
      </c>
      <c r="W173" t="b">
        <v>1</v>
      </c>
      <c r="X173" t="b">
        <v>0</v>
      </c>
      <c r="Y173" t="s">
        <v>42</v>
      </c>
      <c r="Z173" t="s">
        <v>48</v>
      </c>
      <c r="AA173" t="s">
        <v>335</v>
      </c>
      <c r="AB173">
        <v>2</v>
      </c>
      <c r="AD173" t="s">
        <v>165</v>
      </c>
      <c r="AE173">
        <v>5</v>
      </c>
      <c r="AF173" t="s">
        <v>336</v>
      </c>
      <c r="AG173">
        <v>1</v>
      </c>
      <c r="AH173">
        <v>837</v>
      </c>
      <c r="AJ173" t="s">
        <v>42</v>
      </c>
      <c r="AK173" t="s">
        <v>42</v>
      </c>
      <c r="AL173" t="s">
        <v>42</v>
      </c>
      <c r="AM173">
        <v>132075</v>
      </c>
      <c r="AN173" t="s">
        <v>68</v>
      </c>
      <c r="AO173">
        <v>2979132</v>
      </c>
    </row>
    <row r="174" spans="1:41" x14ac:dyDescent="0.25">
      <c r="A174" t="s">
        <v>41</v>
      </c>
      <c r="B174" s="1">
        <v>41816</v>
      </c>
      <c r="C174" t="s">
        <v>42</v>
      </c>
      <c r="D174">
        <v>1</v>
      </c>
      <c r="E174" t="s">
        <v>42</v>
      </c>
      <c r="F174" t="s">
        <v>42</v>
      </c>
      <c r="G174">
        <v>19970616</v>
      </c>
      <c r="H174" t="s">
        <v>102</v>
      </c>
      <c r="I174">
        <v>2</v>
      </c>
      <c r="J174" t="s">
        <v>46</v>
      </c>
      <c r="L174">
        <v>4</v>
      </c>
      <c r="M174">
        <v>1720</v>
      </c>
      <c r="N174">
        <v>2010</v>
      </c>
      <c r="O174">
        <v>2010</v>
      </c>
      <c r="P174">
        <v>4760</v>
      </c>
      <c r="Q174">
        <v>1830</v>
      </c>
      <c r="S174">
        <v>1</v>
      </c>
      <c r="T174">
        <v>3990</v>
      </c>
      <c r="U174" t="s">
        <v>47</v>
      </c>
      <c r="V174">
        <v>8</v>
      </c>
      <c r="W174" t="b">
        <v>0</v>
      </c>
      <c r="X174" t="b">
        <v>0</v>
      </c>
      <c r="Y174" t="s">
        <v>42</v>
      </c>
      <c r="Z174" t="s">
        <v>48</v>
      </c>
      <c r="AA174" t="s">
        <v>337</v>
      </c>
      <c r="AD174" t="s">
        <v>50</v>
      </c>
      <c r="AE174">
        <v>5</v>
      </c>
      <c r="AF174" t="s">
        <v>51</v>
      </c>
      <c r="AG174">
        <v>1</v>
      </c>
      <c r="AH174">
        <v>92</v>
      </c>
      <c r="AJ174" t="s">
        <v>42</v>
      </c>
      <c r="AK174" t="s">
        <v>42</v>
      </c>
      <c r="AL174" t="s">
        <v>42</v>
      </c>
      <c r="AM174">
        <v>215132</v>
      </c>
      <c r="AN174" t="s">
        <v>52</v>
      </c>
      <c r="AO174">
        <v>3022323</v>
      </c>
    </row>
    <row r="175" spans="1:41" x14ac:dyDescent="0.25">
      <c r="A175" t="s">
        <v>41</v>
      </c>
      <c r="B175" s="1">
        <v>41856</v>
      </c>
      <c r="C175" t="s">
        <v>42</v>
      </c>
      <c r="D175">
        <v>1</v>
      </c>
      <c r="E175" t="s">
        <v>42</v>
      </c>
      <c r="F175" t="s">
        <v>42</v>
      </c>
      <c r="G175">
        <v>20070701</v>
      </c>
      <c r="H175" t="s">
        <v>283</v>
      </c>
      <c r="I175">
        <v>2</v>
      </c>
      <c r="J175" t="s">
        <v>71</v>
      </c>
      <c r="L175">
        <v>4</v>
      </c>
      <c r="M175">
        <v>1760</v>
      </c>
      <c r="N175">
        <v>2077</v>
      </c>
      <c r="O175">
        <v>2077</v>
      </c>
      <c r="P175">
        <v>4780</v>
      </c>
      <c r="Q175">
        <v>1830</v>
      </c>
      <c r="R175">
        <v>1300</v>
      </c>
      <c r="S175">
        <v>1</v>
      </c>
      <c r="T175">
        <v>4196</v>
      </c>
      <c r="U175" t="s">
        <v>273</v>
      </c>
      <c r="V175">
        <v>8</v>
      </c>
      <c r="W175" t="b">
        <v>0</v>
      </c>
      <c r="X175" t="b">
        <v>0</v>
      </c>
      <c r="Y175" t="s">
        <v>42</v>
      </c>
      <c r="Z175" t="s">
        <v>48</v>
      </c>
      <c r="AA175" t="s">
        <v>338</v>
      </c>
      <c r="AB175">
        <v>2</v>
      </c>
      <c r="AD175" t="s">
        <v>339</v>
      </c>
      <c r="AE175">
        <v>5</v>
      </c>
      <c r="AF175" t="s">
        <v>42</v>
      </c>
      <c r="AG175">
        <v>1</v>
      </c>
      <c r="AH175">
        <v>753</v>
      </c>
      <c r="AI175">
        <v>261</v>
      </c>
      <c r="AJ175" t="s">
        <v>42</v>
      </c>
      <c r="AK175" t="s">
        <v>42</v>
      </c>
      <c r="AL175" t="s">
        <v>42</v>
      </c>
      <c r="AM175">
        <v>109375</v>
      </c>
      <c r="AN175" t="s">
        <v>340</v>
      </c>
      <c r="AO175">
        <v>3032721</v>
      </c>
    </row>
    <row r="176" spans="1:41" x14ac:dyDescent="0.25">
      <c r="A176" t="s">
        <v>41</v>
      </c>
      <c r="B176" s="1">
        <v>42048</v>
      </c>
      <c r="C176" t="s">
        <v>42</v>
      </c>
      <c r="D176">
        <v>1</v>
      </c>
      <c r="E176" t="s">
        <v>42</v>
      </c>
      <c r="F176" t="s">
        <v>42</v>
      </c>
      <c r="G176">
        <v>19990901</v>
      </c>
      <c r="H176" t="s">
        <v>59</v>
      </c>
      <c r="I176">
        <v>2</v>
      </c>
      <c r="J176" t="s">
        <v>71</v>
      </c>
      <c r="K176">
        <v>4</v>
      </c>
      <c r="L176">
        <v>4</v>
      </c>
      <c r="M176">
        <v>1825</v>
      </c>
      <c r="N176">
        <v>2100</v>
      </c>
      <c r="O176">
        <v>2100</v>
      </c>
      <c r="P176">
        <v>4760</v>
      </c>
      <c r="Q176">
        <v>1830</v>
      </c>
      <c r="R176">
        <v>1310</v>
      </c>
      <c r="S176">
        <v>1</v>
      </c>
      <c r="T176">
        <v>3996</v>
      </c>
      <c r="U176" t="s">
        <v>65</v>
      </c>
      <c r="V176">
        <v>8</v>
      </c>
      <c r="W176" t="b">
        <v>0</v>
      </c>
      <c r="X176" t="b">
        <v>0</v>
      </c>
      <c r="Y176" t="s">
        <v>42</v>
      </c>
      <c r="Z176" t="s">
        <v>48</v>
      </c>
      <c r="AA176" t="s">
        <v>314</v>
      </c>
      <c r="AB176">
        <v>2</v>
      </c>
      <c r="AD176" t="s">
        <v>315</v>
      </c>
      <c r="AE176">
        <v>5</v>
      </c>
      <c r="AF176" t="s">
        <v>42</v>
      </c>
      <c r="AG176">
        <v>1</v>
      </c>
      <c r="AH176">
        <v>285</v>
      </c>
      <c r="AJ176" t="s">
        <v>42</v>
      </c>
      <c r="AK176" t="s">
        <v>42</v>
      </c>
      <c r="AL176" t="s">
        <v>42</v>
      </c>
      <c r="AM176">
        <v>164113</v>
      </c>
      <c r="AN176" t="s">
        <v>341</v>
      </c>
      <c r="AO176">
        <v>3039527</v>
      </c>
    </row>
    <row r="177" spans="1:41" x14ac:dyDescent="0.25">
      <c r="A177" t="s">
        <v>41</v>
      </c>
      <c r="B177" s="1">
        <v>42271</v>
      </c>
      <c r="C177" t="s">
        <v>42</v>
      </c>
      <c r="D177">
        <v>1</v>
      </c>
      <c r="E177" t="s">
        <v>42</v>
      </c>
      <c r="F177" t="s">
        <v>42</v>
      </c>
      <c r="G177">
        <v>20030915</v>
      </c>
      <c r="H177" t="s">
        <v>84</v>
      </c>
      <c r="I177">
        <v>2</v>
      </c>
      <c r="J177" t="s">
        <v>71</v>
      </c>
      <c r="L177">
        <v>4</v>
      </c>
      <c r="M177">
        <v>1735</v>
      </c>
      <c r="N177">
        <v>2175</v>
      </c>
      <c r="O177">
        <v>2175</v>
      </c>
      <c r="P177">
        <v>4760</v>
      </c>
      <c r="Q177">
        <v>1829</v>
      </c>
      <c r="R177">
        <v>1296</v>
      </c>
      <c r="S177">
        <v>1</v>
      </c>
      <c r="T177">
        <v>4196</v>
      </c>
      <c r="U177" t="s">
        <v>273</v>
      </c>
      <c r="V177">
        <v>8</v>
      </c>
      <c r="W177" t="b">
        <v>0</v>
      </c>
      <c r="X177" t="b">
        <v>0</v>
      </c>
      <c r="Y177" t="s">
        <v>42</v>
      </c>
      <c r="Z177" t="s">
        <v>48</v>
      </c>
      <c r="AA177" t="s">
        <v>342</v>
      </c>
      <c r="AB177">
        <v>2</v>
      </c>
      <c r="AD177" t="s">
        <v>315</v>
      </c>
      <c r="AE177">
        <v>5</v>
      </c>
      <c r="AF177" t="s">
        <v>138</v>
      </c>
      <c r="AG177">
        <v>1</v>
      </c>
      <c r="AH177">
        <v>179</v>
      </c>
      <c r="AJ177" t="s">
        <v>42</v>
      </c>
      <c r="AK177" t="s">
        <v>42</v>
      </c>
      <c r="AL177" t="s">
        <v>42</v>
      </c>
      <c r="AM177">
        <v>95296</v>
      </c>
      <c r="AN177" t="s">
        <v>277</v>
      </c>
      <c r="AO177">
        <v>3044277</v>
      </c>
    </row>
    <row r="178" spans="1:41" x14ac:dyDescent="0.25">
      <c r="A178" t="s">
        <v>41</v>
      </c>
      <c r="B178" s="1">
        <v>41900</v>
      </c>
      <c r="C178" t="s">
        <v>42</v>
      </c>
      <c r="D178">
        <v>1</v>
      </c>
      <c r="E178" t="s">
        <v>53</v>
      </c>
      <c r="F178" t="s">
        <v>54</v>
      </c>
      <c r="G178">
        <v>20070301</v>
      </c>
      <c r="H178" t="s">
        <v>102</v>
      </c>
      <c r="I178">
        <v>2</v>
      </c>
      <c r="J178" t="s">
        <v>46</v>
      </c>
      <c r="L178">
        <v>4</v>
      </c>
      <c r="M178">
        <v>1720</v>
      </c>
      <c r="N178">
        <v>2035</v>
      </c>
      <c r="O178">
        <v>2035</v>
      </c>
      <c r="P178">
        <v>4790</v>
      </c>
      <c r="Q178">
        <v>1890</v>
      </c>
      <c r="R178">
        <v>1320</v>
      </c>
      <c r="S178">
        <v>1</v>
      </c>
      <c r="T178">
        <v>4190</v>
      </c>
      <c r="U178" t="s">
        <v>55</v>
      </c>
      <c r="V178">
        <v>8</v>
      </c>
      <c r="W178" t="b">
        <v>0</v>
      </c>
      <c r="X178" t="b">
        <v>0</v>
      </c>
      <c r="Y178" t="s">
        <v>42</v>
      </c>
      <c r="Z178" t="s">
        <v>48</v>
      </c>
      <c r="AA178" t="s">
        <v>343</v>
      </c>
      <c r="AB178">
        <v>2</v>
      </c>
      <c r="AC178">
        <v>6</v>
      </c>
      <c r="AD178" t="s">
        <v>183</v>
      </c>
      <c r="AE178">
        <v>5</v>
      </c>
      <c r="AF178" t="s">
        <v>57</v>
      </c>
      <c r="AG178">
        <v>1</v>
      </c>
      <c r="AH178">
        <v>142</v>
      </c>
      <c r="AI178">
        <v>269</v>
      </c>
      <c r="AJ178" t="s">
        <v>42</v>
      </c>
      <c r="AK178" t="s">
        <v>42</v>
      </c>
      <c r="AL178" t="s">
        <v>42</v>
      </c>
      <c r="AM178">
        <v>269234</v>
      </c>
      <c r="AN178" t="s">
        <v>344</v>
      </c>
      <c r="AO178">
        <v>3052705</v>
      </c>
    </row>
    <row r="179" spans="1:41" x14ac:dyDescent="0.25">
      <c r="A179" t="s">
        <v>41</v>
      </c>
      <c r="B179" s="1">
        <v>41936</v>
      </c>
      <c r="C179" t="s">
        <v>42</v>
      </c>
      <c r="D179">
        <v>1</v>
      </c>
      <c r="E179" t="s">
        <v>42</v>
      </c>
      <c r="F179" t="s">
        <v>42</v>
      </c>
      <c r="G179">
        <v>19980831</v>
      </c>
      <c r="H179" t="s">
        <v>59</v>
      </c>
      <c r="I179">
        <v>2</v>
      </c>
      <c r="J179" t="s">
        <v>71</v>
      </c>
      <c r="L179">
        <v>4</v>
      </c>
      <c r="M179">
        <v>1810</v>
      </c>
      <c r="N179">
        <v>2100</v>
      </c>
      <c r="O179">
        <v>2100</v>
      </c>
      <c r="P179">
        <v>4760</v>
      </c>
      <c r="Q179">
        <v>1829</v>
      </c>
      <c r="R179">
        <v>1306</v>
      </c>
      <c r="S179">
        <v>1</v>
      </c>
      <c r="T179">
        <v>3996</v>
      </c>
      <c r="U179" t="s">
        <v>47</v>
      </c>
      <c r="V179">
        <v>8</v>
      </c>
      <c r="W179" t="b">
        <v>0</v>
      </c>
      <c r="X179" t="b">
        <v>0</v>
      </c>
      <c r="Y179" t="s">
        <v>42</v>
      </c>
      <c r="Z179" t="s">
        <v>48</v>
      </c>
      <c r="AA179" t="s">
        <v>345</v>
      </c>
      <c r="AB179">
        <v>2</v>
      </c>
      <c r="AD179" t="s">
        <v>339</v>
      </c>
      <c r="AE179">
        <v>5</v>
      </c>
      <c r="AF179" t="s">
        <v>346</v>
      </c>
      <c r="AG179">
        <v>1</v>
      </c>
      <c r="AH179">
        <v>202</v>
      </c>
      <c r="AJ179" t="s">
        <v>42</v>
      </c>
      <c r="AK179" t="s">
        <v>42</v>
      </c>
      <c r="AL179" t="s">
        <v>42</v>
      </c>
      <c r="AM179">
        <v>119910</v>
      </c>
      <c r="AN179" t="s">
        <v>61</v>
      </c>
      <c r="AO179">
        <v>3053330</v>
      </c>
    </row>
    <row r="180" spans="1:41" x14ac:dyDescent="0.25">
      <c r="A180" t="s">
        <v>41</v>
      </c>
      <c r="B180" s="1">
        <v>42054</v>
      </c>
      <c r="C180" t="s">
        <v>42</v>
      </c>
      <c r="D180">
        <v>1</v>
      </c>
      <c r="E180" t="s">
        <v>42</v>
      </c>
      <c r="F180" t="s">
        <v>42</v>
      </c>
      <c r="G180">
        <v>20020000</v>
      </c>
      <c r="H180" t="s">
        <v>45</v>
      </c>
      <c r="I180">
        <v>2</v>
      </c>
      <c r="J180" t="s">
        <v>71</v>
      </c>
      <c r="K180">
        <v>4</v>
      </c>
      <c r="L180">
        <v>4</v>
      </c>
      <c r="M180">
        <v>1780</v>
      </c>
      <c r="N180">
        <v>2102</v>
      </c>
      <c r="O180">
        <v>2102</v>
      </c>
      <c r="P180">
        <v>4760</v>
      </c>
      <c r="Q180">
        <v>1830</v>
      </c>
      <c r="R180">
        <v>1290</v>
      </c>
      <c r="S180">
        <v>1</v>
      </c>
      <c r="T180">
        <v>3996</v>
      </c>
      <c r="U180" t="s">
        <v>47</v>
      </c>
      <c r="V180">
        <v>8</v>
      </c>
      <c r="W180" t="b">
        <v>0</v>
      </c>
      <c r="X180" t="b">
        <v>0</v>
      </c>
      <c r="Y180" t="s">
        <v>42</v>
      </c>
      <c r="Z180" t="s">
        <v>48</v>
      </c>
      <c r="AA180" t="s">
        <v>314</v>
      </c>
      <c r="AB180">
        <v>2</v>
      </c>
      <c r="AD180" t="s">
        <v>315</v>
      </c>
      <c r="AE180">
        <v>5</v>
      </c>
      <c r="AF180" t="s">
        <v>42</v>
      </c>
      <c r="AG180">
        <v>1</v>
      </c>
      <c r="AH180">
        <v>49</v>
      </c>
      <c r="AJ180" t="s">
        <v>42</v>
      </c>
      <c r="AK180" t="s">
        <v>42</v>
      </c>
      <c r="AL180" t="s">
        <v>42</v>
      </c>
      <c r="AM180">
        <v>123202</v>
      </c>
      <c r="AN180" t="s">
        <v>347</v>
      </c>
      <c r="AO180">
        <v>3100222</v>
      </c>
    </row>
    <row r="181" spans="1:41" x14ac:dyDescent="0.25">
      <c r="A181" t="s">
        <v>41</v>
      </c>
      <c r="B181" s="1">
        <v>42149</v>
      </c>
      <c r="C181" t="s">
        <v>42</v>
      </c>
      <c r="D181">
        <v>1</v>
      </c>
      <c r="E181" t="s">
        <v>53</v>
      </c>
      <c r="F181" t="s">
        <v>54</v>
      </c>
      <c r="G181">
        <v>20060721</v>
      </c>
      <c r="H181" t="s">
        <v>64</v>
      </c>
      <c r="I181">
        <v>2</v>
      </c>
      <c r="J181" t="s">
        <v>46</v>
      </c>
      <c r="L181">
        <v>4</v>
      </c>
      <c r="M181">
        <v>1720</v>
      </c>
      <c r="N181">
        <v>2035</v>
      </c>
      <c r="O181">
        <v>2035</v>
      </c>
      <c r="P181">
        <v>4790</v>
      </c>
      <c r="Q181">
        <v>1890</v>
      </c>
      <c r="R181">
        <v>1320</v>
      </c>
      <c r="S181">
        <v>1</v>
      </c>
      <c r="T181">
        <v>4190</v>
      </c>
      <c r="U181" t="s">
        <v>55</v>
      </c>
      <c r="V181">
        <v>8</v>
      </c>
      <c r="W181" t="b">
        <v>0</v>
      </c>
      <c r="X181" t="b">
        <v>0</v>
      </c>
      <c r="Y181" t="s">
        <v>42</v>
      </c>
      <c r="Z181" t="s">
        <v>48</v>
      </c>
      <c r="AA181" t="s">
        <v>171</v>
      </c>
      <c r="AB181">
        <v>2</v>
      </c>
      <c r="AC181">
        <v>6</v>
      </c>
      <c r="AD181" t="s">
        <v>50</v>
      </c>
      <c r="AE181">
        <v>5</v>
      </c>
      <c r="AF181" t="s">
        <v>106</v>
      </c>
      <c r="AG181">
        <v>1</v>
      </c>
      <c r="AH181">
        <v>837</v>
      </c>
      <c r="AI181">
        <v>269</v>
      </c>
      <c r="AJ181" t="s">
        <v>42</v>
      </c>
      <c r="AK181" t="s">
        <v>42</v>
      </c>
      <c r="AL181" t="s">
        <v>42</v>
      </c>
      <c r="AM181">
        <v>153852</v>
      </c>
      <c r="AN181" t="s">
        <v>348</v>
      </c>
      <c r="AO181">
        <v>3157590</v>
      </c>
    </row>
    <row r="182" spans="1:41" x14ac:dyDescent="0.25">
      <c r="A182" t="s">
        <v>41</v>
      </c>
      <c r="B182" s="1">
        <v>42123</v>
      </c>
      <c r="C182" t="s">
        <v>42</v>
      </c>
      <c r="D182">
        <v>1</v>
      </c>
      <c r="E182" t="s">
        <v>249</v>
      </c>
      <c r="F182" t="s">
        <v>108</v>
      </c>
      <c r="G182">
        <v>20140320</v>
      </c>
      <c r="H182" t="s">
        <v>45</v>
      </c>
      <c r="I182">
        <v>2</v>
      </c>
      <c r="J182" t="s">
        <v>71</v>
      </c>
      <c r="L182">
        <v>4</v>
      </c>
      <c r="M182">
        <v>1734</v>
      </c>
      <c r="N182">
        <v>2120</v>
      </c>
      <c r="O182">
        <v>2120</v>
      </c>
      <c r="P182">
        <v>4784</v>
      </c>
      <c r="Q182">
        <v>1892</v>
      </c>
      <c r="R182">
        <v>1329</v>
      </c>
      <c r="S182">
        <v>1</v>
      </c>
      <c r="T182">
        <v>5000</v>
      </c>
      <c r="U182" t="s">
        <v>250</v>
      </c>
      <c r="V182">
        <v>8</v>
      </c>
      <c r="W182" t="b">
        <v>0</v>
      </c>
      <c r="X182" t="b">
        <v>0</v>
      </c>
      <c r="Y182" t="s">
        <v>42</v>
      </c>
      <c r="Z182" t="s">
        <v>48</v>
      </c>
      <c r="AA182" t="s">
        <v>349</v>
      </c>
      <c r="AB182">
        <v>2</v>
      </c>
      <c r="AD182" t="s">
        <v>350</v>
      </c>
      <c r="AE182">
        <v>5</v>
      </c>
      <c r="AF182" t="s">
        <v>351</v>
      </c>
      <c r="AG182">
        <v>1</v>
      </c>
      <c r="AH182">
        <v>740</v>
      </c>
      <c r="AI182">
        <v>264</v>
      </c>
      <c r="AJ182" t="s">
        <v>42</v>
      </c>
      <c r="AK182" t="s">
        <v>42</v>
      </c>
      <c r="AL182" t="s">
        <v>42</v>
      </c>
      <c r="AM182">
        <v>16428</v>
      </c>
      <c r="AN182" t="s">
        <v>352</v>
      </c>
      <c r="AO182">
        <v>3169850</v>
      </c>
    </row>
    <row r="183" spans="1:41" x14ac:dyDescent="0.25">
      <c r="A183" t="s">
        <v>41</v>
      </c>
      <c r="B183" s="1">
        <v>42187</v>
      </c>
      <c r="C183" t="s">
        <v>42</v>
      </c>
      <c r="D183">
        <v>1</v>
      </c>
      <c r="E183" t="s">
        <v>151</v>
      </c>
      <c r="F183" t="s">
        <v>353</v>
      </c>
      <c r="G183">
        <v>20010508</v>
      </c>
      <c r="H183" t="s">
        <v>92</v>
      </c>
      <c r="I183">
        <v>2</v>
      </c>
      <c r="J183" t="s">
        <v>71</v>
      </c>
      <c r="L183">
        <v>4</v>
      </c>
      <c r="M183">
        <v>1825</v>
      </c>
      <c r="N183">
        <v>2100</v>
      </c>
      <c r="O183">
        <v>2100</v>
      </c>
      <c r="P183">
        <v>4760</v>
      </c>
      <c r="Q183">
        <v>1830</v>
      </c>
      <c r="R183">
        <v>1310</v>
      </c>
      <c r="S183">
        <v>1</v>
      </c>
      <c r="T183">
        <v>3990</v>
      </c>
      <c r="U183" t="s">
        <v>65</v>
      </c>
      <c r="V183">
        <v>8</v>
      </c>
      <c r="W183" t="b">
        <v>1</v>
      </c>
      <c r="X183" t="b">
        <v>0</v>
      </c>
      <c r="Y183" t="s">
        <v>42</v>
      </c>
      <c r="Z183" t="s">
        <v>48</v>
      </c>
      <c r="AA183" t="s">
        <v>354</v>
      </c>
      <c r="AB183">
        <v>2</v>
      </c>
      <c r="AD183" t="s">
        <v>189</v>
      </c>
      <c r="AE183">
        <v>5</v>
      </c>
      <c r="AF183" t="s">
        <v>207</v>
      </c>
      <c r="AG183">
        <v>1</v>
      </c>
      <c r="AH183">
        <v>638</v>
      </c>
      <c r="AI183">
        <v>305</v>
      </c>
      <c r="AJ183" t="s">
        <v>42</v>
      </c>
      <c r="AK183" t="s">
        <v>42</v>
      </c>
      <c r="AL183" t="s">
        <v>42</v>
      </c>
      <c r="AM183">
        <v>113489</v>
      </c>
      <c r="AN183" t="s">
        <v>355</v>
      </c>
      <c r="AO183">
        <v>3175710</v>
      </c>
    </row>
    <row r="184" spans="1:41" x14ac:dyDescent="0.25">
      <c r="A184" t="s">
        <v>41</v>
      </c>
      <c r="B184" s="1">
        <v>42184</v>
      </c>
      <c r="C184" t="s">
        <v>42</v>
      </c>
      <c r="D184">
        <v>1</v>
      </c>
      <c r="E184" t="s">
        <v>42</v>
      </c>
      <c r="F184" t="s">
        <v>42</v>
      </c>
      <c r="G184">
        <v>20000621</v>
      </c>
      <c r="H184" t="s">
        <v>92</v>
      </c>
      <c r="I184">
        <v>2</v>
      </c>
      <c r="J184" t="s">
        <v>42</v>
      </c>
      <c r="L184">
        <v>4</v>
      </c>
      <c r="M184">
        <v>1715</v>
      </c>
      <c r="N184">
        <v>2010</v>
      </c>
      <c r="O184">
        <v>2010</v>
      </c>
      <c r="P184">
        <v>4760</v>
      </c>
      <c r="Q184">
        <v>1830</v>
      </c>
      <c r="S184">
        <v>1</v>
      </c>
      <c r="T184">
        <v>3990</v>
      </c>
      <c r="U184" t="s">
        <v>65</v>
      </c>
      <c r="V184">
        <v>8</v>
      </c>
      <c r="W184" t="b">
        <v>1</v>
      </c>
      <c r="X184" t="b">
        <v>0</v>
      </c>
      <c r="Y184" t="s">
        <v>42</v>
      </c>
      <c r="Z184" t="s">
        <v>48</v>
      </c>
      <c r="AA184" t="s">
        <v>356</v>
      </c>
      <c r="AB184">
        <v>2</v>
      </c>
      <c r="AD184" t="s">
        <v>357</v>
      </c>
      <c r="AE184">
        <v>2</v>
      </c>
      <c r="AF184" t="s">
        <v>82</v>
      </c>
      <c r="AG184">
        <v>1</v>
      </c>
      <c r="AH184">
        <v>109</v>
      </c>
      <c r="AI184">
        <v>293</v>
      </c>
      <c r="AJ184" t="s">
        <v>42</v>
      </c>
      <c r="AK184" t="s">
        <v>42</v>
      </c>
      <c r="AL184" t="s">
        <v>42</v>
      </c>
      <c r="AM184">
        <v>176090</v>
      </c>
      <c r="AN184" t="s">
        <v>358</v>
      </c>
      <c r="AO184">
        <v>3180599</v>
      </c>
    </row>
    <row r="185" spans="1:41" x14ac:dyDescent="0.25">
      <c r="A185" t="s">
        <v>41</v>
      </c>
      <c r="B185" s="1">
        <v>42208</v>
      </c>
      <c r="C185" t="s">
        <v>42</v>
      </c>
      <c r="D185">
        <v>1</v>
      </c>
      <c r="E185" t="s">
        <v>69</v>
      </c>
      <c r="F185" t="s">
        <v>70</v>
      </c>
      <c r="G185">
        <v>20050602</v>
      </c>
      <c r="H185" t="s">
        <v>64</v>
      </c>
      <c r="I185">
        <v>2</v>
      </c>
      <c r="J185" t="s">
        <v>46</v>
      </c>
      <c r="K185">
        <v>4</v>
      </c>
      <c r="L185">
        <v>4</v>
      </c>
      <c r="M185">
        <v>1810</v>
      </c>
      <c r="N185">
        <v>2185</v>
      </c>
      <c r="O185">
        <v>2185</v>
      </c>
      <c r="P185">
        <v>4800</v>
      </c>
      <c r="Q185">
        <v>1830</v>
      </c>
      <c r="R185">
        <v>1310</v>
      </c>
      <c r="S185">
        <v>1</v>
      </c>
      <c r="T185">
        <v>4196</v>
      </c>
      <c r="U185" t="s">
        <v>323</v>
      </c>
      <c r="V185">
        <v>8</v>
      </c>
      <c r="W185" t="b">
        <v>1</v>
      </c>
      <c r="X185" t="b">
        <v>0</v>
      </c>
      <c r="Y185" t="s">
        <v>42</v>
      </c>
      <c r="Z185" t="s">
        <v>48</v>
      </c>
      <c r="AA185" t="s">
        <v>359</v>
      </c>
      <c r="AB185">
        <v>2</v>
      </c>
      <c r="AD185" t="s">
        <v>360</v>
      </c>
      <c r="AE185">
        <v>5</v>
      </c>
      <c r="AF185" t="s">
        <v>361</v>
      </c>
      <c r="AG185">
        <v>1</v>
      </c>
      <c r="AH185">
        <v>49</v>
      </c>
      <c r="AI185">
        <v>304</v>
      </c>
      <c r="AJ185" t="s">
        <v>42</v>
      </c>
      <c r="AK185" t="s">
        <v>42</v>
      </c>
      <c r="AL185" t="s">
        <v>42</v>
      </c>
      <c r="AM185">
        <v>81837</v>
      </c>
      <c r="AN185" t="s">
        <v>362</v>
      </c>
      <c r="AO185">
        <v>3184244</v>
      </c>
    </row>
    <row r="186" spans="1:41" x14ac:dyDescent="0.25">
      <c r="A186" t="s">
        <v>41</v>
      </c>
      <c r="B186" s="1">
        <v>42200</v>
      </c>
      <c r="C186" t="s">
        <v>42</v>
      </c>
      <c r="D186">
        <v>1</v>
      </c>
      <c r="E186" t="s">
        <v>122</v>
      </c>
      <c r="F186" t="s">
        <v>123</v>
      </c>
      <c r="G186">
        <v>20030613</v>
      </c>
      <c r="H186" t="s">
        <v>92</v>
      </c>
      <c r="I186">
        <v>2</v>
      </c>
      <c r="J186" t="s">
        <v>71</v>
      </c>
      <c r="L186">
        <v>4</v>
      </c>
      <c r="M186">
        <v>1770</v>
      </c>
      <c r="N186">
        <v>2185</v>
      </c>
      <c r="O186">
        <v>2185</v>
      </c>
      <c r="P186">
        <v>4760</v>
      </c>
      <c r="Q186">
        <v>1830</v>
      </c>
      <c r="R186">
        <v>1310</v>
      </c>
      <c r="S186">
        <v>1</v>
      </c>
      <c r="T186">
        <v>4196</v>
      </c>
      <c r="U186" t="s">
        <v>273</v>
      </c>
      <c r="V186">
        <v>8</v>
      </c>
      <c r="W186" t="b">
        <v>0</v>
      </c>
      <c r="X186" t="b">
        <v>0</v>
      </c>
      <c r="Y186" t="s">
        <v>42</v>
      </c>
      <c r="Z186" t="s">
        <v>48</v>
      </c>
      <c r="AA186" t="s">
        <v>311</v>
      </c>
      <c r="AB186">
        <v>2</v>
      </c>
      <c r="AD186" t="s">
        <v>206</v>
      </c>
      <c r="AE186">
        <v>5</v>
      </c>
      <c r="AF186" t="s">
        <v>237</v>
      </c>
      <c r="AG186">
        <v>1</v>
      </c>
      <c r="AH186">
        <v>604</v>
      </c>
      <c r="AI186">
        <v>279</v>
      </c>
      <c r="AJ186" t="s">
        <v>42</v>
      </c>
      <c r="AK186" t="s">
        <v>42</v>
      </c>
      <c r="AL186" t="s">
        <v>42</v>
      </c>
      <c r="AM186">
        <v>169420</v>
      </c>
      <c r="AN186" t="s">
        <v>363</v>
      </c>
      <c r="AO186">
        <v>3193433</v>
      </c>
    </row>
    <row r="187" spans="1:41" x14ac:dyDescent="0.25">
      <c r="A187" t="s">
        <v>41</v>
      </c>
      <c r="B187" s="1">
        <v>42248</v>
      </c>
      <c r="C187" t="s">
        <v>42</v>
      </c>
      <c r="D187">
        <v>1</v>
      </c>
      <c r="E187" t="s">
        <v>160</v>
      </c>
      <c r="F187" t="s">
        <v>108</v>
      </c>
      <c r="G187">
        <v>20071001</v>
      </c>
      <c r="H187" t="s">
        <v>64</v>
      </c>
      <c r="I187">
        <v>2</v>
      </c>
      <c r="J187" t="s">
        <v>71</v>
      </c>
      <c r="K187">
        <v>4</v>
      </c>
      <c r="L187">
        <v>4</v>
      </c>
      <c r="M187">
        <v>1785</v>
      </c>
      <c r="N187">
        <v>2120</v>
      </c>
      <c r="O187">
        <v>2120</v>
      </c>
      <c r="P187">
        <v>4790</v>
      </c>
      <c r="Q187">
        <v>1890</v>
      </c>
      <c r="R187">
        <v>1330</v>
      </c>
      <c r="S187">
        <v>1</v>
      </c>
      <c r="T187">
        <v>4190</v>
      </c>
      <c r="U187" t="s">
        <v>156</v>
      </c>
      <c r="V187">
        <v>8</v>
      </c>
      <c r="W187" t="b">
        <v>1</v>
      </c>
      <c r="X187" t="b">
        <v>0</v>
      </c>
      <c r="Y187" t="s">
        <v>42</v>
      </c>
      <c r="Z187" t="s">
        <v>48</v>
      </c>
      <c r="AA187" t="s">
        <v>364</v>
      </c>
      <c r="AB187">
        <v>2</v>
      </c>
      <c r="AD187" t="s">
        <v>189</v>
      </c>
      <c r="AE187">
        <v>5</v>
      </c>
      <c r="AF187" t="s">
        <v>176</v>
      </c>
      <c r="AG187">
        <v>1</v>
      </c>
      <c r="AH187">
        <v>75</v>
      </c>
      <c r="AI187">
        <v>294</v>
      </c>
      <c r="AJ187" t="s">
        <v>42</v>
      </c>
      <c r="AK187" t="s">
        <v>42</v>
      </c>
      <c r="AL187" t="s">
        <v>42</v>
      </c>
      <c r="AM187">
        <v>166735</v>
      </c>
      <c r="AN187" t="s">
        <v>365</v>
      </c>
      <c r="AO187">
        <v>3213919</v>
      </c>
    </row>
    <row r="188" spans="1:41" x14ac:dyDescent="0.25">
      <c r="A188" t="s">
        <v>41</v>
      </c>
      <c r="B188" s="1">
        <v>42272</v>
      </c>
      <c r="C188" t="s">
        <v>42</v>
      </c>
      <c r="D188">
        <v>1</v>
      </c>
      <c r="E188" t="s">
        <v>53</v>
      </c>
      <c r="F188" t="s">
        <v>54</v>
      </c>
      <c r="G188">
        <v>20060327</v>
      </c>
      <c r="H188" t="s">
        <v>64</v>
      </c>
      <c r="I188">
        <v>2</v>
      </c>
      <c r="J188" t="s">
        <v>46</v>
      </c>
      <c r="K188">
        <v>1</v>
      </c>
      <c r="L188">
        <v>4</v>
      </c>
      <c r="M188">
        <v>1720</v>
      </c>
      <c r="N188">
        <v>2035</v>
      </c>
      <c r="O188">
        <v>2035</v>
      </c>
      <c r="P188">
        <v>4791</v>
      </c>
      <c r="Q188">
        <v>1893</v>
      </c>
      <c r="R188">
        <v>1322</v>
      </c>
      <c r="S188">
        <v>1</v>
      </c>
      <c r="T188">
        <v>4190</v>
      </c>
      <c r="U188" t="s">
        <v>55</v>
      </c>
      <c r="V188">
        <v>8</v>
      </c>
      <c r="W188" t="b">
        <v>0</v>
      </c>
      <c r="X188" t="b">
        <v>0</v>
      </c>
      <c r="Y188" t="s">
        <v>42</v>
      </c>
      <c r="Z188" t="s">
        <v>48</v>
      </c>
      <c r="AA188" t="s">
        <v>171</v>
      </c>
      <c r="AB188">
        <v>2</v>
      </c>
      <c r="AC188">
        <v>6</v>
      </c>
      <c r="AD188" t="s">
        <v>50</v>
      </c>
      <c r="AE188">
        <v>5</v>
      </c>
      <c r="AF188" t="s">
        <v>106</v>
      </c>
      <c r="AG188">
        <v>1</v>
      </c>
      <c r="AH188">
        <v>543</v>
      </c>
      <c r="AI188">
        <v>269</v>
      </c>
      <c r="AJ188" t="s">
        <v>42</v>
      </c>
      <c r="AK188" t="s">
        <v>42</v>
      </c>
      <c r="AL188" t="s">
        <v>42</v>
      </c>
      <c r="AM188">
        <v>180868</v>
      </c>
      <c r="AN188" t="s">
        <v>195</v>
      </c>
      <c r="AO188">
        <v>3216666</v>
      </c>
    </row>
    <row r="189" spans="1:41" x14ac:dyDescent="0.25">
      <c r="A189" t="s">
        <v>41</v>
      </c>
      <c r="B189" s="1">
        <v>42282</v>
      </c>
      <c r="C189" t="s">
        <v>42</v>
      </c>
      <c r="D189">
        <v>1</v>
      </c>
      <c r="E189" t="s">
        <v>155</v>
      </c>
      <c r="F189" t="s">
        <v>54</v>
      </c>
      <c r="G189">
        <v>20070529</v>
      </c>
      <c r="H189" t="s">
        <v>84</v>
      </c>
      <c r="I189">
        <v>2</v>
      </c>
      <c r="J189" t="s">
        <v>46</v>
      </c>
      <c r="L189">
        <v>4</v>
      </c>
      <c r="M189">
        <v>1770</v>
      </c>
      <c r="N189">
        <v>2080</v>
      </c>
      <c r="O189">
        <v>2080</v>
      </c>
      <c r="P189">
        <v>4791</v>
      </c>
      <c r="Q189">
        <v>1912</v>
      </c>
      <c r="R189">
        <v>1322</v>
      </c>
      <c r="S189">
        <v>1</v>
      </c>
      <c r="T189">
        <v>4196</v>
      </c>
      <c r="U189" t="s">
        <v>156</v>
      </c>
      <c r="V189">
        <v>8</v>
      </c>
      <c r="W189" t="b">
        <v>1</v>
      </c>
      <c r="X189" t="b">
        <v>0</v>
      </c>
      <c r="Y189" t="s">
        <v>42</v>
      </c>
      <c r="Z189" t="s">
        <v>48</v>
      </c>
      <c r="AA189" t="s">
        <v>211</v>
      </c>
      <c r="AB189">
        <v>2</v>
      </c>
      <c r="AD189" t="s">
        <v>175</v>
      </c>
      <c r="AE189">
        <v>5</v>
      </c>
      <c r="AF189" t="s">
        <v>57</v>
      </c>
      <c r="AG189">
        <v>1</v>
      </c>
      <c r="AH189">
        <v>200</v>
      </c>
      <c r="AI189">
        <v>294</v>
      </c>
      <c r="AJ189" t="s">
        <v>42</v>
      </c>
      <c r="AK189" t="s">
        <v>42</v>
      </c>
      <c r="AL189" t="s">
        <v>42</v>
      </c>
      <c r="AM189">
        <v>142039</v>
      </c>
      <c r="AN189" t="s">
        <v>366</v>
      </c>
      <c r="AO189">
        <v>3223068</v>
      </c>
    </row>
    <row r="190" spans="1:41" x14ac:dyDescent="0.25">
      <c r="A190" t="s">
        <v>41</v>
      </c>
      <c r="B190" s="1">
        <v>42262</v>
      </c>
      <c r="C190" t="s">
        <v>42</v>
      </c>
      <c r="D190">
        <v>1</v>
      </c>
      <c r="E190" t="s">
        <v>53</v>
      </c>
      <c r="F190" t="s">
        <v>367</v>
      </c>
      <c r="G190">
        <v>20060608</v>
      </c>
      <c r="H190" t="s">
        <v>64</v>
      </c>
      <c r="I190">
        <v>2</v>
      </c>
      <c r="J190" t="s">
        <v>46</v>
      </c>
      <c r="K190">
        <v>1</v>
      </c>
      <c r="L190">
        <v>4</v>
      </c>
      <c r="M190">
        <v>1720</v>
      </c>
      <c r="N190">
        <v>2035</v>
      </c>
      <c r="O190">
        <v>2035</v>
      </c>
      <c r="P190">
        <v>4791</v>
      </c>
      <c r="Q190">
        <v>1912</v>
      </c>
      <c r="R190">
        <v>1322</v>
      </c>
      <c r="S190">
        <v>1</v>
      </c>
      <c r="T190">
        <v>4196</v>
      </c>
      <c r="U190" t="s">
        <v>368</v>
      </c>
      <c r="V190">
        <v>8</v>
      </c>
      <c r="W190" t="b">
        <v>0</v>
      </c>
      <c r="X190" t="b">
        <v>0</v>
      </c>
      <c r="Y190" t="s">
        <v>42</v>
      </c>
      <c r="Z190" t="s">
        <v>48</v>
      </c>
      <c r="AA190" t="s">
        <v>369</v>
      </c>
      <c r="AB190">
        <v>2</v>
      </c>
      <c r="AC190">
        <v>6</v>
      </c>
      <c r="AD190" t="s">
        <v>370</v>
      </c>
      <c r="AE190">
        <v>5</v>
      </c>
      <c r="AF190" t="s">
        <v>106</v>
      </c>
      <c r="AG190">
        <v>1</v>
      </c>
      <c r="AH190">
        <v>179</v>
      </c>
      <c r="AI190">
        <v>269</v>
      </c>
      <c r="AJ190" t="s">
        <v>42</v>
      </c>
      <c r="AK190" t="s">
        <v>42</v>
      </c>
      <c r="AL190" t="s">
        <v>42</v>
      </c>
      <c r="AM190">
        <v>247034</v>
      </c>
      <c r="AN190" t="s">
        <v>321</v>
      </c>
      <c r="AO190">
        <v>3239059</v>
      </c>
    </row>
    <row r="191" spans="1:41" x14ac:dyDescent="0.25">
      <c r="A191" t="s">
        <v>41</v>
      </c>
      <c r="B191" s="1">
        <v>42727</v>
      </c>
      <c r="C191" t="s">
        <v>42</v>
      </c>
      <c r="D191">
        <v>1</v>
      </c>
      <c r="E191" t="s">
        <v>42</v>
      </c>
      <c r="F191" t="s">
        <v>42</v>
      </c>
      <c r="G191">
        <v>19980807</v>
      </c>
      <c r="H191" t="s">
        <v>59</v>
      </c>
      <c r="I191">
        <v>2</v>
      </c>
      <c r="J191" t="s">
        <v>71</v>
      </c>
      <c r="K191">
        <v>4</v>
      </c>
      <c r="L191">
        <v>4</v>
      </c>
      <c r="M191">
        <v>1825</v>
      </c>
      <c r="N191">
        <v>2099</v>
      </c>
      <c r="O191">
        <v>2099</v>
      </c>
      <c r="P191">
        <v>4760</v>
      </c>
      <c r="Q191">
        <v>1830</v>
      </c>
      <c r="R191">
        <v>1310</v>
      </c>
      <c r="S191">
        <v>1</v>
      </c>
      <c r="T191">
        <v>3990</v>
      </c>
      <c r="U191" t="s">
        <v>47</v>
      </c>
      <c r="V191">
        <v>8</v>
      </c>
      <c r="W191" t="b">
        <v>0</v>
      </c>
      <c r="X191" t="b">
        <v>0</v>
      </c>
      <c r="Y191" t="s">
        <v>42</v>
      </c>
      <c r="Z191" t="s">
        <v>48</v>
      </c>
      <c r="AA191" t="s">
        <v>371</v>
      </c>
      <c r="AB191">
        <v>2</v>
      </c>
      <c r="AD191" t="s">
        <v>315</v>
      </c>
      <c r="AE191">
        <v>5</v>
      </c>
      <c r="AF191" t="s">
        <v>42</v>
      </c>
      <c r="AG191">
        <v>1</v>
      </c>
      <c r="AH191">
        <v>638</v>
      </c>
      <c r="AJ191" t="s">
        <v>42</v>
      </c>
      <c r="AK191" t="s">
        <v>42</v>
      </c>
      <c r="AL191" t="s">
        <v>42</v>
      </c>
      <c r="AM191">
        <v>115060</v>
      </c>
      <c r="AN191" t="s">
        <v>316</v>
      </c>
      <c r="AO191">
        <v>3259973</v>
      </c>
    </row>
    <row r="192" spans="1:41" x14ac:dyDescent="0.25">
      <c r="A192" t="s">
        <v>41</v>
      </c>
      <c r="B192" s="1">
        <v>42430</v>
      </c>
      <c r="C192" t="s">
        <v>42</v>
      </c>
      <c r="D192">
        <v>1</v>
      </c>
      <c r="E192" t="s">
        <v>53</v>
      </c>
      <c r="F192" t="s">
        <v>54</v>
      </c>
      <c r="G192">
        <v>20061011</v>
      </c>
      <c r="H192" t="s">
        <v>64</v>
      </c>
      <c r="I192">
        <v>2</v>
      </c>
      <c r="J192" t="s">
        <v>46</v>
      </c>
      <c r="K192">
        <v>1</v>
      </c>
      <c r="L192">
        <v>4</v>
      </c>
      <c r="M192">
        <v>1720</v>
      </c>
      <c r="N192">
        <v>2035</v>
      </c>
      <c r="O192">
        <v>2035</v>
      </c>
      <c r="P192">
        <v>4791</v>
      </c>
      <c r="Q192">
        <v>1912</v>
      </c>
      <c r="R192">
        <v>1322</v>
      </c>
      <c r="S192">
        <v>1</v>
      </c>
      <c r="T192">
        <v>4196</v>
      </c>
      <c r="U192" t="s">
        <v>55</v>
      </c>
      <c r="V192">
        <v>8</v>
      </c>
      <c r="W192" t="b">
        <v>0</v>
      </c>
      <c r="X192" t="b">
        <v>0</v>
      </c>
      <c r="Y192" t="s">
        <v>42</v>
      </c>
      <c r="Z192" t="s">
        <v>48</v>
      </c>
      <c r="AA192" t="s">
        <v>369</v>
      </c>
      <c r="AB192">
        <v>2</v>
      </c>
      <c r="AC192">
        <v>6</v>
      </c>
      <c r="AD192" t="s">
        <v>370</v>
      </c>
      <c r="AE192">
        <v>5</v>
      </c>
      <c r="AF192" t="s">
        <v>57</v>
      </c>
      <c r="AG192">
        <v>1</v>
      </c>
      <c r="AH192">
        <v>91</v>
      </c>
      <c r="AI192">
        <v>269</v>
      </c>
      <c r="AJ192" t="s">
        <v>42</v>
      </c>
      <c r="AK192" t="s">
        <v>42</v>
      </c>
      <c r="AL192" t="s">
        <v>42</v>
      </c>
      <c r="AM192">
        <v>137463</v>
      </c>
      <c r="AN192" t="s">
        <v>372</v>
      </c>
      <c r="AO192">
        <v>3275914</v>
      </c>
    </row>
    <row r="193" spans="1:41" x14ac:dyDescent="0.25">
      <c r="A193" t="s">
        <v>41</v>
      </c>
      <c r="B193" s="1">
        <v>42487</v>
      </c>
      <c r="C193" t="s">
        <v>42</v>
      </c>
      <c r="D193">
        <v>1</v>
      </c>
      <c r="E193" t="s">
        <v>42</v>
      </c>
      <c r="F193" t="s">
        <v>42</v>
      </c>
      <c r="G193">
        <v>20030828</v>
      </c>
      <c r="H193" t="s">
        <v>102</v>
      </c>
      <c r="I193">
        <v>2</v>
      </c>
      <c r="J193" t="s">
        <v>42</v>
      </c>
      <c r="K193">
        <v>1</v>
      </c>
      <c r="L193">
        <v>4</v>
      </c>
      <c r="M193">
        <v>1735</v>
      </c>
      <c r="N193">
        <v>2111</v>
      </c>
      <c r="O193">
        <v>2111</v>
      </c>
      <c r="P193">
        <v>4760</v>
      </c>
      <c r="Q193">
        <v>1830</v>
      </c>
      <c r="S193">
        <v>1</v>
      </c>
      <c r="T193">
        <v>4190</v>
      </c>
      <c r="U193" t="s">
        <v>323</v>
      </c>
      <c r="W193" t="b">
        <v>1</v>
      </c>
      <c r="X193" t="b">
        <v>0</v>
      </c>
      <c r="Y193" t="s">
        <v>42</v>
      </c>
      <c r="Z193" t="s">
        <v>48</v>
      </c>
      <c r="AA193" t="s">
        <v>373</v>
      </c>
      <c r="AB193">
        <v>2</v>
      </c>
      <c r="AD193" t="s">
        <v>165</v>
      </c>
      <c r="AE193">
        <v>5</v>
      </c>
      <c r="AF193" t="s">
        <v>42</v>
      </c>
      <c r="AG193">
        <v>1</v>
      </c>
      <c r="AH193">
        <v>710</v>
      </c>
      <c r="AI193">
        <v>282</v>
      </c>
      <c r="AJ193" t="s">
        <v>42</v>
      </c>
      <c r="AK193" t="s">
        <v>42</v>
      </c>
      <c r="AL193" t="s">
        <v>42</v>
      </c>
      <c r="AM193">
        <v>85883</v>
      </c>
      <c r="AN193" t="s">
        <v>374</v>
      </c>
      <c r="AO193">
        <v>3282884</v>
      </c>
    </row>
    <row r="194" spans="1:41" x14ac:dyDescent="0.25">
      <c r="A194" t="s">
        <v>41</v>
      </c>
      <c r="B194" s="1">
        <v>42360</v>
      </c>
      <c r="C194" t="s">
        <v>42</v>
      </c>
      <c r="D194">
        <v>1</v>
      </c>
      <c r="E194" t="s">
        <v>155</v>
      </c>
      <c r="F194" t="s">
        <v>54</v>
      </c>
      <c r="G194">
        <v>20061220</v>
      </c>
      <c r="H194" t="s">
        <v>42</v>
      </c>
      <c r="I194">
        <v>2</v>
      </c>
      <c r="J194" t="s">
        <v>46</v>
      </c>
      <c r="L194">
        <v>4</v>
      </c>
      <c r="M194">
        <v>1770</v>
      </c>
      <c r="N194">
        <v>2080</v>
      </c>
      <c r="O194">
        <v>2080</v>
      </c>
      <c r="P194">
        <v>4790</v>
      </c>
      <c r="Q194">
        <v>1890</v>
      </c>
      <c r="R194">
        <v>1320</v>
      </c>
      <c r="S194">
        <v>1</v>
      </c>
      <c r="T194">
        <v>4190</v>
      </c>
      <c r="U194" t="s">
        <v>156</v>
      </c>
      <c r="V194">
        <v>8</v>
      </c>
      <c r="W194" t="b">
        <v>1</v>
      </c>
      <c r="X194" t="b">
        <v>0</v>
      </c>
      <c r="Y194" t="s">
        <v>42</v>
      </c>
      <c r="Z194" t="s">
        <v>48</v>
      </c>
      <c r="AA194" t="s">
        <v>375</v>
      </c>
      <c r="AD194" t="s">
        <v>165</v>
      </c>
      <c r="AE194">
        <v>5</v>
      </c>
      <c r="AF194" t="s">
        <v>57</v>
      </c>
      <c r="AG194">
        <v>1</v>
      </c>
      <c r="AH194">
        <v>837</v>
      </c>
      <c r="AI194">
        <v>294</v>
      </c>
      <c r="AJ194" t="s">
        <v>42</v>
      </c>
      <c r="AK194" t="s">
        <v>42</v>
      </c>
      <c r="AL194" t="s">
        <v>42</v>
      </c>
      <c r="AM194">
        <v>96259</v>
      </c>
      <c r="AN194" t="s">
        <v>158</v>
      </c>
      <c r="AO194">
        <v>3290322</v>
      </c>
    </row>
    <row r="195" spans="1:41" x14ac:dyDescent="0.25">
      <c r="A195" t="s">
        <v>41</v>
      </c>
      <c r="B195" s="1">
        <v>42515</v>
      </c>
      <c r="C195" t="s">
        <v>42</v>
      </c>
      <c r="D195">
        <v>1</v>
      </c>
      <c r="E195" t="s">
        <v>155</v>
      </c>
      <c r="F195" t="s">
        <v>54</v>
      </c>
      <c r="G195">
        <v>20080424</v>
      </c>
      <c r="H195" t="s">
        <v>102</v>
      </c>
      <c r="I195">
        <v>2</v>
      </c>
      <c r="J195" t="s">
        <v>46</v>
      </c>
      <c r="L195">
        <v>4</v>
      </c>
      <c r="M195">
        <v>1770</v>
      </c>
      <c r="N195">
        <v>2080</v>
      </c>
      <c r="O195">
        <v>2080</v>
      </c>
      <c r="P195">
        <v>4791</v>
      </c>
      <c r="Q195">
        <v>1912</v>
      </c>
      <c r="R195">
        <v>1322</v>
      </c>
      <c r="S195">
        <v>1</v>
      </c>
      <c r="T195">
        <v>4196</v>
      </c>
      <c r="U195" t="s">
        <v>156</v>
      </c>
      <c r="V195">
        <v>8</v>
      </c>
      <c r="W195" t="b">
        <v>1</v>
      </c>
      <c r="X195" t="b">
        <v>0</v>
      </c>
      <c r="Y195" t="s">
        <v>42</v>
      </c>
      <c r="Z195" t="s">
        <v>48</v>
      </c>
      <c r="AA195" t="s">
        <v>211</v>
      </c>
      <c r="AB195">
        <v>2</v>
      </c>
      <c r="AC195">
        <v>6</v>
      </c>
      <c r="AD195" t="s">
        <v>175</v>
      </c>
      <c r="AE195">
        <v>5</v>
      </c>
      <c r="AF195" t="s">
        <v>190</v>
      </c>
      <c r="AG195">
        <v>1</v>
      </c>
      <c r="AH195">
        <v>92</v>
      </c>
      <c r="AI195">
        <v>294</v>
      </c>
      <c r="AJ195" t="s">
        <v>42</v>
      </c>
      <c r="AK195" t="s">
        <v>42</v>
      </c>
      <c r="AL195" t="s">
        <v>42</v>
      </c>
      <c r="AM195">
        <v>183863</v>
      </c>
      <c r="AN195" t="s">
        <v>376</v>
      </c>
      <c r="AO195">
        <v>3314916</v>
      </c>
    </row>
    <row r="196" spans="1:41" x14ac:dyDescent="0.25">
      <c r="A196" t="s">
        <v>41</v>
      </c>
      <c r="B196" s="1">
        <v>42507</v>
      </c>
      <c r="C196" t="s">
        <v>42</v>
      </c>
      <c r="D196">
        <v>1</v>
      </c>
      <c r="E196" t="s">
        <v>42</v>
      </c>
      <c r="F196" t="s">
        <v>42</v>
      </c>
      <c r="G196">
        <v>20070130</v>
      </c>
      <c r="H196" t="s">
        <v>64</v>
      </c>
      <c r="I196">
        <v>2</v>
      </c>
      <c r="J196" t="s">
        <v>46</v>
      </c>
      <c r="L196">
        <v>4</v>
      </c>
      <c r="M196">
        <v>1760</v>
      </c>
      <c r="N196">
        <v>2080</v>
      </c>
      <c r="O196">
        <v>2080</v>
      </c>
      <c r="P196">
        <v>4760</v>
      </c>
      <c r="Q196">
        <v>1900</v>
      </c>
      <c r="S196">
        <v>1</v>
      </c>
      <c r="T196">
        <v>4196</v>
      </c>
      <c r="U196" t="s">
        <v>377</v>
      </c>
      <c r="V196">
        <v>12</v>
      </c>
      <c r="W196" t="b">
        <v>0</v>
      </c>
      <c r="X196" t="b">
        <v>0</v>
      </c>
      <c r="Y196" t="s">
        <v>42</v>
      </c>
      <c r="Z196" t="s">
        <v>48</v>
      </c>
      <c r="AA196" t="s">
        <v>378</v>
      </c>
      <c r="AB196">
        <v>2</v>
      </c>
      <c r="AD196" t="s">
        <v>379</v>
      </c>
      <c r="AE196">
        <v>5</v>
      </c>
      <c r="AF196" t="s">
        <v>42</v>
      </c>
      <c r="AG196">
        <v>1</v>
      </c>
      <c r="AH196">
        <v>743</v>
      </c>
      <c r="AJ196" t="s">
        <v>42</v>
      </c>
      <c r="AK196" t="s">
        <v>42</v>
      </c>
      <c r="AL196" t="s">
        <v>42</v>
      </c>
      <c r="AM196">
        <v>77964</v>
      </c>
      <c r="AN196" t="s">
        <v>380</v>
      </c>
      <c r="AO196">
        <v>3350827</v>
      </c>
    </row>
    <row r="197" spans="1:41" x14ac:dyDescent="0.25">
      <c r="A197" t="s">
        <v>41</v>
      </c>
      <c r="B197" s="1">
        <v>42517</v>
      </c>
      <c r="C197" t="s">
        <v>42</v>
      </c>
      <c r="D197">
        <v>1</v>
      </c>
      <c r="E197" t="s">
        <v>295</v>
      </c>
      <c r="F197" t="s">
        <v>296</v>
      </c>
      <c r="G197">
        <v>20100915</v>
      </c>
      <c r="H197" t="s">
        <v>42</v>
      </c>
      <c r="I197">
        <v>2</v>
      </c>
      <c r="J197" t="s">
        <v>46</v>
      </c>
      <c r="L197">
        <v>4</v>
      </c>
      <c r="M197">
        <v>1824</v>
      </c>
      <c r="N197">
        <v>2145</v>
      </c>
      <c r="O197">
        <v>2145</v>
      </c>
      <c r="P197">
        <v>4784</v>
      </c>
      <c r="Q197">
        <v>1912</v>
      </c>
      <c r="R197">
        <v>1322</v>
      </c>
      <c r="S197">
        <v>1</v>
      </c>
      <c r="T197">
        <v>5000</v>
      </c>
      <c r="U197" t="s">
        <v>297</v>
      </c>
      <c r="V197">
        <v>8</v>
      </c>
      <c r="W197" t="b">
        <v>1</v>
      </c>
      <c r="X197" t="b">
        <v>0</v>
      </c>
      <c r="Y197" t="s">
        <v>42</v>
      </c>
      <c r="Z197" t="s">
        <v>48</v>
      </c>
      <c r="AA197" t="s">
        <v>298</v>
      </c>
      <c r="AB197">
        <v>2</v>
      </c>
      <c r="AC197">
        <v>6</v>
      </c>
      <c r="AD197" t="s">
        <v>175</v>
      </c>
      <c r="AE197">
        <v>5</v>
      </c>
      <c r="AF197" t="s">
        <v>253</v>
      </c>
      <c r="AG197">
        <v>1</v>
      </c>
      <c r="AH197">
        <v>980</v>
      </c>
      <c r="AI197">
        <v>292</v>
      </c>
      <c r="AJ197" t="s">
        <v>42</v>
      </c>
      <c r="AK197" t="s">
        <v>42</v>
      </c>
      <c r="AL197" t="s">
        <v>42</v>
      </c>
      <c r="AM197">
        <v>168244</v>
      </c>
      <c r="AN197" t="s">
        <v>381</v>
      </c>
      <c r="AO197">
        <v>3353579</v>
      </c>
    </row>
    <row r="198" spans="1:41" x14ac:dyDescent="0.25">
      <c r="A198" t="s">
        <v>41</v>
      </c>
      <c r="B198" s="1">
        <v>42523</v>
      </c>
      <c r="C198" t="s">
        <v>42</v>
      </c>
      <c r="D198">
        <v>1</v>
      </c>
      <c r="E198" t="s">
        <v>42</v>
      </c>
      <c r="F198" t="s">
        <v>42</v>
      </c>
      <c r="G198">
        <v>20001228</v>
      </c>
      <c r="H198" t="s">
        <v>59</v>
      </c>
      <c r="I198">
        <v>2</v>
      </c>
      <c r="J198" t="s">
        <v>71</v>
      </c>
      <c r="L198">
        <v>4</v>
      </c>
      <c r="M198">
        <v>1825</v>
      </c>
      <c r="N198">
        <v>2100</v>
      </c>
      <c r="O198">
        <v>2100</v>
      </c>
      <c r="P198">
        <v>4760</v>
      </c>
      <c r="Q198">
        <v>1830</v>
      </c>
      <c r="R198">
        <v>1310</v>
      </c>
      <c r="S198">
        <v>1</v>
      </c>
      <c r="T198">
        <v>3996</v>
      </c>
      <c r="U198" t="s">
        <v>65</v>
      </c>
      <c r="V198">
        <v>8</v>
      </c>
      <c r="W198" t="b">
        <v>1</v>
      </c>
      <c r="X198" t="b">
        <v>0</v>
      </c>
      <c r="Y198" t="s">
        <v>42</v>
      </c>
      <c r="Z198" t="s">
        <v>48</v>
      </c>
      <c r="AA198" t="s">
        <v>382</v>
      </c>
      <c r="AB198">
        <v>2</v>
      </c>
      <c r="AC198">
        <v>5</v>
      </c>
      <c r="AD198" t="s">
        <v>383</v>
      </c>
      <c r="AE198">
        <v>5</v>
      </c>
      <c r="AF198" t="s">
        <v>42</v>
      </c>
      <c r="AG198">
        <v>1</v>
      </c>
      <c r="AH198">
        <v>853</v>
      </c>
      <c r="AI198">
        <v>305</v>
      </c>
      <c r="AJ198" t="s">
        <v>42</v>
      </c>
      <c r="AK198" t="s">
        <v>42</v>
      </c>
      <c r="AL198" t="s">
        <v>42</v>
      </c>
      <c r="AM198">
        <v>102982</v>
      </c>
      <c r="AN198" t="s">
        <v>384</v>
      </c>
      <c r="AO198">
        <v>3353723</v>
      </c>
    </row>
    <row r="199" spans="1:41" x14ac:dyDescent="0.25">
      <c r="A199" t="s">
        <v>41</v>
      </c>
      <c r="B199" s="1">
        <v>42531</v>
      </c>
      <c r="C199" t="s">
        <v>42</v>
      </c>
      <c r="D199">
        <v>1</v>
      </c>
      <c r="E199" t="s">
        <v>53</v>
      </c>
      <c r="F199" t="s">
        <v>54</v>
      </c>
      <c r="G199">
        <v>20061030</v>
      </c>
      <c r="H199" t="s">
        <v>64</v>
      </c>
      <c r="I199">
        <v>2</v>
      </c>
      <c r="J199" t="s">
        <v>46</v>
      </c>
      <c r="L199">
        <v>4</v>
      </c>
      <c r="M199">
        <v>1720</v>
      </c>
      <c r="N199">
        <v>2035</v>
      </c>
      <c r="O199">
        <v>2035</v>
      </c>
      <c r="P199">
        <v>4790</v>
      </c>
      <c r="Q199">
        <v>1890</v>
      </c>
      <c r="R199">
        <v>1320</v>
      </c>
      <c r="S199">
        <v>1</v>
      </c>
      <c r="T199">
        <v>4190</v>
      </c>
      <c r="U199" t="s">
        <v>55</v>
      </c>
      <c r="V199">
        <v>8</v>
      </c>
      <c r="W199" t="b">
        <v>0</v>
      </c>
      <c r="X199" t="b">
        <v>0</v>
      </c>
      <c r="Y199" t="s">
        <v>42</v>
      </c>
      <c r="Z199" t="s">
        <v>48</v>
      </c>
      <c r="AA199" t="s">
        <v>171</v>
      </c>
      <c r="AB199">
        <v>2</v>
      </c>
      <c r="AD199" t="s">
        <v>50</v>
      </c>
      <c r="AE199">
        <v>5</v>
      </c>
      <c r="AF199" t="s">
        <v>57</v>
      </c>
      <c r="AG199">
        <v>1</v>
      </c>
      <c r="AH199">
        <v>915</v>
      </c>
      <c r="AI199">
        <v>269</v>
      </c>
      <c r="AJ199" t="s">
        <v>42</v>
      </c>
      <c r="AK199" t="s">
        <v>42</v>
      </c>
      <c r="AL199" t="s">
        <v>42</v>
      </c>
      <c r="AM199">
        <v>176115</v>
      </c>
      <c r="AN199" t="s">
        <v>321</v>
      </c>
      <c r="AO199">
        <v>3358627</v>
      </c>
    </row>
    <row r="200" spans="1:41" x14ac:dyDescent="0.25">
      <c r="A200" t="s">
        <v>41</v>
      </c>
      <c r="B200" s="1">
        <v>43602</v>
      </c>
      <c r="C200" t="s">
        <v>42</v>
      </c>
      <c r="D200">
        <v>1</v>
      </c>
      <c r="E200" t="s">
        <v>42</v>
      </c>
      <c r="F200" t="s">
        <v>42</v>
      </c>
      <c r="G200">
        <v>19970000</v>
      </c>
      <c r="H200" t="s">
        <v>92</v>
      </c>
      <c r="I200">
        <v>2</v>
      </c>
      <c r="J200" t="s">
        <v>71</v>
      </c>
      <c r="L200">
        <v>4</v>
      </c>
      <c r="M200">
        <v>1715</v>
      </c>
      <c r="N200">
        <v>2010</v>
      </c>
      <c r="O200">
        <v>2010</v>
      </c>
      <c r="P200">
        <v>4791</v>
      </c>
      <c r="Q200">
        <v>1892</v>
      </c>
      <c r="R200">
        <v>1329</v>
      </c>
      <c r="S200">
        <v>1</v>
      </c>
      <c r="T200">
        <v>3996</v>
      </c>
      <c r="U200" t="s">
        <v>47</v>
      </c>
      <c r="V200">
        <v>8</v>
      </c>
      <c r="W200" t="b">
        <v>0</v>
      </c>
      <c r="X200" t="b">
        <v>0</v>
      </c>
      <c r="Y200" t="s">
        <v>42</v>
      </c>
      <c r="Z200" t="s">
        <v>48</v>
      </c>
      <c r="AA200" t="s">
        <v>385</v>
      </c>
      <c r="AB200">
        <v>2</v>
      </c>
      <c r="AD200" t="s">
        <v>94</v>
      </c>
      <c r="AE200">
        <v>5</v>
      </c>
      <c r="AF200" t="s">
        <v>42</v>
      </c>
      <c r="AG200">
        <v>1</v>
      </c>
      <c r="AH200">
        <v>235</v>
      </c>
      <c r="AJ200" t="s">
        <v>42</v>
      </c>
      <c r="AK200" t="s">
        <v>42</v>
      </c>
      <c r="AL200" t="s">
        <v>42</v>
      </c>
      <c r="AM200">
        <v>109951</v>
      </c>
      <c r="AN200" t="s">
        <v>386</v>
      </c>
      <c r="AO200">
        <v>3359561</v>
      </c>
    </row>
    <row r="201" spans="1:41" x14ac:dyDescent="0.25">
      <c r="A201" t="s">
        <v>41</v>
      </c>
      <c r="B201" s="1">
        <v>42535</v>
      </c>
      <c r="C201" t="s">
        <v>42</v>
      </c>
      <c r="D201">
        <v>1</v>
      </c>
      <c r="E201" t="s">
        <v>42</v>
      </c>
      <c r="F201" t="s">
        <v>42</v>
      </c>
      <c r="G201">
        <v>19990331</v>
      </c>
      <c r="H201" t="s">
        <v>102</v>
      </c>
      <c r="I201">
        <v>2</v>
      </c>
      <c r="J201" t="s">
        <v>46</v>
      </c>
      <c r="K201">
        <v>1</v>
      </c>
      <c r="L201">
        <v>4</v>
      </c>
      <c r="M201">
        <v>1735</v>
      </c>
      <c r="N201">
        <v>2010</v>
      </c>
      <c r="O201">
        <v>2010</v>
      </c>
      <c r="P201">
        <v>4800</v>
      </c>
      <c r="Q201">
        <v>1830</v>
      </c>
      <c r="S201">
        <v>1</v>
      </c>
      <c r="T201">
        <v>3990</v>
      </c>
      <c r="U201" t="s">
        <v>65</v>
      </c>
      <c r="V201">
        <v>8</v>
      </c>
      <c r="W201" t="b">
        <v>1</v>
      </c>
      <c r="X201" t="b">
        <v>0</v>
      </c>
      <c r="Y201" t="s">
        <v>42</v>
      </c>
      <c r="Z201" t="s">
        <v>48</v>
      </c>
      <c r="AA201" t="s">
        <v>387</v>
      </c>
      <c r="AB201">
        <v>2</v>
      </c>
      <c r="AC201">
        <v>6</v>
      </c>
      <c r="AD201" t="s">
        <v>388</v>
      </c>
      <c r="AE201">
        <v>5</v>
      </c>
      <c r="AF201" t="s">
        <v>85</v>
      </c>
      <c r="AG201">
        <v>1</v>
      </c>
      <c r="AH201">
        <v>233</v>
      </c>
      <c r="AJ201" t="s">
        <v>42</v>
      </c>
      <c r="AK201" t="s">
        <v>42</v>
      </c>
      <c r="AL201" t="s">
        <v>42</v>
      </c>
      <c r="AM201">
        <v>142069</v>
      </c>
      <c r="AN201" t="s">
        <v>78</v>
      </c>
      <c r="AO201">
        <v>3366859</v>
      </c>
    </row>
    <row r="202" spans="1:41" x14ac:dyDescent="0.25">
      <c r="A202" t="s">
        <v>41</v>
      </c>
      <c r="B202" s="1">
        <v>42634</v>
      </c>
      <c r="C202" t="s">
        <v>42</v>
      </c>
      <c r="D202">
        <v>1</v>
      </c>
      <c r="E202" t="s">
        <v>42</v>
      </c>
      <c r="F202" t="s">
        <v>42</v>
      </c>
      <c r="G202">
        <v>20021226</v>
      </c>
      <c r="H202" t="s">
        <v>102</v>
      </c>
      <c r="I202">
        <v>2</v>
      </c>
      <c r="J202" t="s">
        <v>71</v>
      </c>
      <c r="L202">
        <v>4</v>
      </c>
      <c r="M202">
        <v>1890</v>
      </c>
      <c r="N202">
        <v>2100</v>
      </c>
      <c r="O202">
        <v>2100</v>
      </c>
      <c r="P202">
        <v>4760</v>
      </c>
      <c r="Q202">
        <v>1829</v>
      </c>
      <c r="S202">
        <v>1</v>
      </c>
      <c r="T202">
        <v>3996</v>
      </c>
      <c r="U202" t="s">
        <v>65</v>
      </c>
      <c r="V202">
        <v>8</v>
      </c>
      <c r="W202" t="b">
        <v>1</v>
      </c>
      <c r="X202" t="b">
        <v>0</v>
      </c>
      <c r="Y202" t="s">
        <v>42</v>
      </c>
      <c r="Z202" t="s">
        <v>48</v>
      </c>
      <c r="AA202" t="s">
        <v>389</v>
      </c>
      <c r="AD202" t="s">
        <v>165</v>
      </c>
      <c r="AE202">
        <v>5</v>
      </c>
      <c r="AF202" t="s">
        <v>42</v>
      </c>
      <c r="AG202">
        <v>1</v>
      </c>
      <c r="AH202">
        <v>91</v>
      </c>
      <c r="AJ202" t="s">
        <v>42</v>
      </c>
      <c r="AK202" t="s">
        <v>42</v>
      </c>
      <c r="AL202" t="s">
        <v>42</v>
      </c>
      <c r="AM202">
        <v>103078</v>
      </c>
      <c r="AN202" t="s">
        <v>301</v>
      </c>
      <c r="AO202">
        <v>3392548</v>
      </c>
    </row>
    <row r="203" spans="1:41" x14ac:dyDescent="0.25">
      <c r="A203" t="s">
        <v>41</v>
      </c>
      <c r="B203" s="1">
        <v>42622</v>
      </c>
      <c r="C203" t="s">
        <v>42</v>
      </c>
      <c r="D203">
        <v>1</v>
      </c>
      <c r="E203" t="s">
        <v>42</v>
      </c>
      <c r="F203" t="s">
        <v>42</v>
      </c>
      <c r="G203">
        <v>20060622</v>
      </c>
      <c r="H203" t="s">
        <v>84</v>
      </c>
      <c r="I203">
        <v>2</v>
      </c>
      <c r="J203" t="s">
        <v>46</v>
      </c>
      <c r="K203">
        <v>1</v>
      </c>
      <c r="L203">
        <v>4</v>
      </c>
      <c r="M203">
        <v>1720</v>
      </c>
      <c r="N203">
        <v>2035</v>
      </c>
      <c r="O203">
        <v>2035</v>
      </c>
      <c r="P203">
        <v>4790</v>
      </c>
      <c r="Q203">
        <v>1890</v>
      </c>
      <c r="R203">
        <v>1320</v>
      </c>
      <c r="S203">
        <v>1</v>
      </c>
      <c r="T203">
        <v>4190</v>
      </c>
      <c r="U203" t="s">
        <v>55</v>
      </c>
      <c r="V203">
        <v>8</v>
      </c>
      <c r="W203" t="b">
        <v>0</v>
      </c>
      <c r="X203" t="b">
        <v>0</v>
      </c>
      <c r="Y203" t="s">
        <v>42</v>
      </c>
      <c r="Z203" t="s">
        <v>48</v>
      </c>
      <c r="AA203" t="s">
        <v>171</v>
      </c>
      <c r="AB203">
        <v>2</v>
      </c>
      <c r="AC203">
        <v>6</v>
      </c>
      <c r="AD203" t="s">
        <v>50</v>
      </c>
      <c r="AE203">
        <v>5</v>
      </c>
      <c r="AF203" t="s">
        <v>42</v>
      </c>
      <c r="AG203">
        <v>1</v>
      </c>
      <c r="AH203">
        <v>604</v>
      </c>
      <c r="AI203">
        <v>269</v>
      </c>
      <c r="AJ203" t="s">
        <v>42</v>
      </c>
      <c r="AK203" t="s">
        <v>42</v>
      </c>
      <c r="AL203" t="s">
        <v>42</v>
      </c>
      <c r="AM203">
        <v>109235</v>
      </c>
      <c r="AN203" t="s">
        <v>280</v>
      </c>
      <c r="AO203">
        <v>3394863</v>
      </c>
    </row>
    <row r="204" spans="1:41" x14ac:dyDescent="0.25">
      <c r="A204" t="s">
        <v>41</v>
      </c>
      <c r="B204" s="1">
        <v>42633</v>
      </c>
      <c r="C204" t="s">
        <v>42</v>
      </c>
      <c r="D204">
        <v>1</v>
      </c>
      <c r="E204" t="s">
        <v>160</v>
      </c>
      <c r="F204" t="s">
        <v>108</v>
      </c>
      <c r="G204">
        <v>20070913</v>
      </c>
      <c r="H204" t="s">
        <v>59</v>
      </c>
      <c r="I204">
        <v>2</v>
      </c>
      <c r="J204" t="s">
        <v>71</v>
      </c>
      <c r="L204">
        <v>4</v>
      </c>
      <c r="M204">
        <v>1785</v>
      </c>
      <c r="N204">
        <v>2120</v>
      </c>
      <c r="O204">
        <v>2120</v>
      </c>
      <c r="P204">
        <v>4790</v>
      </c>
      <c r="Q204">
        <v>1890</v>
      </c>
      <c r="R204">
        <v>1330</v>
      </c>
      <c r="S204">
        <v>1</v>
      </c>
      <c r="T204">
        <v>4190</v>
      </c>
      <c r="U204" t="s">
        <v>156</v>
      </c>
      <c r="V204">
        <v>8</v>
      </c>
      <c r="W204" t="b">
        <v>1</v>
      </c>
      <c r="X204" t="b">
        <v>0</v>
      </c>
      <c r="Y204" t="s">
        <v>42</v>
      </c>
      <c r="Z204" t="s">
        <v>48</v>
      </c>
      <c r="AA204" t="s">
        <v>236</v>
      </c>
      <c r="AB204">
        <v>2</v>
      </c>
      <c r="AD204" t="s">
        <v>50</v>
      </c>
      <c r="AE204">
        <v>5</v>
      </c>
      <c r="AF204" t="s">
        <v>57</v>
      </c>
      <c r="AG204">
        <v>1</v>
      </c>
      <c r="AH204">
        <v>91</v>
      </c>
      <c r="AI204">
        <v>294</v>
      </c>
      <c r="AJ204" t="s">
        <v>42</v>
      </c>
      <c r="AK204" t="s">
        <v>42</v>
      </c>
      <c r="AL204" t="s">
        <v>42</v>
      </c>
      <c r="AM204">
        <v>69509</v>
      </c>
      <c r="AN204" t="s">
        <v>390</v>
      </c>
      <c r="AO204">
        <v>3400012</v>
      </c>
    </row>
    <row r="205" spans="1:41" x14ac:dyDescent="0.25">
      <c r="A205" t="s">
        <v>41</v>
      </c>
      <c r="B205" s="1">
        <v>42642</v>
      </c>
      <c r="C205" t="s">
        <v>42</v>
      </c>
      <c r="D205">
        <v>1</v>
      </c>
      <c r="E205" t="s">
        <v>53</v>
      </c>
      <c r="F205" t="s">
        <v>54</v>
      </c>
      <c r="G205">
        <v>20070427</v>
      </c>
      <c r="H205" t="s">
        <v>64</v>
      </c>
      <c r="I205">
        <v>2</v>
      </c>
      <c r="J205" t="s">
        <v>46</v>
      </c>
      <c r="L205">
        <v>4</v>
      </c>
      <c r="M205">
        <v>1720</v>
      </c>
      <c r="N205">
        <v>2035</v>
      </c>
      <c r="O205">
        <v>2035</v>
      </c>
      <c r="P205">
        <v>4790</v>
      </c>
      <c r="Q205">
        <v>1890</v>
      </c>
      <c r="R205">
        <v>1320</v>
      </c>
      <c r="S205">
        <v>1</v>
      </c>
      <c r="T205">
        <v>4190</v>
      </c>
      <c r="U205" t="s">
        <v>55</v>
      </c>
      <c r="V205">
        <v>8</v>
      </c>
      <c r="W205" t="b">
        <v>0</v>
      </c>
      <c r="X205" t="b">
        <v>0</v>
      </c>
      <c r="Y205" t="s">
        <v>42</v>
      </c>
      <c r="Z205" t="s">
        <v>48</v>
      </c>
      <c r="AA205" t="s">
        <v>343</v>
      </c>
      <c r="AB205">
        <v>2</v>
      </c>
      <c r="AC205">
        <v>6</v>
      </c>
      <c r="AD205" t="s">
        <v>183</v>
      </c>
      <c r="AE205">
        <v>5</v>
      </c>
      <c r="AF205" t="s">
        <v>57</v>
      </c>
      <c r="AG205">
        <v>1</v>
      </c>
      <c r="AH205">
        <v>499</v>
      </c>
      <c r="AI205">
        <v>269</v>
      </c>
      <c r="AJ205" t="s">
        <v>42</v>
      </c>
      <c r="AK205" t="s">
        <v>42</v>
      </c>
      <c r="AL205" t="s">
        <v>42</v>
      </c>
      <c r="AM205">
        <v>122811</v>
      </c>
      <c r="AN205" t="s">
        <v>372</v>
      </c>
      <c r="AO205">
        <v>3406411</v>
      </c>
    </row>
    <row r="206" spans="1:41" x14ac:dyDescent="0.25">
      <c r="A206" t="s">
        <v>41</v>
      </c>
      <c r="B206" s="1">
        <v>43432</v>
      </c>
      <c r="C206" t="s">
        <v>42</v>
      </c>
      <c r="D206">
        <v>1</v>
      </c>
      <c r="E206" t="s">
        <v>155</v>
      </c>
      <c r="F206" t="s">
        <v>54</v>
      </c>
      <c r="G206">
        <v>20061220</v>
      </c>
      <c r="H206" t="s">
        <v>84</v>
      </c>
      <c r="I206">
        <v>2</v>
      </c>
      <c r="J206" t="s">
        <v>46</v>
      </c>
      <c r="K206">
        <v>1</v>
      </c>
      <c r="L206">
        <v>4</v>
      </c>
      <c r="M206">
        <v>1770</v>
      </c>
      <c r="N206">
        <v>2080</v>
      </c>
      <c r="O206">
        <v>2080</v>
      </c>
      <c r="P206">
        <v>4791</v>
      </c>
      <c r="Q206">
        <v>1893</v>
      </c>
      <c r="R206">
        <v>1322</v>
      </c>
      <c r="S206">
        <v>1</v>
      </c>
      <c r="T206">
        <v>4196</v>
      </c>
      <c r="U206" t="s">
        <v>156</v>
      </c>
      <c r="V206">
        <v>8</v>
      </c>
      <c r="W206" t="b">
        <v>1</v>
      </c>
      <c r="X206" t="b">
        <v>0</v>
      </c>
      <c r="Y206" t="s">
        <v>42</v>
      </c>
      <c r="Z206" t="s">
        <v>48</v>
      </c>
      <c r="AA206" t="s">
        <v>211</v>
      </c>
      <c r="AB206">
        <v>2</v>
      </c>
      <c r="AC206">
        <v>6</v>
      </c>
      <c r="AD206" t="s">
        <v>175</v>
      </c>
      <c r="AE206">
        <v>5</v>
      </c>
      <c r="AF206" t="s">
        <v>57</v>
      </c>
      <c r="AG206">
        <v>1</v>
      </c>
      <c r="AH206">
        <v>91</v>
      </c>
      <c r="AI206">
        <v>294</v>
      </c>
      <c r="AJ206" t="s">
        <v>42</v>
      </c>
      <c r="AK206" t="s">
        <v>42</v>
      </c>
      <c r="AL206" t="s">
        <v>42</v>
      </c>
      <c r="AM206">
        <v>117161</v>
      </c>
      <c r="AN206" t="s">
        <v>391</v>
      </c>
      <c r="AO206">
        <v>3408637</v>
      </c>
    </row>
    <row r="207" spans="1:41" x14ac:dyDescent="0.25">
      <c r="A207" t="s">
        <v>41</v>
      </c>
      <c r="B207" s="1">
        <v>42674</v>
      </c>
      <c r="C207" t="s">
        <v>42</v>
      </c>
      <c r="D207">
        <v>1</v>
      </c>
      <c r="E207" t="s">
        <v>42</v>
      </c>
      <c r="F207" t="s">
        <v>42</v>
      </c>
      <c r="G207">
        <v>19980000</v>
      </c>
      <c r="H207" t="s">
        <v>45</v>
      </c>
      <c r="I207">
        <v>2</v>
      </c>
      <c r="J207" t="s">
        <v>46</v>
      </c>
      <c r="L207">
        <v>4</v>
      </c>
      <c r="M207">
        <v>1720</v>
      </c>
      <c r="N207">
        <v>2011</v>
      </c>
      <c r="O207">
        <v>2011</v>
      </c>
      <c r="P207">
        <v>4760</v>
      </c>
      <c r="Q207">
        <v>1830</v>
      </c>
      <c r="S207">
        <v>1</v>
      </c>
      <c r="T207">
        <v>3990</v>
      </c>
      <c r="U207" t="s">
        <v>47</v>
      </c>
      <c r="V207">
        <v>8</v>
      </c>
      <c r="W207" t="b">
        <v>0</v>
      </c>
      <c r="X207" t="b">
        <v>0</v>
      </c>
      <c r="Y207" t="s">
        <v>42</v>
      </c>
      <c r="Z207" t="s">
        <v>48</v>
      </c>
      <c r="AA207" t="s">
        <v>392</v>
      </c>
      <c r="AB207">
        <v>2</v>
      </c>
      <c r="AD207" t="s">
        <v>393</v>
      </c>
      <c r="AE207">
        <v>5</v>
      </c>
      <c r="AF207" t="s">
        <v>42</v>
      </c>
      <c r="AG207">
        <v>1</v>
      </c>
      <c r="AH207">
        <v>564</v>
      </c>
      <c r="AJ207" t="s">
        <v>42</v>
      </c>
      <c r="AK207" t="s">
        <v>42</v>
      </c>
      <c r="AL207" t="s">
        <v>42</v>
      </c>
      <c r="AM207">
        <v>101768</v>
      </c>
      <c r="AN207" t="s">
        <v>394</v>
      </c>
      <c r="AO207">
        <v>3412011</v>
      </c>
    </row>
    <row r="208" spans="1:41" x14ac:dyDescent="0.25">
      <c r="A208" t="s">
        <v>41</v>
      </c>
      <c r="B208" s="1">
        <v>42732</v>
      </c>
      <c r="C208" t="s">
        <v>42</v>
      </c>
      <c r="D208">
        <v>1</v>
      </c>
      <c r="E208" t="s">
        <v>42</v>
      </c>
      <c r="F208" t="s">
        <v>42</v>
      </c>
      <c r="G208">
        <v>20040726</v>
      </c>
      <c r="H208" t="s">
        <v>64</v>
      </c>
      <c r="I208">
        <v>2</v>
      </c>
      <c r="J208" t="s">
        <v>71</v>
      </c>
      <c r="K208">
        <v>4</v>
      </c>
      <c r="L208">
        <v>4</v>
      </c>
      <c r="M208">
        <v>1770</v>
      </c>
      <c r="N208">
        <v>2177</v>
      </c>
      <c r="O208">
        <v>2177</v>
      </c>
      <c r="P208">
        <v>4760</v>
      </c>
      <c r="Q208">
        <v>1830</v>
      </c>
      <c r="R208">
        <v>1310</v>
      </c>
      <c r="S208">
        <v>1</v>
      </c>
      <c r="T208">
        <v>4190</v>
      </c>
      <c r="U208" t="s">
        <v>42</v>
      </c>
      <c r="V208">
        <v>8</v>
      </c>
      <c r="W208" t="b">
        <v>0</v>
      </c>
      <c r="X208" t="b">
        <v>0</v>
      </c>
      <c r="Y208" t="s">
        <v>42</v>
      </c>
      <c r="Z208" t="s">
        <v>48</v>
      </c>
      <c r="AA208" t="s">
        <v>395</v>
      </c>
      <c r="AB208">
        <v>2</v>
      </c>
      <c r="AD208" t="s">
        <v>94</v>
      </c>
      <c r="AE208">
        <v>5</v>
      </c>
      <c r="AF208" t="s">
        <v>42</v>
      </c>
      <c r="AG208">
        <v>1</v>
      </c>
      <c r="AH208">
        <v>564</v>
      </c>
      <c r="AJ208" t="s">
        <v>42</v>
      </c>
      <c r="AK208" t="s">
        <v>42</v>
      </c>
      <c r="AL208" t="s">
        <v>42</v>
      </c>
      <c r="AM208">
        <v>141423</v>
      </c>
      <c r="AN208" t="s">
        <v>396</v>
      </c>
      <c r="AO208">
        <v>3436871</v>
      </c>
    </row>
    <row r="209" spans="1:41" x14ac:dyDescent="0.25">
      <c r="A209" t="s">
        <v>41</v>
      </c>
      <c r="B209" s="1">
        <v>42790</v>
      </c>
      <c r="C209" t="s">
        <v>42</v>
      </c>
      <c r="D209">
        <v>1</v>
      </c>
      <c r="E209" t="s">
        <v>42</v>
      </c>
      <c r="F209" t="s">
        <v>42</v>
      </c>
      <c r="G209">
        <v>19980000</v>
      </c>
      <c r="H209" t="s">
        <v>42</v>
      </c>
      <c r="I209">
        <v>2</v>
      </c>
      <c r="J209" t="s">
        <v>71</v>
      </c>
      <c r="L209">
        <v>2</v>
      </c>
      <c r="M209">
        <v>1770</v>
      </c>
      <c r="N209">
        <v>2100</v>
      </c>
      <c r="O209">
        <v>2100</v>
      </c>
      <c r="P209">
        <v>4760</v>
      </c>
      <c r="Q209">
        <v>1830</v>
      </c>
      <c r="R209">
        <v>1295</v>
      </c>
      <c r="S209">
        <v>1</v>
      </c>
      <c r="T209">
        <v>3996</v>
      </c>
      <c r="U209" t="s">
        <v>233</v>
      </c>
      <c r="V209">
        <v>8</v>
      </c>
      <c r="W209" t="b">
        <v>0</v>
      </c>
      <c r="X209" t="b">
        <v>0</v>
      </c>
      <c r="Y209" t="s">
        <v>42</v>
      </c>
      <c r="Z209" t="s">
        <v>48</v>
      </c>
      <c r="AA209" t="s">
        <v>215</v>
      </c>
      <c r="AB209">
        <v>2</v>
      </c>
      <c r="AD209" t="s">
        <v>94</v>
      </c>
      <c r="AE209">
        <v>5</v>
      </c>
      <c r="AF209" t="s">
        <v>42</v>
      </c>
      <c r="AG209">
        <v>1</v>
      </c>
      <c r="AH209">
        <v>405</v>
      </c>
      <c r="AJ209" t="s">
        <v>42</v>
      </c>
      <c r="AK209" t="s">
        <v>42</v>
      </c>
      <c r="AL209" t="s">
        <v>42</v>
      </c>
      <c r="AM209">
        <v>123716</v>
      </c>
      <c r="AN209" t="s">
        <v>150</v>
      </c>
      <c r="AO209">
        <v>3442853</v>
      </c>
    </row>
    <row r="210" spans="1:41" x14ac:dyDescent="0.25">
      <c r="A210" t="s">
        <v>41</v>
      </c>
      <c r="B210" s="1">
        <v>42929</v>
      </c>
      <c r="C210" t="s">
        <v>42</v>
      </c>
      <c r="D210">
        <v>1</v>
      </c>
      <c r="E210" t="s">
        <v>42</v>
      </c>
      <c r="F210" t="s">
        <v>42</v>
      </c>
      <c r="G210">
        <v>19980000</v>
      </c>
      <c r="H210" t="s">
        <v>64</v>
      </c>
      <c r="I210">
        <v>2</v>
      </c>
      <c r="J210" t="s">
        <v>46</v>
      </c>
      <c r="K210">
        <v>4</v>
      </c>
      <c r="L210">
        <v>4</v>
      </c>
      <c r="M210">
        <v>1729</v>
      </c>
      <c r="N210">
        <v>2010</v>
      </c>
      <c r="O210">
        <v>2010</v>
      </c>
      <c r="P210">
        <v>4760</v>
      </c>
      <c r="Q210">
        <v>1830</v>
      </c>
      <c r="R210">
        <v>1310</v>
      </c>
      <c r="S210">
        <v>1</v>
      </c>
      <c r="T210">
        <v>3990</v>
      </c>
      <c r="U210" t="s">
        <v>47</v>
      </c>
      <c r="V210">
        <v>8</v>
      </c>
      <c r="W210" t="b">
        <v>0</v>
      </c>
      <c r="X210" t="b">
        <v>0</v>
      </c>
      <c r="Y210" t="s">
        <v>42</v>
      </c>
      <c r="Z210" t="s">
        <v>48</v>
      </c>
      <c r="AA210" t="s">
        <v>304</v>
      </c>
      <c r="AB210">
        <v>2</v>
      </c>
      <c r="AD210" t="s">
        <v>94</v>
      </c>
      <c r="AE210">
        <v>5</v>
      </c>
      <c r="AF210" t="s">
        <v>42</v>
      </c>
      <c r="AG210">
        <v>1</v>
      </c>
      <c r="AH210">
        <v>398</v>
      </c>
      <c r="AJ210" t="s">
        <v>42</v>
      </c>
      <c r="AK210" t="s">
        <v>42</v>
      </c>
      <c r="AL210" t="s">
        <v>42</v>
      </c>
      <c r="AM210">
        <v>113716</v>
      </c>
      <c r="AN210" t="s">
        <v>397</v>
      </c>
      <c r="AO210">
        <v>3475808</v>
      </c>
    </row>
    <row r="211" spans="1:41" x14ac:dyDescent="0.25">
      <c r="A211" t="s">
        <v>41</v>
      </c>
      <c r="B211" s="1">
        <v>42887</v>
      </c>
      <c r="C211" t="s">
        <v>42</v>
      </c>
      <c r="D211">
        <v>1</v>
      </c>
      <c r="E211" t="s">
        <v>69</v>
      </c>
      <c r="F211" t="s">
        <v>70</v>
      </c>
      <c r="G211">
        <v>20030404</v>
      </c>
      <c r="H211" t="s">
        <v>59</v>
      </c>
      <c r="I211">
        <v>2</v>
      </c>
      <c r="J211" t="s">
        <v>71</v>
      </c>
      <c r="K211">
        <v>4</v>
      </c>
      <c r="L211">
        <v>4</v>
      </c>
      <c r="M211">
        <v>1770</v>
      </c>
      <c r="N211">
        <v>2185</v>
      </c>
      <c r="O211">
        <v>2185</v>
      </c>
      <c r="P211">
        <v>4760</v>
      </c>
      <c r="Q211">
        <v>1830</v>
      </c>
      <c r="R211">
        <v>1310</v>
      </c>
      <c r="S211">
        <v>1</v>
      </c>
      <c r="T211">
        <v>4196</v>
      </c>
      <c r="U211" t="s">
        <v>323</v>
      </c>
      <c r="V211">
        <v>8</v>
      </c>
      <c r="W211" t="b">
        <v>1</v>
      </c>
      <c r="X211" t="b">
        <v>0</v>
      </c>
      <c r="Y211" t="s">
        <v>42</v>
      </c>
      <c r="Z211" t="s">
        <v>48</v>
      </c>
      <c r="AA211" t="s">
        <v>398</v>
      </c>
      <c r="AB211">
        <v>2</v>
      </c>
      <c r="AC211">
        <v>6</v>
      </c>
      <c r="AD211" t="s">
        <v>50</v>
      </c>
      <c r="AE211">
        <v>5</v>
      </c>
      <c r="AF211" t="s">
        <v>74</v>
      </c>
      <c r="AG211">
        <v>1</v>
      </c>
      <c r="AH211">
        <v>106</v>
      </c>
      <c r="AI211">
        <v>304</v>
      </c>
      <c r="AJ211" t="s">
        <v>42</v>
      </c>
      <c r="AK211" t="s">
        <v>42</v>
      </c>
      <c r="AL211" t="s">
        <v>42</v>
      </c>
      <c r="AM211">
        <v>123773</v>
      </c>
      <c r="AN211" t="s">
        <v>399</v>
      </c>
      <c r="AO211">
        <v>3545708</v>
      </c>
    </row>
    <row r="212" spans="1:41" x14ac:dyDescent="0.25">
      <c r="A212" t="s">
        <v>41</v>
      </c>
      <c r="B212" s="1">
        <v>42853</v>
      </c>
      <c r="C212" t="s">
        <v>42</v>
      </c>
      <c r="D212">
        <v>1</v>
      </c>
      <c r="E212" t="s">
        <v>53</v>
      </c>
      <c r="F212" t="s">
        <v>54</v>
      </c>
      <c r="G212">
        <v>20071001</v>
      </c>
      <c r="H212" t="s">
        <v>64</v>
      </c>
      <c r="I212">
        <v>2</v>
      </c>
      <c r="J212" t="s">
        <v>46</v>
      </c>
      <c r="K212">
        <v>1</v>
      </c>
      <c r="L212">
        <v>4</v>
      </c>
      <c r="M212">
        <v>1720</v>
      </c>
      <c r="N212">
        <v>2035</v>
      </c>
      <c r="O212">
        <v>2035</v>
      </c>
      <c r="P212">
        <v>4790</v>
      </c>
      <c r="Q212">
        <v>1890</v>
      </c>
      <c r="R212">
        <v>1320</v>
      </c>
      <c r="S212">
        <v>1</v>
      </c>
      <c r="T212">
        <v>4196</v>
      </c>
      <c r="U212" t="s">
        <v>55</v>
      </c>
      <c r="V212">
        <v>8</v>
      </c>
      <c r="W212" t="b">
        <v>0</v>
      </c>
      <c r="X212" t="b">
        <v>0</v>
      </c>
      <c r="Y212" t="s">
        <v>42</v>
      </c>
      <c r="Z212" t="s">
        <v>48</v>
      </c>
      <c r="AA212" t="s">
        <v>400</v>
      </c>
      <c r="AB212">
        <v>2</v>
      </c>
      <c r="AC212">
        <v>6</v>
      </c>
      <c r="AD212" t="s">
        <v>183</v>
      </c>
      <c r="AE212">
        <v>5</v>
      </c>
      <c r="AF212" t="s">
        <v>176</v>
      </c>
      <c r="AG212">
        <v>1</v>
      </c>
      <c r="AH212">
        <v>418</v>
      </c>
      <c r="AI212">
        <v>269</v>
      </c>
      <c r="AJ212" t="s">
        <v>42</v>
      </c>
      <c r="AK212" t="s">
        <v>42</v>
      </c>
      <c r="AL212" t="s">
        <v>42</v>
      </c>
      <c r="AM212">
        <v>112218</v>
      </c>
      <c r="AN212" t="s">
        <v>401</v>
      </c>
      <c r="AO212">
        <v>3549450</v>
      </c>
    </row>
    <row r="213" spans="1:41" x14ac:dyDescent="0.25">
      <c r="A213" t="s">
        <v>41</v>
      </c>
      <c r="B213" s="1">
        <v>42867</v>
      </c>
      <c r="C213" t="s">
        <v>42</v>
      </c>
      <c r="D213">
        <v>1</v>
      </c>
      <c r="E213" t="s">
        <v>53</v>
      </c>
      <c r="F213" t="s">
        <v>54</v>
      </c>
      <c r="G213">
        <v>20080924</v>
      </c>
      <c r="H213" t="s">
        <v>102</v>
      </c>
      <c r="I213">
        <v>2</v>
      </c>
      <c r="J213" t="s">
        <v>46</v>
      </c>
      <c r="K213">
        <v>1</v>
      </c>
      <c r="L213">
        <v>4</v>
      </c>
      <c r="M213">
        <v>1720</v>
      </c>
      <c r="N213">
        <v>2035</v>
      </c>
      <c r="O213">
        <v>2035</v>
      </c>
      <c r="P213">
        <v>4791</v>
      </c>
      <c r="Q213">
        <v>1912</v>
      </c>
      <c r="R213">
        <v>1322</v>
      </c>
      <c r="S213">
        <v>1</v>
      </c>
      <c r="T213">
        <v>4196</v>
      </c>
      <c r="U213" t="s">
        <v>55</v>
      </c>
      <c r="V213">
        <v>8</v>
      </c>
      <c r="W213" t="b">
        <v>0</v>
      </c>
      <c r="X213" t="b">
        <v>0</v>
      </c>
      <c r="Y213" t="s">
        <v>42</v>
      </c>
      <c r="Z213" t="s">
        <v>48</v>
      </c>
      <c r="AA213" t="s">
        <v>400</v>
      </c>
      <c r="AB213">
        <v>2</v>
      </c>
      <c r="AC213">
        <v>6</v>
      </c>
      <c r="AD213" t="s">
        <v>183</v>
      </c>
      <c r="AE213">
        <v>5</v>
      </c>
      <c r="AF213" t="s">
        <v>190</v>
      </c>
      <c r="AG213">
        <v>1</v>
      </c>
      <c r="AH213">
        <v>92</v>
      </c>
      <c r="AI213">
        <v>269</v>
      </c>
      <c r="AJ213" t="s">
        <v>42</v>
      </c>
      <c r="AK213" t="s">
        <v>42</v>
      </c>
      <c r="AL213" t="s">
        <v>42</v>
      </c>
      <c r="AM213">
        <v>323242</v>
      </c>
      <c r="AN213" t="s">
        <v>402</v>
      </c>
      <c r="AO213">
        <v>3555492</v>
      </c>
    </row>
    <row r="214" spans="1:41" x14ac:dyDescent="0.25">
      <c r="A214" t="s">
        <v>41</v>
      </c>
      <c r="B214" s="1">
        <v>42914</v>
      </c>
      <c r="C214" t="s">
        <v>42</v>
      </c>
      <c r="D214">
        <v>1</v>
      </c>
      <c r="E214" t="s">
        <v>53</v>
      </c>
      <c r="F214" t="s">
        <v>54</v>
      </c>
      <c r="G214">
        <v>20080930</v>
      </c>
      <c r="H214" t="s">
        <v>102</v>
      </c>
      <c r="I214">
        <v>2</v>
      </c>
      <c r="J214" t="s">
        <v>46</v>
      </c>
      <c r="K214">
        <v>1</v>
      </c>
      <c r="L214">
        <v>4</v>
      </c>
      <c r="M214">
        <v>1720</v>
      </c>
      <c r="N214">
        <v>2035</v>
      </c>
      <c r="O214">
        <v>2035</v>
      </c>
      <c r="P214">
        <v>4791</v>
      </c>
      <c r="Q214">
        <v>1912</v>
      </c>
      <c r="R214">
        <v>1322</v>
      </c>
      <c r="S214">
        <v>1</v>
      </c>
      <c r="T214">
        <v>4196</v>
      </c>
      <c r="U214" t="s">
        <v>55</v>
      </c>
      <c r="V214">
        <v>8</v>
      </c>
      <c r="W214" t="b">
        <v>0</v>
      </c>
      <c r="X214" t="b">
        <v>0</v>
      </c>
      <c r="Y214" t="s">
        <v>42</v>
      </c>
      <c r="Z214" t="s">
        <v>48</v>
      </c>
      <c r="AA214" t="s">
        <v>400</v>
      </c>
      <c r="AB214">
        <v>2</v>
      </c>
      <c r="AC214">
        <v>6</v>
      </c>
      <c r="AD214" t="s">
        <v>183</v>
      </c>
      <c r="AE214">
        <v>5</v>
      </c>
      <c r="AF214" t="s">
        <v>190</v>
      </c>
      <c r="AG214">
        <v>1</v>
      </c>
      <c r="AH214">
        <v>91</v>
      </c>
      <c r="AI214">
        <v>269</v>
      </c>
      <c r="AJ214" t="s">
        <v>42</v>
      </c>
      <c r="AK214" t="s">
        <v>42</v>
      </c>
      <c r="AL214" t="s">
        <v>42</v>
      </c>
      <c r="AM214">
        <v>151697</v>
      </c>
      <c r="AN214" t="s">
        <v>184</v>
      </c>
      <c r="AO214">
        <v>3567960</v>
      </c>
    </row>
    <row r="215" spans="1:41" x14ac:dyDescent="0.25">
      <c r="A215" t="s">
        <v>41</v>
      </c>
      <c r="B215" s="1">
        <v>42885</v>
      </c>
      <c r="C215" t="s">
        <v>42</v>
      </c>
      <c r="D215">
        <v>1</v>
      </c>
      <c r="E215" t="s">
        <v>42</v>
      </c>
      <c r="F215" t="s">
        <v>42</v>
      </c>
      <c r="G215">
        <v>20031123</v>
      </c>
      <c r="H215" t="s">
        <v>64</v>
      </c>
      <c r="I215">
        <v>2</v>
      </c>
      <c r="J215" t="s">
        <v>71</v>
      </c>
      <c r="L215">
        <v>4</v>
      </c>
      <c r="M215">
        <v>1770</v>
      </c>
      <c r="N215">
        <v>2175</v>
      </c>
      <c r="O215">
        <v>2175</v>
      </c>
      <c r="P215">
        <v>4760</v>
      </c>
      <c r="Q215">
        <v>1829</v>
      </c>
      <c r="R215">
        <v>1306</v>
      </c>
      <c r="S215">
        <v>1</v>
      </c>
      <c r="T215">
        <v>4196</v>
      </c>
      <c r="U215" t="s">
        <v>273</v>
      </c>
      <c r="V215">
        <v>8</v>
      </c>
      <c r="W215" t="b">
        <v>0</v>
      </c>
      <c r="X215" t="b">
        <v>0</v>
      </c>
      <c r="Y215" t="s">
        <v>42</v>
      </c>
      <c r="Z215" t="s">
        <v>48</v>
      </c>
      <c r="AA215" t="s">
        <v>342</v>
      </c>
      <c r="AB215">
        <v>2</v>
      </c>
      <c r="AD215" t="s">
        <v>315</v>
      </c>
      <c r="AE215">
        <v>5</v>
      </c>
      <c r="AF215" t="s">
        <v>42</v>
      </c>
      <c r="AG215">
        <v>1</v>
      </c>
      <c r="AH215">
        <v>49</v>
      </c>
      <c r="AI215">
        <v>279</v>
      </c>
      <c r="AJ215" t="s">
        <v>42</v>
      </c>
      <c r="AK215" t="s">
        <v>42</v>
      </c>
      <c r="AL215" t="s">
        <v>42</v>
      </c>
      <c r="AM215">
        <v>67570</v>
      </c>
      <c r="AN215" t="s">
        <v>403</v>
      </c>
      <c r="AO215">
        <v>3573053</v>
      </c>
    </row>
    <row r="216" spans="1:41" x14ac:dyDescent="0.25">
      <c r="A216" t="s">
        <v>41</v>
      </c>
      <c r="B216" s="1">
        <v>44036</v>
      </c>
      <c r="C216" t="s">
        <v>42</v>
      </c>
      <c r="D216">
        <v>1</v>
      </c>
      <c r="E216" t="s">
        <v>42</v>
      </c>
      <c r="F216" t="s">
        <v>42</v>
      </c>
      <c r="G216">
        <v>20070000</v>
      </c>
      <c r="H216" t="s">
        <v>64</v>
      </c>
      <c r="I216">
        <v>2</v>
      </c>
      <c r="J216" t="s">
        <v>46</v>
      </c>
      <c r="L216">
        <v>4</v>
      </c>
      <c r="M216">
        <v>1770</v>
      </c>
      <c r="N216">
        <v>2080</v>
      </c>
      <c r="O216">
        <v>2080</v>
      </c>
      <c r="P216">
        <v>4790</v>
      </c>
      <c r="Q216">
        <v>1890</v>
      </c>
      <c r="R216">
        <v>1320</v>
      </c>
      <c r="S216">
        <v>1</v>
      </c>
      <c r="T216">
        <v>4196</v>
      </c>
      <c r="U216" t="s">
        <v>156</v>
      </c>
      <c r="V216">
        <v>8</v>
      </c>
      <c r="W216" t="b">
        <v>1</v>
      </c>
      <c r="X216" t="b">
        <v>0</v>
      </c>
      <c r="Y216" t="s">
        <v>42</v>
      </c>
      <c r="Z216" t="s">
        <v>48</v>
      </c>
      <c r="AA216" t="s">
        <v>211</v>
      </c>
      <c r="AB216">
        <v>2</v>
      </c>
      <c r="AD216" t="s">
        <v>175</v>
      </c>
      <c r="AE216">
        <v>5</v>
      </c>
      <c r="AF216" t="s">
        <v>42</v>
      </c>
      <c r="AG216">
        <v>1</v>
      </c>
      <c r="AH216">
        <v>49</v>
      </c>
      <c r="AI216">
        <v>291</v>
      </c>
      <c r="AJ216" t="s">
        <v>42</v>
      </c>
      <c r="AK216" t="s">
        <v>42</v>
      </c>
      <c r="AL216" t="s">
        <v>42</v>
      </c>
      <c r="AM216">
        <v>94582</v>
      </c>
      <c r="AN216" t="s">
        <v>404</v>
      </c>
      <c r="AO216">
        <v>3590269</v>
      </c>
    </row>
    <row r="217" spans="1:41" x14ac:dyDescent="0.25">
      <c r="A217" t="s">
        <v>41</v>
      </c>
      <c r="B217" s="1">
        <v>43026</v>
      </c>
      <c r="C217" t="s">
        <v>42</v>
      </c>
      <c r="D217">
        <v>1</v>
      </c>
      <c r="E217" t="s">
        <v>42</v>
      </c>
      <c r="F217" t="s">
        <v>405</v>
      </c>
      <c r="G217">
        <v>20020000</v>
      </c>
      <c r="H217" t="s">
        <v>84</v>
      </c>
      <c r="I217">
        <v>2</v>
      </c>
      <c r="J217" t="s">
        <v>71</v>
      </c>
      <c r="L217">
        <v>4</v>
      </c>
      <c r="M217">
        <v>1695</v>
      </c>
      <c r="N217">
        <v>2100</v>
      </c>
      <c r="O217">
        <v>2100</v>
      </c>
      <c r="P217">
        <v>4708</v>
      </c>
      <c r="Q217">
        <v>1830</v>
      </c>
      <c r="R217">
        <v>1310</v>
      </c>
      <c r="S217">
        <v>1</v>
      </c>
      <c r="T217">
        <v>3996</v>
      </c>
      <c r="U217" t="s">
        <v>65</v>
      </c>
      <c r="V217">
        <v>8</v>
      </c>
      <c r="W217" t="b">
        <v>1</v>
      </c>
      <c r="X217" t="b">
        <v>0</v>
      </c>
      <c r="Y217" t="s">
        <v>42</v>
      </c>
      <c r="Z217" t="s">
        <v>48</v>
      </c>
      <c r="AA217" t="s">
        <v>406</v>
      </c>
      <c r="AB217">
        <v>2</v>
      </c>
      <c r="AD217" t="s">
        <v>293</v>
      </c>
      <c r="AE217">
        <v>5</v>
      </c>
      <c r="AF217" t="s">
        <v>42</v>
      </c>
      <c r="AG217">
        <v>1</v>
      </c>
      <c r="AH217">
        <v>235</v>
      </c>
      <c r="AI217">
        <v>305</v>
      </c>
      <c r="AJ217" t="s">
        <v>42</v>
      </c>
      <c r="AK217" t="s">
        <v>42</v>
      </c>
      <c r="AL217" t="s">
        <v>42</v>
      </c>
      <c r="AM217">
        <v>106960</v>
      </c>
      <c r="AN217" t="s">
        <v>407</v>
      </c>
      <c r="AO217">
        <v>3593247</v>
      </c>
    </row>
    <row r="218" spans="1:41" x14ac:dyDescent="0.25">
      <c r="A218" t="s">
        <v>41</v>
      </c>
      <c r="B218" s="1">
        <v>42993</v>
      </c>
      <c r="C218" t="s">
        <v>42</v>
      </c>
      <c r="D218">
        <v>1</v>
      </c>
      <c r="E218" t="s">
        <v>155</v>
      </c>
      <c r="F218" t="s">
        <v>54</v>
      </c>
      <c r="G218">
        <v>20071012</v>
      </c>
      <c r="H218" t="s">
        <v>64</v>
      </c>
      <c r="I218">
        <v>2</v>
      </c>
      <c r="J218" t="s">
        <v>46</v>
      </c>
      <c r="L218">
        <v>4</v>
      </c>
      <c r="M218">
        <v>1770</v>
      </c>
      <c r="N218">
        <v>2080</v>
      </c>
      <c r="O218">
        <v>2080</v>
      </c>
      <c r="P218">
        <v>4790</v>
      </c>
      <c r="Q218">
        <v>1890</v>
      </c>
      <c r="R218">
        <v>1320</v>
      </c>
      <c r="S218">
        <v>1</v>
      </c>
      <c r="T218">
        <v>4190</v>
      </c>
      <c r="U218" t="s">
        <v>156</v>
      </c>
      <c r="V218">
        <v>8</v>
      </c>
      <c r="W218" t="b">
        <v>1</v>
      </c>
      <c r="X218" t="b">
        <v>0</v>
      </c>
      <c r="Y218" t="s">
        <v>42</v>
      </c>
      <c r="Z218" t="s">
        <v>48</v>
      </c>
      <c r="AA218" t="s">
        <v>408</v>
      </c>
      <c r="AB218">
        <v>2</v>
      </c>
      <c r="AD218" t="s">
        <v>175</v>
      </c>
      <c r="AE218">
        <v>5</v>
      </c>
      <c r="AF218" t="s">
        <v>176</v>
      </c>
      <c r="AG218">
        <v>1</v>
      </c>
      <c r="AH218">
        <v>853</v>
      </c>
      <c r="AI218">
        <v>294</v>
      </c>
      <c r="AJ218" t="s">
        <v>42</v>
      </c>
      <c r="AK218" t="s">
        <v>42</v>
      </c>
      <c r="AL218" t="s">
        <v>42</v>
      </c>
      <c r="AM218">
        <v>156006</v>
      </c>
      <c r="AN218" t="s">
        <v>409</v>
      </c>
      <c r="AO218">
        <v>3601127</v>
      </c>
    </row>
    <row r="219" spans="1:41" x14ac:dyDescent="0.25">
      <c r="A219" t="s">
        <v>41</v>
      </c>
      <c r="B219" s="1">
        <v>42976</v>
      </c>
      <c r="C219" t="s">
        <v>42</v>
      </c>
      <c r="D219">
        <v>1</v>
      </c>
      <c r="E219" t="s">
        <v>151</v>
      </c>
      <c r="F219" t="s">
        <v>353</v>
      </c>
      <c r="G219">
        <v>20000911</v>
      </c>
      <c r="H219" t="s">
        <v>59</v>
      </c>
      <c r="I219">
        <v>2</v>
      </c>
      <c r="J219" t="s">
        <v>71</v>
      </c>
      <c r="L219">
        <v>4</v>
      </c>
      <c r="M219">
        <v>1825</v>
      </c>
      <c r="N219">
        <v>2100</v>
      </c>
      <c r="O219">
        <v>2100</v>
      </c>
      <c r="P219">
        <v>4760</v>
      </c>
      <c r="Q219">
        <v>1829</v>
      </c>
      <c r="R219">
        <v>1306</v>
      </c>
      <c r="S219">
        <v>1</v>
      </c>
      <c r="T219">
        <v>3996</v>
      </c>
      <c r="U219" t="s">
        <v>65</v>
      </c>
      <c r="V219">
        <v>8</v>
      </c>
      <c r="W219" t="b">
        <v>1</v>
      </c>
      <c r="X219" t="b">
        <v>0</v>
      </c>
      <c r="Y219" t="s">
        <v>42</v>
      </c>
      <c r="Z219" t="s">
        <v>48</v>
      </c>
      <c r="AA219" t="s">
        <v>331</v>
      </c>
      <c r="AB219">
        <v>2</v>
      </c>
      <c r="AC219">
        <v>5</v>
      </c>
      <c r="AD219" t="s">
        <v>165</v>
      </c>
      <c r="AE219">
        <v>5</v>
      </c>
      <c r="AF219" t="s">
        <v>207</v>
      </c>
      <c r="AG219">
        <v>1</v>
      </c>
      <c r="AH219">
        <v>91</v>
      </c>
      <c r="AI219">
        <v>301</v>
      </c>
      <c r="AJ219" t="s">
        <v>42</v>
      </c>
      <c r="AK219" t="s">
        <v>42</v>
      </c>
      <c r="AL219" t="s">
        <v>42</v>
      </c>
      <c r="AM219">
        <v>18482</v>
      </c>
      <c r="AN219" t="s">
        <v>410</v>
      </c>
      <c r="AO219">
        <v>3621981</v>
      </c>
    </row>
    <row r="220" spans="1:41" x14ac:dyDescent="0.25">
      <c r="A220" t="s">
        <v>41</v>
      </c>
      <c r="B220" s="1">
        <v>42999</v>
      </c>
      <c r="C220" t="s">
        <v>42</v>
      </c>
      <c r="D220">
        <v>5</v>
      </c>
      <c r="E220" t="s">
        <v>42</v>
      </c>
      <c r="F220" t="s">
        <v>42</v>
      </c>
      <c r="G220">
        <v>20060101</v>
      </c>
      <c r="H220" t="s">
        <v>173</v>
      </c>
      <c r="I220">
        <v>2</v>
      </c>
      <c r="J220" t="s">
        <v>71</v>
      </c>
      <c r="L220">
        <v>4</v>
      </c>
      <c r="M220">
        <v>1770</v>
      </c>
      <c r="N220">
        <v>2175</v>
      </c>
      <c r="O220">
        <v>2175</v>
      </c>
      <c r="P220">
        <v>4760</v>
      </c>
      <c r="Q220">
        <v>1829</v>
      </c>
      <c r="R220">
        <v>1306</v>
      </c>
      <c r="S220">
        <v>1</v>
      </c>
      <c r="T220">
        <v>4196</v>
      </c>
      <c r="U220" t="s">
        <v>273</v>
      </c>
      <c r="V220">
        <v>8</v>
      </c>
      <c r="W220" t="b">
        <v>0</v>
      </c>
      <c r="X220" t="b">
        <v>0</v>
      </c>
      <c r="Y220" t="s">
        <v>42</v>
      </c>
      <c r="Z220" t="s">
        <v>48</v>
      </c>
      <c r="AA220" t="s">
        <v>342</v>
      </c>
      <c r="AB220">
        <v>2</v>
      </c>
      <c r="AD220" t="s">
        <v>315</v>
      </c>
      <c r="AE220">
        <v>5</v>
      </c>
      <c r="AF220" t="s">
        <v>42</v>
      </c>
      <c r="AG220">
        <v>1</v>
      </c>
      <c r="AH220">
        <v>851</v>
      </c>
      <c r="AJ220" t="s">
        <v>42</v>
      </c>
      <c r="AK220" t="s">
        <v>42</v>
      </c>
      <c r="AL220" t="s">
        <v>42</v>
      </c>
      <c r="AM220">
        <v>122960</v>
      </c>
      <c r="AN220" t="s">
        <v>411</v>
      </c>
      <c r="AO220">
        <v>3629004</v>
      </c>
    </row>
    <row r="221" spans="1:41" x14ac:dyDescent="0.25">
      <c r="A221" t="s">
        <v>41</v>
      </c>
      <c r="B221" s="1">
        <v>43265</v>
      </c>
      <c r="C221" t="s">
        <v>42</v>
      </c>
      <c r="D221">
        <v>1</v>
      </c>
      <c r="E221" t="s">
        <v>53</v>
      </c>
      <c r="F221" t="s">
        <v>54</v>
      </c>
      <c r="G221">
        <v>20080218</v>
      </c>
      <c r="H221" t="s">
        <v>88</v>
      </c>
      <c r="I221">
        <v>2</v>
      </c>
      <c r="J221" t="s">
        <v>46</v>
      </c>
      <c r="L221">
        <v>4</v>
      </c>
      <c r="M221">
        <v>1720</v>
      </c>
      <c r="N221">
        <v>2035</v>
      </c>
      <c r="O221">
        <v>2035</v>
      </c>
      <c r="P221">
        <v>4791</v>
      </c>
      <c r="Q221">
        <v>1912</v>
      </c>
      <c r="R221">
        <v>1322</v>
      </c>
      <c r="S221">
        <v>1</v>
      </c>
      <c r="T221">
        <v>4196</v>
      </c>
      <c r="U221" t="s">
        <v>273</v>
      </c>
      <c r="V221">
        <v>8</v>
      </c>
      <c r="W221" t="b">
        <v>0</v>
      </c>
      <c r="X221" t="b">
        <v>0</v>
      </c>
      <c r="Y221" t="s">
        <v>42</v>
      </c>
      <c r="Z221" t="s">
        <v>48</v>
      </c>
      <c r="AA221" t="s">
        <v>369</v>
      </c>
      <c r="AB221">
        <v>2</v>
      </c>
      <c r="AC221">
        <v>6</v>
      </c>
      <c r="AD221" t="s">
        <v>370</v>
      </c>
      <c r="AE221">
        <v>5</v>
      </c>
      <c r="AF221" t="s">
        <v>190</v>
      </c>
      <c r="AG221">
        <v>1</v>
      </c>
      <c r="AH221">
        <v>179</v>
      </c>
      <c r="AI221">
        <v>269</v>
      </c>
      <c r="AJ221" t="s">
        <v>42</v>
      </c>
      <c r="AK221" t="s">
        <v>42</v>
      </c>
      <c r="AL221" t="s">
        <v>42</v>
      </c>
      <c r="AM221">
        <v>136544</v>
      </c>
      <c r="AN221" t="s">
        <v>412</v>
      </c>
      <c r="AO221">
        <v>3692168</v>
      </c>
    </row>
    <row r="222" spans="1:41" x14ac:dyDescent="0.25">
      <c r="A222" t="s">
        <v>41</v>
      </c>
      <c r="B222" s="1">
        <v>43196</v>
      </c>
      <c r="C222" t="s">
        <v>42</v>
      </c>
      <c r="D222">
        <v>1</v>
      </c>
      <c r="E222" t="s">
        <v>53</v>
      </c>
      <c r="F222" t="s">
        <v>54</v>
      </c>
      <c r="G222">
        <v>20070601</v>
      </c>
      <c r="H222" t="s">
        <v>92</v>
      </c>
      <c r="I222">
        <v>2</v>
      </c>
      <c r="J222" t="s">
        <v>46</v>
      </c>
      <c r="L222">
        <v>4</v>
      </c>
      <c r="M222">
        <v>1720</v>
      </c>
      <c r="N222">
        <v>2035</v>
      </c>
      <c r="O222">
        <v>2035</v>
      </c>
      <c r="P222">
        <v>4790</v>
      </c>
      <c r="Q222">
        <v>1890</v>
      </c>
      <c r="R222">
        <v>1320</v>
      </c>
      <c r="S222">
        <v>1</v>
      </c>
      <c r="T222">
        <v>4190</v>
      </c>
      <c r="U222" t="s">
        <v>55</v>
      </c>
      <c r="V222">
        <v>8</v>
      </c>
      <c r="W222" t="b">
        <v>0</v>
      </c>
      <c r="X222" t="b">
        <v>0</v>
      </c>
      <c r="Y222" t="s">
        <v>42</v>
      </c>
      <c r="Z222" t="s">
        <v>48</v>
      </c>
      <c r="AA222" t="s">
        <v>171</v>
      </c>
      <c r="AB222">
        <v>2</v>
      </c>
      <c r="AC222">
        <v>5</v>
      </c>
      <c r="AD222" t="s">
        <v>50</v>
      </c>
      <c r="AE222">
        <v>5</v>
      </c>
      <c r="AF222" t="s">
        <v>176</v>
      </c>
      <c r="AG222">
        <v>1</v>
      </c>
      <c r="AH222">
        <v>91</v>
      </c>
      <c r="AI222">
        <v>269</v>
      </c>
      <c r="AJ222" t="s">
        <v>42</v>
      </c>
      <c r="AK222" t="s">
        <v>42</v>
      </c>
      <c r="AL222" t="s">
        <v>42</v>
      </c>
      <c r="AM222">
        <v>106119</v>
      </c>
      <c r="AN222" t="s">
        <v>58</v>
      </c>
      <c r="AO222">
        <v>3710560</v>
      </c>
    </row>
    <row r="223" spans="1:41" x14ac:dyDescent="0.25">
      <c r="A223" t="s">
        <v>41</v>
      </c>
      <c r="B223" s="1">
        <v>43263</v>
      </c>
      <c r="C223" t="s">
        <v>42</v>
      </c>
      <c r="D223">
        <v>1</v>
      </c>
      <c r="E223" t="s">
        <v>42</v>
      </c>
      <c r="F223" t="s">
        <v>42</v>
      </c>
      <c r="G223">
        <v>19970000</v>
      </c>
      <c r="H223" t="s">
        <v>59</v>
      </c>
      <c r="I223">
        <v>2</v>
      </c>
      <c r="J223" t="s">
        <v>46</v>
      </c>
      <c r="K223">
        <v>1</v>
      </c>
      <c r="L223">
        <v>4</v>
      </c>
      <c r="M223">
        <v>1735</v>
      </c>
      <c r="N223">
        <v>2010</v>
      </c>
      <c r="O223">
        <v>2010</v>
      </c>
      <c r="P223">
        <v>4760</v>
      </c>
      <c r="Q223">
        <v>1830</v>
      </c>
      <c r="R223">
        <v>1290</v>
      </c>
      <c r="S223">
        <v>1</v>
      </c>
      <c r="T223">
        <v>3990</v>
      </c>
      <c r="U223" t="s">
        <v>47</v>
      </c>
      <c r="V223">
        <v>8</v>
      </c>
      <c r="W223" t="b">
        <v>0</v>
      </c>
      <c r="X223" t="b">
        <v>0</v>
      </c>
      <c r="Y223" t="s">
        <v>42</v>
      </c>
      <c r="Z223" t="s">
        <v>48</v>
      </c>
      <c r="AA223" t="s">
        <v>304</v>
      </c>
      <c r="AB223">
        <v>2</v>
      </c>
      <c r="AD223" t="s">
        <v>94</v>
      </c>
      <c r="AE223">
        <v>5</v>
      </c>
      <c r="AF223" t="s">
        <v>42</v>
      </c>
      <c r="AG223">
        <v>1</v>
      </c>
      <c r="AH223">
        <v>49</v>
      </c>
      <c r="AJ223" t="s">
        <v>42</v>
      </c>
      <c r="AK223" t="s">
        <v>42</v>
      </c>
      <c r="AL223" t="s">
        <v>42</v>
      </c>
      <c r="AM223">
        <v>74158</v>
      </c>
      <c r="AN223" t="s">
        <v>413</v>
      </c>
      <c r="AO223">
        <v>3727926</v>
      </c>
    </row>
    <row r="224" spans="1:41" x14ac:dyDescent="0.25">
      <c r="A224" t="s">
        <v>41</v>
      </c>
      <c r="B224" s="1">
        <v>43196</v>
      </c>
      <c r="C224" t="s">
        <v>42</v>
      </c>
      <c r="D224">
        <v>1</v>
      </c>
      <c r="E224" t="s">
        <v>42</v>
      </c>
      <c r="F224" t="s">
        <v>42</v>
      </c>
      <c r="G224">
        <v>20080000</v>
      </c>
      <c r="H224" t="s">
        <v>64</v>
      </c>
      <c r="I224">
        <v>2</v>
      </c>
      <c r="J224" t="s">
        <v>46</v>
      </c>
      <c r="L224">
        <v>4</v>
      </c>
      <c r="M224">
        <v>1685</v>
      </c>
      <c r="N224">
        <v>2080</v>
      </c>
      <c r="O224">
        <v>2080</v>
      </c>
      <c r="P224">
        <v>4790</v>
      </c>
      <c r="Q224">
        <v>1892</v>
      </c>
      <c r="R224">
        <v>1320</v>
      </c>
      <c r="S224">
        <v>1</v>
      </c>
      <c r="T224">
        <v>4196</v>
      </c>
      <c r="U224" t="s">
        <v>414</v>
      </c>
      <c r="V224">
        <v>8</v>
      </c>
      <c r="W224" t="b">
        <v>1</v>
      </c>
      <c r="X224" t="b">
        <v>0</v>
      </c>
      <c r="Y224" t="s">
        <v>42</v>
      </c>
      <c r="Z224" t="s">
        <v>48</v>
      </c>
      <c r="AA224" t="s">
        <v>415</v>
      </c>
      <c r="AB224">
        <v>2</v>
      </c>
      <c r="AD224" t="s">
        <v>165</v>
      </c>
      <c r="AE224">
        <v>5</v>
      </c>
      <c r="AF224" t="s">
        <v>42</v>
      </c>
      <c r="AG224">
        <v>1</v>
      </c>
      <c r="AH224">
        <v>286</v>
      </c>
      <c r="AI224">
        <v>492</v>
      </c>
      <c r="AJ224" t="s">
        <v>42</v>
      </c>
      <c r="AK224" t="s">
        <v>42</v>
      </c>
      <c r="AL224" t="s">
        <v>42</v>
      </c>
      <c r="AM224">
        <v>167596</v>
      </c>
      <c r="AN224" t="s">
        <v>416</v>
      </c>
      <c r="AO224">
        <v>3735485</v>
      </c>
    </row>
    <row r="225" spans="1:41" x14ac:dyDescent="0.25">
      <c r="A225" t="s">
        <v>41</v>
      </c>
      <c r="B225" s="1">
        <v>43236</v>
      </c>
      <c r="C225" t="s">
        <v>42</v>
      </c>
      <c r="D225">
        <v>1</v>
      </c>
      <c r="E225" t="s">
        <v>42</v>
      </c>
      <c r="F225" t="s">
        <v>42</v>
      </c>
      <c r="G225">
        <v>20030000</v>
      </c>
      <c r="H225" t="s">
        <v>84</v>
      </c>
      <c r="I225">
        <v>2</v>
      </c>
      <c r="J225" t="s">
        <v>71</v>
      </c>
      <c r="L225">
        <v>4</v>
      </c>
      <c r="M225">
        <v>1810</v>
      </c>
      <c r="N225">
        <v>2185</v>
      </c>
      <c r="O225">
        <v>2185</v>
      </c>
      <c r="S225">
        <v>1</v>
      </c>
      <c r="U225" t="s">
        <v>42</v>
      </c>
      <c r="W225" t="b">
        <v>0</v>
      </c>
      <c r="X225" t="b">
        <v>0</v>
      </c>
      <c r="Y225" t="s">
        <v>42</v>
      </c>
      <c r="Z225" t="s">
        <v>48</v>
      </c>
      <c r="AA225" t="s">
        <v>417</v>
      </c>
      <c r="AD225" t="s">
        <v>94</v>
      </c>
      <c r="AE225">
        <v>5</v>
      </c>
      <c r="AF225" t="s">
        <v>42</v>
      </c>
      <c r="AG225">
        <v>1</v>
      </c>
      <c r="AH225">
        <v>564</v>
      </c>
      <c r="AJ225" t="s">
        <v>42</v>
      </c>
      <c r="AK225" t="s">
        <v>42</v>
      </c>
      <c r="AL225" t="s">
        <v>42</v>
      </c>
      <c r="AM225">
        <v>94966</v>
      </c>
      <c r="AN225" t="s">
        <v>418</v>
      </c>
      <c r="AO225">
        <v>3744967</v>
      </c>
    </row>
    <row r="226" spans="1:41" x14ac:dyDescent="0.25">
      <c r="A226" t="s">
        <v>41</v>
      </c>
      <c r="B226" s="1">
        <v>43278</v>
      </c>
      <c r="C226" t="s">
        <v>42</v>
      </c>
      <c r="D226">
        <v>1</v>
      </c>
      <c r="E226" t="s">
        <v>42</v>
      </c>
      <c r="F226" t="s">
        <v>42</v>
      </c>
      <c r="G226">
        <v>19970602</v>
      </c>
      <c r="H226" t="s">
        <v>92</v>
      </c>
      <c r="I226">
        <v>2</v>
      </c>
      <c r="J226" t="s">
        <v>46</v>
      </c>
      <c r="L226">
        <v>4</v>
      </c>
      <c r="M226">
        <v>1690</v>
      </c>
      <c r="N226">
        <v>2010</v>
      </c>
      <c r="O226">
        <v>2010</v>
      </c>
      <c r="P226">
        <v>4760</v>
      </c>
      <c r="Q226">
        <v>1830</v>
      </c>
      <c r="S226">
        <v>1</v>
      </c>
      <c r="T226">
        <v>3990</v>
      </c>
      <c r="U226" t="s">
        <v>47</v>
      </c>
      <c r="V226">
        <v>8</v>
      </c>
      <c r="W226" t="b">
        <v>0</v>
      </c>
      <c r="X226" t="b">
        <v>0</v>
      </c>
      <c r="Y226" t="s">
        <v>42</v>
      </c>
      <c r="Z226" t="s">
        <v>48</v>
      </c>
      <c r="AA226" t="s">
        <v>419</v>
      </c>
      <c r="AD226" t="s">
        <v>219</v>
      </c>
      <c r="AE226">
        <v>5</v>
      </c>
      <c r="AF226" t="s">
        <v>51</v>
      </c>
      <c r="AG226">
        <v>1</v>
      </c>
      <c r="AH226">
        <v>635</v>
      </c>
      <c r="AJ226" t="s">
        <v>42</v>
      </c>
      <c r="AK226" t="s">
        <v>42</v>
      </c>
      <c r="AL226" t="s">
        <v>42</v>
      </c>
      <c r="AM226">
        <v>169743</v>
      </c>
      <c r="AN226" t="s">
        <v>52</v>
      </c>
      <c r="AO226">
        <v>3777734</v>
      </c>
    </row>
    <row r="227" spans="1:41" x14ac:dyDescent="0.25">
      <c r="A227" t="s">
        <v>41</v>
      </c>
      <c r="B227" s="1">
        <v>43319</v>
      </c>
      <c r="C227" t="s">
        <v>42</v>
      </c>
      <c r="D227">
        <v>1</v>
      </c>
      <c r="E227" t="s">
        <v>42</v>
      </c>
      <c r="F227" t="s">
        <v>42</v>
      </c>
      <c r="G227">
        <v>19980410</v>
      </c>
      <c r="H227" t="s">
        <v>173</v>
      </c>
      <c r="I227">
        <v>2</v>
      </c>
      <c r="J227" t="s">
        <v>46</v>
      </c>
      <c r="K227">
        <v>1</v>
      </c>
      <c r="L227">
        <v>4</v>
      </c>
      <c r="M227">
        <v>1720</v>
      </c>
      <c r="N227">
        <v>2010</v>
      </c>
      <c r="O227">
        <v>2010</v>
      </c>
      <c r="P227">
        <v>4760</v>
      </c>
      <c r="Q227">
        <v>1830</v>
      </c>
      <c r="S227">
        <v>1</v>
      </c>
      <c r="T227">
        <v>3990</v>
      </c>
      <c r="U227" t="s">
        <v>47</v>
      </c>
      <c r="V227">
        <v>8</v>
      </c>
      <c r="W227" t="b">
        <v>0</v>
      </c>
      <c r="X227" t="b">
        <v>0</v>
      </c>
      <c r="Y227" t="s">
        <v>42</v>
      </c>
      <c r="Z227" t="s">
        <v>48</v>
      </c>
      <c r="AA227" t="s">
        <v>209</v>
      </c>
      <c r="AB227">
        <v>2</v>
      </c>
      <c r="AD227" t="s">
        <v>50</v>
      </c>
      <c r="AE227">
        <v>5</v>
      </c>
      <c r="AF227" t="s">
        <v>42</v>
      </c>
      <c r="AG227">
        <v>1</v>
      </c>
      <c r="AH227">
        <v>758</v>
      </c>
      <c r="AJ227" t="s">
        <v>42</v>
      </c>
      <c r="AK227" t="s">
        <v>42</v>
      </c>
      <c r="AL227" t="s">
        <v>42</v>
      </c>
      <c r="AM227">
        <v>166708</v>
      </c>
      <c r="AN227" t="s">
        <v>420</v>
      </c>
      <c r="AO227">
        <v>3779971</v>
      </c>
    </row>
    <row r="228" spans="1:41" x14ac:dyDescent="0.25">
      <c r="A228" t="s">
        <v>41</v>
      </c>
      <c r="B228" s="1">
        <v>43360</v>
      </c>
      <c r="C228" t="s">
        <v>42</v>
      </c>
      <c r="D228">
        <v>1</v>
      </c>
      <c r="E228" t="s">
        <v>42</v>
      </c>
      <c r="F228" t="s">
        <v>42</v>
      </c>
      <c r="G228">
        <v>19970721</v>
      </c>
      <c r="H228" t="s">
        <v>92</v>
      </c>
      <c r="I228">
        <v>2</v>
      </c>
      <c r="J228" t="s">
        <v>421</v>
      </c>
      <c r="K228">
        <v>4</v>
      </c>
      <c r="L228">
        <v>4</v>
      </c>
      <c r="M228">
        <v>1840</v>
      </c>
      <c r="N228">
        <v>2100</v>
      </c>
      <c r="O228">
        <v>2100</v>
      </c>
      <c r="P228">
        <v>4800</v>
      </c>
      <c r="Q228">
        <v>1830</v>
      </c>
      <c r="S228">
        <v>1</v>
      </c>
      <c r="T228">
        <v>4000</v>
      </c>
      <c r="U228" t="s">
        <v>47</v>
      </c>
      <c r="W228" t="b">
        <v>0</v>
      </c>
      <c r="X228" t="b">
        <v>0</v>
      </c>
      <c r="Y228" t="s">
        <v>42</v>
      </c>
      <c r="Z228" t="s">
        <v>48</v>
      </c>
      <c r="AA228" t="s">
        <v>422</v>
      </c>
      <c r="AB228">
        <v>2</v>
      </c>
      <c r="AD228" t="s">
        <v>423</v>
      </c>
      <c r="AE228">
        <v>5</v>
      </c>
      <c r="AF228" t="s">
        <v>89</v>
      </c>
      <c r="AG228">
        <v>1</v>
      </c>
      <c r="AH228">
        <v>231</v>
      </c>
      <c r="AJ228" t="s">
        <v>42</v>
      </c>
      <c r="AK228" t="s">
        <v>42</v>
      </c>
      <c r="AL228" t="s">
        <v>42</v>
      </c>
      <c r="AM228">
        <v>117218</v>
      </c>
      <c r="AN228" t="s">
        <v>61</v>
      </c>
      <c r="AO228">
        <v>3784580</v>
      </c>
    </row>
    <row r="229" spans="1:41" x14ac:dyDescent="0.25">
      <c r="A229" t="s">
        <v>41</v>
      </c>
      <c r="B229" s="1">
        <v>43364</v>
      </c>
      <c r="C229" t="s">
        <v>42</v>
      </c>
      <c r="D229">
        <v>1</v>
      </c>
      <c r="E229" t="s">
        <v>42</v>
      </c>
      <c r="F229" t="s">
        <v>42</v>
      </c>
      <c r="G229">
        <v>19991231</v>
      </c>
      <c r="H229" t="s">
        <v>102</v>
      </c>
      <c r="I229">
        <v>2</v>
      </c>
      <c r="J229" t="s">
        <v>71</v>
      </c>
      <c r="L229">
        <v>4</v>
      </c>
      <c r="M229">
        <v>1720</v>
      </c>
      <c r="N229">
        <v>2100</v>
      </c>
      <c r="O229">
        <v>2100</v>
      </c>
      <c r="P229">
        <v>4760</v>
      </c>
      <c r="Q229">
        <v>1830</v>
      </c>
      <c r="S229">
        <v>1</v>
      </c>
      <c r="T229">
        <v>3990</v>
      </c>
      <c r="U229" t="s">
        <v>47</v>
      </c>
      <c r="V229">
        <v>8</v>
      </c>
      <c r="W229" t="b">
        <v>0</v>
      </c>
      <c r="X229" t="b">
        <v>0</v>
      </c>
      <c r="Y229" t="s">
        <v>42</v>
      </c>
      <c r="Z229" t="s">
        <v>48</v>
      </c>
      <c r="AA229" t="s">
        <v>272</v>
      </c>
      <c r="AB229">
        <v>2</v>
      </c>
      <c r="AD229" t="s">
        <v>50</v>
      </c>
      <c r="AE229">
        <v>5</v>
      </c>
      <c r="AF229" t="s">
        <v>42</v>
      </c>
      <c r="AG229">
        <v>1</v>
      </c>
      <c r="AH229">
        <v>398</v>
      </c>
      <c r="AJ229" t="s">
        <v>42</v>
      </c>
      <c r="AK229" t="s">
        <v>42</v>
      </c>
      <c r="AL229" t="s">
        <v>42</v>
      </c>
      <c r="AM229">
        <v>98875</v>
      </c>
      <c r="AN229" t="s">
        <v>424</v>
      </c>
      <c r="AO229">
        <v>3794414</v>
      </c>
    </row>
    <row r="230" spans="1:41" x14ac:dyDescent="0.25">
      <c r="A230" t="s">
        <v>41</v>
      </c>
      <c r="B230" s="1">
        <v>43392</v>
      </c>
      <c r="C230" t="s">
        <v>42</v>
      </c>
      <c r="D230">
        <v>1</v>
      </c>
      <c r="E230" t="s">
        <v>42</v>
      </c>
      <c r="F230" t="s">
        <v>42</v>
      </c>
      <c r="G230">
        <v>20080407</v>
      </c>
      <c r="H230" t="s">
        <v>173</v>
      </c>
      <c r="I230">
        <v>2</v>
      </c>
      <c r="J230" t="s">
        <v>42</v>
      </c>
      <c r="L230">
        <v>4</v>
      </c>
      <c r="M230">
        <v>1801</v>
      </c>
      <c r="N230">
        <v>2121</v>
      </c>
      <c r="O230">
        <v>2121</v>
      </c>
      <c r="P230">
        <v>4791</v>
      </c>
      <c r="Q230">
        <v>1912</v>
      </c>
      <c r="R230">
        <v>1329</v>
      </c>
      <c r="S230">
        <v>1</v>
      </c>
      <c r="T230">
        <v>4196</v>
      </c>
      <c r="U230" t="s">
        <v>156</v>
      </c>
      <c r="V230">
        <v>8</v>
      </c>
      <c r="W230" t="b">
        <v>1</v>
      </c>
      <c r="X230" t="b">
        <v>0</v>
      </c>
      <c r="Y230" t="s">
        <v>42</v>
      </c>
      <c r="Z230" t="s">
        <v>48</v>
      </c>
      <c r="AA230" t="s">
        <v>425</v>
      </c>
      <c r="AB230">
        <v>2</v>
      </c>
      <c r="AD230" t="s">
        <v>165</v>
      </c>
      <c r="AE230">
        <v>5</v>
      </c>
      <c r="AF230" t="s">
        <v>42</v>
      </c>
      <c r="AG230">
        <v>1</v>
      </c>
      <c r="AH230">
        <v>102</v>
      </c>
      <c r="AI230">
        <v>294</v>
      </c>
      <c r="AJ230" t="s">
        <v>42</v>
      </c>
      <c r="AK230" t="s">
        <v>42</v>
      </c>
      <c r="AL230" t="s">
        <v>42</v>
      </c>
      <c r="AM230">
        <v>116389</v>
      </c>
      <c r="AN230" t="s">
        <v>426</v>
      </c>
      <c r="AO230">
        <v>3815961</v>
      </c>
    </row>
    <row r="231" spans="1:41" x14ac:dyDescent="0.25">
      <c r="A231" t="s">
        <v>41</v>
      </c>
      <c r="B231" s="1">
        <v>43552</v>
      </c>
      <c r="C231" t="s">
        <v>42</v>
      </c>
      <c r="D231">
        <v>1</v>
      </c>
      <c r="E231" t="s">
        <v>69</v>
      </c>
      <c r="F231" t="s">
        <v>101</v>
      </c>
      <c r="G231">
        <v>20040723</v>
      </c>
      <c r="H231" t="s">
        <v>59</v>
      </c>
      <c r="I231">
        <v>2</v>
      </c>
      <c r="J231" t="s">
        <v>46</v>
      </c>
      <c r="L231">
        <v>4</v>
      </c>
      <c r="M231">
        <v>1735</v>
      </c>
      <c r="N231">
        <v>2110</v>
      </c>
      <c r="O231">
        <v>2110</v>
      </c>
      <c r="P231">
        <v>4776</v>
      </c>
      <c r="Q231">
        <v>1829</v>
      </c>
      <c r="R231">
        <v>1296</v>
      </c>
      <c r="S231">
        <v>1</v>
      </c>
      <c r="T231">
        <v>4196</v>
      </c>
      <c r="U231" t="s">
        <v>72</v>
      </c>
      <c r="V231">
        <v>8</v>
      </c>
      <c r="W231" t="b">
        <v>1</v>
      </c>
      <c r="X231" t="b">
        <v>0</v>
      </c>
      <c r="Y231" t="s">
        <v>42</v>
      </c>
      <c r="Z231" t="s">
        <v>48</v>
      </c>
      <c r="AA231" t="s">
        <v>378</v>
      </c>
      <c r="AB231">
        <v>2</v>
      </c>
      <c r="AD231" t="s">
        <v>379</v>
      </c>
      <c r="AE231">
        <v>5</v>
      </c>
      <c r="AF231" t="s">
        <v>104</v>
      </c>
      <c r="AG231">
        <v>1</v>
      </c>
      <c r="AH231">
        <v>853</v>
      </c>
      <c r="AI231">
        <v>304</v>
      </c>
      <c r="AJ231" t="s">
        <v>42</v>
      </c>
      <c r="AK231" t="s">
        <v>42</v>
      </c>
      <c r="AL231" t="s">
        <v>42</v>
      </c>
      <c r="AM231">
        <v>192284</v>
      </c>
      <c r="AN231" t="s">
        <v>427</v>
      </c>
      <c r="AO231">
        <v>3949608</v>
      </c>
    </row>
    <row r="232" spans="1:41" x14ac:dyDescent="0.25">
      <c r="A232" t="s">
        <v>41</v>
      </c>
      <c r="B232" s="1">
        <v>43602</v>
      </c>
      <c r="C232" t="s">
        <v>42</v>
      </c>
      <c r="D232">
        <v>1</v>
      </c>
      <c r="E232" t="s">
        <v>69</v>
      </c>
      <c r="F232" t="s">
        <v>70</v>
      </c>
      <c r="G232">
        <v>20021010</v>
      </c>
      <c r="H232" t="s">
        <v>84</v>
      </c>
      <c r="I232">
        <v>2</v>
      </c>
      <c r="J232" t="s">
        <v>71</v>
      </c>
      <c r="L232">
        <v>4</v>
      </c>
      <c r="M232">
        <v>1770</v>
      </c>
      <c r="N232">
        <v>2185</v>
      </c>
      <c r="O232">
        <v>2185</v>
      </c>
      <c r="P232">
        <v>4760</v>
      </c>
      <c r="Q232">
        <v>1830</v>
      </c>
      <c r="R232">
        <v>1310</v>
      </c>
      <c r="S232">
        <v>1</v>
      </c>
      <c r="T232">
        <v>4190</v>
      </c>
      <c r="U232" t="s">
        <v>72</v>
      </c>
      <c r="V232">
        <v>8</v>
      </c>
      <c r="W232" t="b">
        <v>1</v>
      </c>
      <c r="X232" t="b">
        <v>0</v>
      </c>
      <c r="Y232" t="s">
        <v>42</v>
      </c>
      <c r="Z232" t="s">
        <v>48</v>
      </c>
      <c r="AA232" t="s">
        <v>192</v>
      </c>
      <c r="AD232" t="s">
        <v>50</v>
      </c>
      <c r="AE232">
        <v>5</v>
      </c>
      <c r="AF232" t="s">
        <v>74</v>
      </c>
      <c r="AG232">
        <v>1</v>
      </c>
      <c r="AH232">
        <v>444</v>
      </c>
      <c r="AI232">
        <v>304</v>
      </c>
      <c r="AJ232" t="s">
        <v>42</v>
      </c>
      <c r="AK232" t="s">
        <v>42</v>
      </c>
      <c r="AL232" t="s">
        <v>42</v>
      </c>
      <c r="AM232">
        <v>62212</v>
      </c>
      <c r="AN232" t="s">
        <v>428</v>
      </c>
      <c r="AO232">
        <v>3969198</v>
      </c>
    </row>
    <row r="233" spans="1:41" x14ac:dyDescent="0.25">
      <c r="A233" t="s">
        <v>41</v>
      </c>
      <c r="B233" s="1">
        <v>43795</v>
      </c>
      <c r="C233" t="s">
        <v>42</v>
      </c>
      <c r="D233">
        <v>1</v>
      </c>
      <c r="E233" t="s">
        <v>42</v>
      </c>
      <c r="F233" t="s">
        <v>42</v>
      </c>
      <c r="G233">
        <v>20000000</v>
      </c>
      <c r="H233" t="s">
        <v>102</v>
      </c>
      <c r="I233">
        <v>2</v>
      </c>
      <c r="J233" t="s">
        <v>71</v>
      </c>
      <c r="L233">
        <v>4</v>
      </c>
      <c r="M233">
        <v>1780</v>
      </c>
      <c r="N233">
        <v>2100</v>
      </c>
      <c r="O233">
        <v>2100</v>
      </c>
      <c r="P233">
        <v>4760</v>
      </c>
      <c r="Q233">
        <v>1830</v>
      </c>
      <c r="R233">
        <v>1310</v>
      </c>
      <c r="S233">
        <v>1</v>
      </c>
      <c r="T233">
        <v>3990</v>
      </c>
      <c r="U233" t="s">
        <v>47</v>
      </c>
      <c r="V233">
        <v>8</v>
      </c>
      <c r="W233" t="b">
        <v>0</v>
      </c>
      <c r="X233" t="b">
        <v>0</v>
      </c>
      <c r="Y233" t="s">
        <v>42</v>
      </c>
      <c r="Z233" t="s">
        <v>48</v>
      </c>
      <c r="AA233" t="s">
        <v>272</v>
      </c>
      <c r="AB233">
        <v>2</v>
      </c>
      <c r="AD233" t="s">
        <v>50</v>
      </c>
      <c r="AE233">
        <v>5</v>
      </c>
      <c r="AF233" t="s">
        <v>42</v>
      </c>
      <c r="AG233">
        <v>1</v>
      </c>
      <c r="AH233">
        <v>49</v>
      </c>
      <c r="AI233">
        <v>292</v>
      </c>
      <c r="AJ233" t="s">
        <v>42</v>
      </c>
      <c r="AK233" t="s">
        <v>42</v>
      </c>
      <c r="AL233" t="s">
        <v>42</v>
      </c>
      <c r="AM233">
        <v>93565</v>
      </c>
      <c r="AN233" t="s">
        <v>429</v>
      </c>
      <c r="AO233">
        <v>4008992</v>
      </c>
    </row>
    <row r="234" spans="1:41" x14ac:dyDescent="0.25">
      <c r="A234" t="s">
        <v>41</v>
      </c>
      <c r="B234" s="1">
        <v>43844</v>
      </c>
      <c r="C234" t="s">
        <v>42</v>
      </c>
      <c r="D234">
        <v>1</v>
      </c>
      <c r="E234" t="s">
        <v>42</v>
      </c>
      <c r="F234" t="s">
        <v>42</v>
      </c>
      <c r="G234">
        <v>20131212</v>
      </c>
      <c r="H234" t="s">
        <v>102</v>
      </c>
      <c r="I234">
        <v>2</v>
      </c>
      <c r="J234" t="s">
        <v>46</v>
      </c>
      <c r="L234">
        <v>4</v>
      </c>
      <c r="M234">
        <v>1845</v>
      </c>
      <c r="N234">
        <v>2145</v>
      </c>
      <c r="O234">
        <v>2145</v>
      </c>
      <c r="P234">
        <v>4790</v>
      </c>
      <c r="Q234">
        <v>1890</v>
      </c>
      <c r="R234">
        <v>1320</v>
      </c>
      <c r="S234">
        <v>1</v>
      </c>
      <c r="T234">
        <v>5000</v>
      </c>
      <c r="U234" t="s">
        <v>297</v>
      </c>
      <c r="V234">
        <v>8</v>
      </c>
      <c r="W234" t="b">
        <v>1</v>
      </c>
      <c r="X234" t="b">
        <v>0</v>
      </c>
      <c r="Y234" t="s">
        <v>42</v>
      </c>
      <c r="Z234" t="s">
        <v>48</v>
      </c>
      <c r="AA234" t="s">
        <v>430</v>
      </c>
      <c r="AB234">
        <v>2</v>
      </c>
      <c r="AC234">
        <v>6</v>
      </c>
      <c r="AD234" t="s">
        <v>165</v>
      </c>
      <c r="AE234">
        <v>5</v>
      </c>
      <c r="AF234" t="s">
        <v>42</v>
      </c>
      <c r="AG234">
        <v>1</v>
      </c>
      <c r="AH234">
        <v>245</v>
      </c>
      <c r="AI234">
        <v>321</v>
      </c>
      <c r="AJ234" t="s">
        <v>42</v>
      </c>
      <c r="AK234" t="s">
        <v>42</v>
      </c>
      <c r="AL234" t="s">
        <v>42</v>
      </c>
      <c r="AM234">
        <v>59028</v>
      </c>
      <c r="AN234" t="s">
        <v>431</v>
      </c>
      <c r="AO234">
        <v>4078799</v>
      </c>
    </row>
    <row r="235" spans="1:41" x14ac:dyDescent="0.25">
      <c r="A235" t="s">
        <v>41</v>
      </c>
      <c r="B235" s="1">
        <v>43756</v>
      </c>
      <c r="C235" t="s">
        <v>42</v>
      </c>
      <c r="D235">
        <v>1</v>
      </c>
      <c r="E235" t="s">
        <v>53</v>
      </c>
      <c r="F235" t="s">
        <v>54</v>
      </c>
      <c r="G235">
        <v>20090409</v>
      </c>
      <c r="H235" t="s">
        <v>64</v>
      </c>
      <c r="I235">
        <v>2</v>
      </c>
      <c r="J235" t="s">
        <v>46</v>
      </c>
      <c r="L235">
        <v>4</v>
      </c>
      <c r="M235">
        <v>1720</v>
      </c>
      <c r="N235">
        <v>2035</v>
      </c>
      <c r="O235">
        <v>2035</v>
      </c>
      <c r="P235">
        <v>4791</v>
      </c>
      <c r="Q235">
        <v>1893</v>
      </c>
      <c r="R235">
        <v>1322</v>
      </c>
      <c r="S235">
        <v>1</v>
      </c>
      <c r="T235">
        <v>4196</v>
      </c>
      <c r="U235" t="s">
        <v>55</v>
      </c>
      <c r="V235">
        <v>8</v>
      </c>
      <c r="W235" t="b">
        <v>0</v>
      </c>
      <c r="X235" t="b">
        <v>0</v>
      </c>
      <c r="Y235" t="s">
        <v>42</v>
      </c>
      <c r="Z235" t="s">
        <v>48</v>
      </c>
      <c r="AA235" t="s">
        <v>400</v>
      </c>
      <c r="AB235">
        <v>2</v>
      </c>
      <c r="AC235">
        <v>6</v>
      </c>
      <c r="AD235" t="s">
        <v>183</v>
      </c>
      <c r="AE235">
        <v>5</v>
      </c>
      <c r="AF235" t="s">
        <v>190</v>
      </c>
      <c r="AG235">
        <v>1</v>
      </c>
      <c r="AH235">
        <v>91</v>
      </c>
      <c r="AI235">
        <v>269</v>
      </c>
      <c r="AJ235" t="s">
        <v>42</v>
      </c>
      <c r="AK235" t="s">
        <v>42</v>
      </c>
      <c r="AL235" t="s">
        <v>42</v>
      </c>
      <c r="AM235">
        <v>173211</v>
      </c>
      <c r="AN235" t="s">
        <v>412</v>
      </c>
      <c r="AO235">
        <v>4093654</v>
      </c>
    </row>
    <row r="236" spans="1:41" x14ac:dyDescent="0.25">
      <c r="A236" t="s">
        <v>41</v>
      </c>
      <c r="B236" s="1">
        <v>43903</v>
      </c>
      <c r="C236" t="s">
        <v>42</v>
      </c>
      <c r="D236">
        <v>1</v>
      </c>
      <c r="E236" t="s">
        <v>160</v>
      </c>
      <c r="F236" t="s">
        <v>108</v>
      </c>
      <c r="G236">
        <v>20080331</v>
      </c>
      <c r="H236" t="s">
        <v>45</v>
      </c>
      <c r="I236">
        <v>2</v>
      </c>
      <c r="J236" t="s">
        <v>71</v>
      </c>
      <c r="L236">
        <v>4</v>
      </c>
      <c r="M236">
        <v>1785</v>
      </c>
      <c r="N236">
        <v>2120</v>
      </c>
      <c r="O236">
        <v>2120</v>
      </c>
      <c r="P236">
        <v>4791</v>
      </c>
      <c r="Q236">
        <v>1912</v>
      </c>
      <c r="R236">
        <v>1329</v>
      </c>
      <c r="S236">
        <v>1</v>
      </c>
      <c r="T236">
        <v>4196</v>
      </c>
      <c r="U236" t="s">
        <v>156</v>
      </c>
      <c r="V236">
        <v>8</v>
      </c>
      <c r="W236" t="b">
        <v>1</v>
      </c>
      <c r="X236" t="b">
        <v>0</v>
      </c>
      <c r="Y236" t="s">
        <v>42</v>
      </c>
      <c r="Z236" t="s">
        <v>48</v>
      </c>
      <c r="AA236" t="s">
        <v>188</v>
      </c>
      <c r="AB236">
        <v>2</v>
      </c>
      <c r="AC236">
        <v>6</v>
      </c>
      <c r="AD236" t="s">
        <v>189</v>
      </c>
      <c r="AE236">
        <v>5</v>
      </c>
      <c r="AF236" t="s">
        <v>190</v>
      </c>
      <c r="AG236">
        <v>1</v>
      </c>
      <c r="AH236">
        <v>235</v>
      </c>
      <c r="AI236">
        <v>294</v>
      </c>
      <c r="AJ236" t="s">
        <v>42</v>
      </c>
      <c r="AK236" t="s">
        <v>42</v>
      </c>
      <c r="AL236" t="s">
        <v>42</v>
      </c>
      <c r="AM236">
        <v>98938</v>
      </c>
      <c r="AN236" t="s">
        <v>432</v>
      </c>
      <c r="AO236">
        <v>4108587</v>
      </c>
    </row>
    <row r="237" spans="1:41" x14ac:dyDescent="0.25">
      <c r="A237" t="s">
        <v>41</v>
      </c>
      <c r="B237" s="1">
        <v>43910</v>
      </c>
      <c r="C237" t="s">
        <v>42</v>
      </c>
      <c r="D237">
        <v>1</v>
      </c>
      <c r="E237" t="s">
        <v>42</v>
      </c>
      <c r="F237" t="s">
        <v>42</v>
      </c>
      <c r="G237">
        <v>20090000</v>
      </c>
      <c r="H237" t="s">
        <v>102</v>
      </c>
      <c r="I237">
        <v>2</v>
      </c>
      <c r="J237" t="s">
        <v>71</v>
      </c>
      <c r="L237">
        <v>4</v>
      </c>
      <c r="M237">
        <v>1813</v>
      </c>
      <c r="N237">
        <v>2120</v>
      </c>
      <c r="O237">
        <v>2120</v>
      </c>
      <c r="P237">
        <v>4790</v>
      </c>
      <c r="Q237">
        <v>1892</v>
      </c>
      <c r="R237">
        <v>1320</v>
      </c>
      <c r="S237">
        <v>1</v>
      </c>
      <c r="T237">
        <v>4196</v>
      </c>
      <c r="U237" t="s">
        <v>433</v>
      </c>
      <c r="V237">
        <v>8</v>
      </c>
      <c r="W237" t="b">
        <v>1</v>
      </c>
      <c r="X237" t="b">
        <v>0</v>
      </c>
      <c r="Y237" t="s">
        <v>42</v>
      </c>
      <c r="Z237" t="s">
        <v>48</v>
      </c>
      <c r="AA237" t="s">
        <v>324</v>
      </c>
      <c r="AB237">
        <v>2</v>
      </c>
      <c r="AC237">
        <v>6</v>
      </c>
      <c r="AD237" t="s">
        <v>165</v>
      </c>
      <c r="AE237">
        <v>5</v>
      </c>
      <c r="AF237" t="s">
        <v>42</v>
      </c>
      <c r="AG237">
        <v>1</v>
      </c>
      <c r="AH237">
        <v>91</v>
      </c>
      <c r="AJ237" t="s">
        <v>42</v>
      </c>
      <c r="AK237" t="s">
        <v>42</v>
      </c>
      <c r="AL237" t="s">
        <v>42</v>
      </c>
      <c r="AM237">
        <v>159367</v>
      </c>
      <c r="AN237" t="s">
        <v>434</v>
      </c>
      <c r="AO237">
        <v>4122647</v>
      </c>
    </row>
    <row r="238" spans="1:41" x14ac:dyDescent="0.25">
      <c r="A238" t="s">
        <v>41</v>
      </c>
      <c r="B238" s="1">
        <v>43914</v>
      </c>
      <c r="C238" t="s">
        <v>42</v>
      </c>
      <c r="D238">
        <v>1</v>
      </c>
      <c r="E238" t="s">
        <v>160</v>
      </c>
      <c r="F238" t="s">
        <v>108</v>
      </c>
      <c r="G238">
        <v>20071203</v>
      </c>
      <c r="H238" t="s">
        <v>92</v>
      </c>
      <c r="I238">
        <v>2</v>
      </c>
      <c r="J238" t="s">
        <v>71</v>
      </c>
      <c r="L238">
        <v>4</v>
      </c>
      <c r="M238">
        <v>1785</v>
      </c>
      <c r="N238">
        <v>2120</v>
      </c>
      <c r="O238">
        <v>2120</v>
      </c>
      <c r="P238">
        <v>4791</v>
      </c>
      <c r="Q238">
        <v>1912</v>
      </c>
      <c r="R238">
        <v>1329</v>
      </c>
      <c r="S238">
        <v>1</v>
      </c>
      <c r="T238">
        <v>4196</v>
      </c>
      <c r="U238" t="s">
        <v>156</v>
      </c>
      <c r="V238">
        <v>8</v>
      </c>
      <c r="W238" t="b">
        <v>1</v>
      </c>
      <c r="X238" t="b">
        <v>0</v>
      </c>
      <c r="Y238" t="s">
        <v>42</v>
      </c>
      <c r="Z238" t="s">
        <v>48</v>
      </c>
      <c r="AA238" t="s">
        <v>188</v>
      </c>
      <c r="AB238">
        <v>2</v>
      </c>
      <c r="AC238">
        <v>6</v>
      </c>
      <c r="AD238" t="s">
        <v>189</v>
      </c>
      <c r="AE238">
        <v>5</v>
      </c>
      <c r="AF238" t="s">
        <v>176</v>
      </c>
      <c r="AG238">
        <v>1</v>
      </c>
      <c r="AH238">
        <v>91</v>
      </c>
      <c r="AI238">
        <v>294</v>
      </c>
      <c r="AJ238" t="s">
        <v>42</v>
      </c>
      <c r="AK238" t="s">
        <v>42</v>
      </c>
      <c r="AL238" t="s">
        <v>42</v>
      </c>
      <c r="AM238">
        <v>41751</v>
      </c>
      <c r="AN238" t="s">
        <v>191</v>
      </c>
      <c r="AO238">
        <v>4125878</v>
      </c>
    </row>
    <row r="239" spans="1:41" x14ac:dyDescent="0.25">
      <c r="A239" t="s">
        <v>41</v>
      </c>
      <c r="B239" s="1">
        <v>43843</v>
      </c>
      <c r="C239" t="s">
        <v>42</v>
      </c>
      <c r="D239">
        <v>1</v>
      </c>
      <c r="E239" t="s">
        <v>107</v>
      </c>
      <c r="F239" t="s">
        <v>108</v>
      </c>
      <c r="G239">
        <v>20060622</v>
      </c>
      <c r="H239" t="s">
        <v>64</v>
      </c>
      <c r="I239">
        <v>2</v>
      </c>
      <c r="J239" t="s">
        <v>71</v>
      </c>
      <c r="L239">
        <v>4</v>
      </c>
      <c r="M239">
        <v>1735</v>
      </c>
      <c r="N239">
        <v>2075</v>
      </c>
      <c r="O239">
        <v>2075</v>
      </c>
      <c r="P239">
        <v>4791</v>
      </c>
      <c r="Q239">
        <v>1893</v>
      </c>
      <c r="R239">
        <v>1330</v>
      </c>
      <c r="S239">
        <v>1</v>
      </c>
      <c r="T239">
        <v>4190</v>
      </c>
      <c r="U239" t="s">
        <v>55</v>
      </c>
      <c r="V239">
        <v>8</v>
      </c>
      <c r="W239" t="b">
        <v>0</v>
      </c>
      <c r="X239" t="b">
        <v>0</v>
      </c>
      <c r="Y239" t="s">
        <v>42</v>
      </c>
      <c r="Z239" t="s">
        <v>48</v>
      </c>
      <c r="AA239" t="s">
        <v>236</v>
      </c>
      <c r="AB239">
        <v>2</v>
      </c>
      <c r="AD239" t="s">
        <v>50</v>
      </c>
      <c r="AE239">
        <v>5</v>
      </c>
      <c r="AF239" t="s">
        <v>106</v>
      </c>
      <c r="AG239">
        <v>1</v>
      </c>
      <c r="AH239">
        <v>837</v>
      </c>
      <c r="AI239">
        <v>269</v>
      </c>
      <c r="AJ239" t="s">
        <v>42</v>
      </c>
      <c r="AK239" t="s">
        <v>42</v>
      </c>
      <c r="AL239" t="s">
        <v>42</v>
      </c>
      <c r="AM239">
        <v>144333</v>
      </c>
      <c r="AN239" t="s">
        <v>435</v>
      </c>
      <c r="AO239">
        <v>4126118</v>
      </c>
    </row>
    <row r="240" spans="1:41" x14ac:dyDescent="0.25">
      <c r="A240" t="s">
        <v>41</v>
      </c>
      <c r="B240" s="1">
        <v>43980</v>
      </c>
      <c r="C240" t="s">
        <v>42</v>
      </c>
      <c r="D240">
        <v>1</v>
      </c>
      <c r="E240" t="s">
        <v>42</v>
      </c>
      <c r="F240" t="s">
        <v>42</v>
      </c>
      <c r="G240">
        <v>19970000</v>
      </c>
      <c r="H240" t="s">
        <v>173</v>
      </c>
      <c r="I240">
        <v>2</v>
      </c>
      <c r="J240" t="s">
        <v>71</v>
      </c>
      <c r="L240">
        <v>4</v>
      </c>
      <c r="M240">
        <v>1720</v>
      </c>
      <c r="N240">
        <v>2100</v>
      </c>
      <c r="O240">
        <v>2100</v>
      </c>
      <c r="P240">
        <v>4760</v>
      </c>
      <c r="Q240">
        <v>1830</v>
      </c>
      <c r="R240">
        <v>1305</v>
      </c>
      <c r="S240">
        <v>1</v>
      </c>
      <c r="T240">
        <v>3996</v>
      </c>
      <c r="U240" t="s">
        <v>233</v>
      </c>
      <c r="V240">
        <v>8</v>
      </c>
      <c r="W240" t="b">
        <v>0</v>
      </c>
      <c r="X240" t="b">
        <v>0</v>
      </c>
      <c r="Y240" t="s">
        <v>42</v>
      </c>
      <c r="Z240" t="s">
        <v>48</v>
      </c>
      <c r="AA240" t="s">
        <v>255</v>
      </c>
      <c r="AB240">
        <v>2</v>
      </c>
      <c r="AC240">
        <v>5</v>
      </c>
      <c r="AD240" t="s">
        <v>50</v>
      </c>
      <c r="AE240">
        <v>5</v>
      </c>
      <c r="AF240" t="s">
        <v>42</v>
      </c>
      <c r="AG240">
        <v>1</v>
      </c>
      <c r="AH240">
        <v>49</v>
      </c>
      <c r="AJ240" t="s">
        <v>42</v>
      </c>
      <c r="AK240" t="s">
        <v>42</v>
      </c>
      <c r="AL240" t="s">
        <v>42</v>
      </c>
      <c r="AM240">
        <v>38619</v>
      </c>
      <c r="AN240" t="s">
        <v>436</v>
      </c>
      <c r="AO240">
        <v>4172689</v>
      </c>
    </row>
    <row r="241" spans="1:41" x14ac:dyDescent="0.25">
      <c r="A241" t="s">
        <v>41</v>
      </c>
      <c r="B241" s="1">
        <v>44008</v>
      </c>
      <c r="C241" t="s">
        <v>42</v>
      </c>
      <c r="D241">
        <v>1</v>
      </c>
      <c r="E241" t="s">
        <v>155</v>
      </c>
      <c r="F241" t="s">
        <v>54</v>
      </c>
      <c r="G241">
        <v>20071128</v>
      </c>
      <c r="H241" t="s">
        <v>64</v>
      </c>
      <c r="I241">
        <v>2</v>
      </c>
      <c r="J241" t="s">
        <v>46</v>
      </c>
      <c r="L241">
        <v>4</v>
      </c>
      <c r="M241">
        <v>1770</v>
      </c>
      <c r="N241">
        <v>2080</v>
      </c>
      <c r="O241">
        <v>2080</v>
      </c>
      <c r="P241">
        <v>4790</v>
      </c>
      <c r="Q241">
        <v>1890</v>
      </c>
      <c r="R241">
        <v>1320</v>
      </c>
      <c r="S241">
        <v>1</v>
      </c>
      <c r="T241">
        <v>4190</v>
      </c>
      <c r="U241" t="s">
        <v>156</v>
      </c>
      <c r="V241">
        <v>8</v>
      </c>
      <c r="W241" t="b">
        <v>1</v>
      </c>
      <c r="X241" t="b">
        <v>0</v>
      </c>
      <c r="Y241" t="s">
        <v>42</v>
      </c>
      <c r="Z241" t="s">
        <v>48</v>
      </c>
      <c r="AA241" t="s">
        <v>437</v>
      </c>
      <c r="AD241" t="s">
        <v>175</v>
      </c>
      <c r="AE241">
        <v>5</v>
      </c>
      <c r="AF241" t="s">
        <v>176</v>
      </c>
      <c r="AG241">
        <v>1</v>
      </c>
      <c r="AH241">
        <v>257</v>
      </c>
      <c r="AI241">
        <v>294</v>
      </c>
      <c r="AJ241" t="s">
        <v>42</v>
      </c>
      <c r="AK241" t="s">
        <v>42</v>
      </c>
      <c r="AL241" t="s">
        <v>42</v>
      </c>
      <c r="AM241">
        <v>159430</v>
      </c>
      <c r="AN241" t="s">
        <v>376</v>
      </c>
      <c r="AO241">
        <v>4195214</v>
      </c>
    </row>
    <row r="242" spans="1:41" x14ac:dyDescent="0.25">
      <c r="A242" t="s">
        <v>41</v>
      </c>
      <c r="B242" s="1">
        <v>44074</v>
      </c>
      <c r="C242" t="s">
        <v>42</v>
      </c>
      <c r="D242">
        <v>1</v>
      </c>
      <c r="E242" t="s">
        <v>42</v>
      </c>
      <c r="F242" t="s">
        <v>42</v>
      </c>
      <c r="G242">
        <v>20070101</v>
      </c>
      <c r="H242" t="s">
        <v>45</v>
      </c>
      <c r="I242">
        <v>2</v>
      </c>
      <c r="J242" t="s">
        <v>71</v>
      </c>
      <c r="L242">
        <v>4</v>
      </c>
      <c r="M242">
        <v>1735</v>
      </c>
      <c r="N242">
        <v>2075</v>
      </c>
      <c r="O242">
        <v>2075</v>
      </c>
      <c r="P242">
        <v>4790</v>
      </c>
      <c r="Q242">
        <v>1890</v>
      </c>
      <c r="R242">
        <v>1330</v>
      </c>
      <c r="S242">
        <v>1</v>
      </c>
      <c r="T242">
        <v>4190</v>
      </c>
      <c r="U242" t="s">
        <v>55</v>
      </c>
      <c r="V242">
        <v>8</v>
      </c>
      <c r="W242" t="b">
        <v>0</v>
      </c>
      <c r="X242" t="b">
        <v>0</v>
      </c>
      <c r="Y242" t="s">
        <v>42</v>
      </c>
      <c r="Z242" t="s">
        <v>48</v>
      </c>
      <c r="AA242" t="s">
        <v>236</v>
      </c>
      <c r="AB242">
        <v>2</v>
      </c>
      <c r="AC242">
        <v>6</v>
      </c>
      <c r="AD242" t="s">
        <v>50</v>
      </c>
      <c r="AE242">
        <v>5</v>
      </c>
      <c r="AF242" t="s">
        <v>42</v>
      </c>
      <c r="AG242">
        <v>1</v>
      </c>
      <c r="AH242">
        <v>286</v>
      </c>
      <c r="AJ242" t="s">
        <v>42</v>
      </c>
      <c r="AK242" t="s">
        <v>42</v>
      </c>
      <c r="AL242" t="s">
        <v>42</v>
      </c>
      <c r="AM242">
        <v>163637</v>
      </c>
      <c r="AN242" t="s">
        <v>438</v>
      </c>
      <c r="AO242">
        <v>4236658</v>
      </c>
    </row>
    <row r="243" spans="1:41" x14ac:dyDescent="0.25">
      <c r="A243" t="s">
        <v>41</v>
      </c>
      <c r="B243" s="1">
        <v>44139</v>
      </c>
      <c r="C243" t="s">
        <v>42</v>
      </c>
      <c r="D243">
        <v>1</v>
      </c>
      <c r="E243" t="s">
        <v>42</v>
      </c>
      <c r="F243" t="s">
        <v>42</v>
      </c>
      <c r="G243">
        <v>20100101</v>
      </c>
      <c r="H243" t="s">
        <v>59</v>
      </c>
      <c r="I243">
        <v>2</v>
      </c>
      <c r="J243" t="s">
        <v>71</v>
      </c>
      <c r="K243">
        <v>4</v>
      </c>
      <c r="L243">
        <v>4</v>
      </c>
      <c r="M243">
        <v>1734</v>
      </c>
      <c r="N243">
        <v>2120</v>
      </c>
      <c r="O243">
        <v>2120</v>
      </c>
      <c r="P243">
        <v>4790</v>
      </c>
      <c r="Q243">
        <v>1890</v>
      </c>
      <c r="R243">
        <v>1320</v>
      </c>
      <c r="S243">
        <v>1</v>
      </c>
      <c r="U243" t="s">
        <v>250</v>
      </c>
      <c r="V243">
        <v>8</v>
      </c>
      <c r="W243" t="b">
        <v>1</v>
      </c>
      <c r="X243" t="b">
        <v>0</v>
      </c>
      <c r="Y243" t="s">
        <v>42</v>
      </c>
      <c r="Z243" t="s">
        <v>48</v>
      </c>
      <c r="AA243" t="s">
        <v>439</v>
      </c>
      <c r="AB243">
        <v>2</v>
      </c>
      <c r="AD243" t="s">
        <v>50</v>
      </c>
      <c r="AE243">
        <v>5</v>
      </c>
      <c r="AF243" t="s">
        <v>42</v>
      </c>
      <c r="AG243">
        <v>1</v>
      </c>
      <c r="AH243">
        <v>922</v>
      </c>
      <c r="AJ243" t="s">
        <v>42</v>
      </c>
      <c r="AK243" t="s">
        <v>42</v>
      </c>
      <c r="AL243" t="s">
        <v>42</v>
      </c>
      <c r="AM243">
        <v>127684</v>
      </c>
      <c r="AN243" t="s">
        <v>440</v>
      </c>
      <c r="AO243">
        <v>4244187</v>
      </c>
    </row>
    <row r="244" spans="1:41" x14ac:dyDescent="0.25">
      <c r="A244" t="s">
        <v>41</v>
      </c>
      <c r="B244" s="1">
        <v>44104</v>
      </c>
      <c r="C244" t="s">
        <v>42</v>
      </c>
      <c r="D244">
        <v>1</v>
      </c>
      <c r="E244" t="s">
        <v>79</v>
      </c>
      <c r="F244" t="s">
        <v>163</v>
      </c>
      <c r="G244">
        <v>20000316</v>
      </c>
      <c r="H244" t="s">
        <v>92</v>
      </c>
      <c r="I244">
        <v>2</v>
      </c>
      <c r="J244" t="s">
        <v>46</v>
      </c>
      <c r="L244">
        <v>4</v>
      </c>
      <c r="M244">
        <v>1740</v>
      </c>
      <c r="O244">
        <v>2010</v>
      </c>
      <c r="P244">
        <v>4800</v>
      </c>
      <c r="Q244">
        <v>1830</v>
      </c>
      <c r="S244">
        <v>1</v>
      </c>
      <c r="T244">
        <v>3990</v>
      </c>
      <c r="U244" t="s">
        <v>65</v>
      </c>
      <c r="V244">
        <v>8</v>
      </c>
      <c r="W244" t="b">
        <v>1</v>
      </c>
      <c r="X244" t="b">
        <v>0</v>
      </c>
      <c r="Y244" t="s">
        <v>42</v>
      </c>
      <c r="Z244" t="s">
        <v>48</v>
      </c>
      <c r="AA244" t="s">
        <v>441</v>
      </c>
      <c r="AB244">
        <v>2</v>
      </c>
      <c r="AD244" t="s">
        <v>379</v>
      </c>
      <c r="AE244">
        <v>5</v>
      </c>
      <c r="AF244" t="s">
        <v>82</v>
      </c>
      <c r="AG244">
        <v>1</v>
      </c>
      <c r="AH244">
        <v>837</v>
      </c>
      <c r="AJ244" t="s">
        <v>42</v>
      </c>
      <c r="AK244" t="s">
        <v>42</v>
      </c>
      <c r="AL244" t="s">
        <v>42</v>
      </c>
      <c r="AM244">
        <v>93442</v>
      </c>
      <c r="AN244" t="s">
        <v>135</v>
      </c>
      <c r="AO244">
        <v>4250103</v>
      </c>
    </row>
    <row r="245" spans="1:41" x14ac:dyDescent="0.25">
      <c r="A245" t="s">
        <v>41</v>
      </c>
      <c r="B245" s="1">
        <v>44096</v>
      </c>
      <c r="C245" t="s">
        <v>42</v>
      </c>
      <c r="D245">
        <v>1</v>
      </c>
      <c r="E245" t="s">
        <v>122</v>
      </c>
      <c r="F245" t="s">
        <v>141</v>
      </c>
      <c r="G245">
        <v>20031107</v>
      </c>
      <c r="H245" t="s">
        <v>84</v>
      </c>
      <c r="I245">
        <v>2</v>
      </c>
      <c r="J245" t="s">
        <v>46</v>
      </c>
      <c r="L245">
        <v>4</v>
      </c>
      <c r="M245">
        <v>1660</v>
      </c>
      <c r="N245">
        <v>2110</v>
      </c>
      <c r="O245">
        <v>2110</v>
      </c>
      <c r="P245">
        <v>4760</v>
      </c>
      <c r="Q245">
        <v>1830</v>
      </c>
      <c r="R245">
        <v>1300</v>
      </c>
      <c r="S245">
        <v>1</v>
      </c>
      <c r="T245">
        <v>4190</v>
      </c>
      <c r="U245" t="s">
        <v>273</v>
      </c>
      <c r="V245">
        <v>8</v>
      </c>
      <c r="W245" t="b">
        <v>0</v>
      </c>
      <c r="X245" t="b">
        <v>0</v>
      </c>
      <c r="Y245" t="s">
        <v>42</v>
      </c>
      <c r="Z245" t="s">
        <v>48</v>
      </c>
      <c r="AA245" t="s">
        <v>442</v>
      </c>
      <c r="AB245">
        <v>2</v>
      </c>
      <c r="AD245" t="s">
        <v>94</v>
      </c>
      <c r="AE245">
        <v>5</v>
      </c>
      <c r="AF245" t="s">
        <v>443</v>
      </c>
      <c r="AG245">
        <v>1</v>
      </c>
      <c r="AH245">
        <v>91</v>
      </c>
      <c r="AI245">
        <v>284</v>
      </c>
      <c r="AJ245" t="s">
        <v>42</v>
      </c>
      <c r="AK245" t="s">
        <v>42</v>
      </c>
      <c r="AL245" t="s">
        <v>42</v>
      </c>
      <c r="AM245">
        <v>152613</v>
      </c>
      <c r="AN245" t="s">
        <v>444</v>
      </c>
      <c r="AO245">
        <v>4251542</v>
      </c>
    </row>
    <row r="246" spans="1:41" x14ac:dyDescent="0.25">
      <c r="A246" t="s">
        <v>41</v>
      </c>
      <c r="B246" s="1">
        <v>44167</v>
      </c>
      <c r="C246" t="s">
        <v>42</v>
      </c>
      <c r="D246">
        <v>1</v>
      </c>
      <c r="E246" t="s">
        <v>42</v>
      </c>
      <c r="F246" t="s">
        <v>42</v>
      </c>
      <c r="G246">
        <v>20070000</v>
      </c>
      <c r="H246" t="s">
        <v>59</v>
      </c>
      <c r="I246">
        <v>2</v>
      </c>
      <c r="J246" t="s">
        <v>71</v>
      </c>
      <c r="K246">
        <v>4</v>
      </c>
      <c r="L246">
        <v>4</v>
      </c>
      <c r="M246">
        <v>1815</v>
      </c>
      <c r="N246">
        <v>2040</v>
      </c>
      <c r="O246">
        <v>2040</v>
      </c>
      <c r="P246">
        <v>4790</v>
      </c>
      <c r="Q246">
        <v>1890</v>
      </c>
      <c r="R246">
        <v>1330</v>
      </c>
      <c r="S246">
        <v>1</v>
      </c>
      <c r="T246">
        <v>4190</v>
      </c>
      <c r="U246" t="s">
        <v>55</v>
      </c>
      <c r="V246">
        <v>8</v>
      </c>
      <c r="W246" t="b">
        <v>0</v>
      </c>
      <c r="X246" t="b">
        <v>0</v>
      </c>
      <c r="Y246" t="s">
        <v>42</v>
      </c>
      <c r="Z246" t="s">
        <v>48</v>
      </c>
      <c r="AA246" t="s">
        <v>236</v>
      </c>
      <c r="AB246">
        <v>2</v>
      </c>
      <c r="AC246">
        <v>6</v>
      </c>
      <c r="AD246" t="s">
        <v>50</v>
      </c>
      <c r="AE246">
        <v>5</v>
      </c>
      <c r="AF246" t="s">
        <v>42</v>
      </c>
      <c r="AG246">
        <v>1</v>
      </c>
      <c r="AH246">
        <v>91</v>
      </c>
      <c r="AJ246" t="s">
        <v>42</v>
      </c>
      <c r="AK246" t="s">
        <v>42</v>
      </c>
      <c r="AL246" t="s">
        <v>42</v>
      </c>
      <c r="AM246">
        <v>84851</v>
      </c>
      <c r="AN246" t="s">
        <v>445</v>
      </c>
      <c r="AO246">
        <v>4280591</v>
      </c>
    </row>
    <row r="247" spans="1:41" x14ac:dyDescent="0.25">
      <c r="A247" t="s">
        <v>41</v>
      </c>
      <c r="B247" s="1">
        <v>44488</v>
      </c>
      <c r="C247" t="s">
        <v>42</v>
      </c>
      <c r="D247">
        <v>1</v>
      </c>
      <c r="E247" t="s">
        <v>42</v>
      </c>
      <c r="F247" t="s">
        <v>42</v>
      </c>
      <c r="G247">
        <v>20121122</v>
      </c>
      <c r="H247" t="s">
        <v>173</v>
      </c>
      <c r="I247">
        <v>2</v>
      </c>
      <c r="J247" t="s">
        <v>71</v>
      </c>
      <c r="L247">
        <v>4</v>
      </c>
      <c r="M247">
        <v>1802</v>
      </c>
      <c r="N247">
        <v>2120</v>
      </c>
      <c r="O247">
        <v>2120</v>
      </c>
      <c r="P247">
        <v>4790</v>
      </c>
      <c r="Q247">
        <v>1890</v>
      </c>
      <c r="R247">
        <v>1330</v>
      </c>
      <c r="S247">
        <v>1</v>
      </c>
      <c r="T247">
        <v>5000</v>
      </c>
      <c r="U247" t="s">
        <v>250</v>
      </c>
      <c r="V247">
        <v>8</v>
      </c>
      <c r="W247" t="b">
        <v>0</v>
      </c>
      <c r="X247" t="b">
        <v>0</v>
      </c>
      <c r="Y247" t="s">
        <v>42</v>
      </c>
      <c r="Z247" t="s">
        <v>48</v>
      </c>
      <c r="AA247" t="s">
        <v>446</v>
      </c>
      <c r="AB247">
        <v>2</v>
      </c>
      <c r="AD247" t="s">
        <v>50</v>
      </c>
      <c r="AE247">
        <v>5</v>
      </c>
      <c r="AF247" t="s">
        <v>42</v>
      </c>
      <c r="AG247">
        <v>1</v>
      </c>
      <c r="AH247">
        <v>49</v>
      </c>
      <c r="AI247">
        <v>286</v>
      </c>
      <c r="AJ247" t="s">
        <v>42</v>
      </c>
      <c r="AK247" t="s">
        <v>42</v>
      </c>
      <c r="AL247" t="s">
        <v>42</v>
      </c>
      <c r="AM247">
        <v>57891</v>
      </c>
      <c r="AN247" t="s">
        <v>447</v>
      </c>
      <c r="AO247">
        <v>4435768</v>
      </c>
    </row>
    <row r="248" spans="1:41" x14ac:dyDescent="0.25">
      <c r="A248" t="s">
        <v>41</v>
      </c>
      <c r="B248" s="1">
        <v>44614</v>
      </c>
      <c r="C248" t="s">
        <v>42</v>
      </c>
      <c r="D248">
        <v>1</v>
      </c>
      <c r="E248" t="s">
        <v>79</v>
      </c>
      <c r="F248" t="s">
        <v>42</v>
      </c>
      <c r="G248">
        <v>20000427</v>
      </c>
      <c r="H248" t="s">
        <v>64</v>
      </c>
      <c r="I248">
        <v>2</v>
      </c>
      <c r="J248" t="s">
        <v>46</v>
      </c>
      <c r="L248">
        <v>4</v>
      </c>
      <c r="M248">
        <v>1570</v>
      </c>
      <c r="N248">
        <v>2010</v>
      </c>
      <c r="O248">
        <v>2010</v>
      </c>
      <c r="P248">
        <v>4760</v>
      </c>
      <c r="Q248">
        <v>1829</v>
      </c>
      <c r="S248">
        <v>1</v>
      </c>
      <c r="T248">
        <v>3996</v>
      </c>
      <c r="U248" t="s">
        <v>448</v>
      </c>
      <c r="V248">
        <v>8</v>
      </c>
      <c r="W248" t="b">
        <v>1</v>
      </c>
      <c r="X248" t="b">
        <v>0</v>
      </c>
      <c r="Y248" t="s">
        <v>42</v>
      </c>
      <c r="Z248" t="s">
        <v>48</v>
      </c>
      <c r="AA248" t="s">
        <v>449</v>
      </c>
      <c r="AB248">
        <v>2</v>
      </c>
      <c r="AD248" t="s">
        <v>450</v>
      </c>
      <c r="AE248">
        <v>5</v>
      </c>
      <c r="AF248" t="s">
        <v>82</v>
      </c>
      <c r="AG248">
        <v>1</v>
      </c>
      <c r="AH248">
        <v>441</v>
      </c>
      <c r="AJ248" t="s">
        <v>42</v>
      </c>
      <c r="AK248" t="s">
        <v>42</v>
      </c>
      <c r="AL248" t="s">
        <v>42</v>
      </c>
      <c r="AM248">
        <v>95986</v>
      </c>
      <c r="AN248" t="s">
        <v>358</v>
      </c>
      <c r="AO248">
        <v>4509882</v>
      </c>
    </row>
    <row r="249" spans="1:41" x14ac:dyDescent="0.25">
      <c r="A249" t="s">
        <v>41</v>
      </c>
      <c r="B249" s="1">
        <v>44607</v>
      </c>
      <c r="C249" t="s">
        <v>42</v>
      </c>
      <c r="D249">
        <v>1</v>
      </c>
      <c r="E249" t="s">
        <v>107</v>
      </c>
      <c r="F249" t="s">
        <v>108</v>
      </c>
      <c r="G249">
        <v>20060619</v>
      </c>
      <c r="H249" t="s">
        <v>59</v>
      </c>
      <c r="I249">
        <v>2</v>
      </c>
      <c r="J249" t="s">
        <v>71</v>
      </c>
      <c r="L249">
        <v>4</v>
      </c>
      <c r="M249">
        <v>1735</v>
      </c>
      <c r="N249">
        <v>2075</v>
      </c>
      <c r="O249">
        <v>2075</v>
      </c>
      <c r="P249">
        <v>4790</v>
      </c>
      <c r="Q249">
        <v>1890</v>
      </c>
      <c r="R249">
        <v>1330</v>
      </c>
      <c r="S249">
        <v>1</v>
      </c>
      <c r="T249">
        <v>4190</v>
      </c>
      <c r="U249" t="s">
        <v>55</v>
      </c>
      <c r="V249">
        <v>8</v>
      </c>
      <c r="W249" t="b">
        <v>0</v>
      </c>
      <c r="X249" t="b">
        <v>0</v>
      </c>
      <c r="Y249" t="s">
        <v>42</v>
      </c>
      <c r="Z249" t="s">
        <v>48</v>
      </c>
      <c r="AA249" t="s">
        <v>236</v>
      </c>
      <c r="AB249">
        <v>2</v>
      </c>
      <c r="AD249" t="s">
        <v>50</v>
      </c>
      <c r="AE249">
        <v>5</v>
      </c>
      <c r="AF249" t="s">
        <v>106</v>
      </c>
      <c r="AG249">
        <v>1</v>
      </c>
      <c r="AH249">
        <v>49</v>
      </c>
      <c r="AI249">
        <v>269</v>
      </c>
      <c r="AJ249" t="s">
        <v>42</v>
      </c>
      <c r="AK249" t="s">
        <v>42</v>
      </c>
      <c r="AL249" t="s">
        <v>42</v>
      </c>
      <c r="AM249">
        <v>104698</v>
      </c>
      <c r="AN249" t="s">
        <v>451</v>
      </c>
      <c r="AO249">
        <v>4522055</v>
      </c>
    </row>
    <row r="250" spans="1:41" x14ac:dyDescent="0.25">
      <c r="A250" t="s">
        <v>41</v>
      </c>
      <c r="B250" s="1">
        <v>45393</v>
      </c>
      <c r="C250" t="s">
        <v>42</v>
      </c>
      <c r="D250">
        <v>1</v>
      </c>
      <c r="E250" t="s">
        <v>90</v>
      </c>
      <c r="F250" t="s">
        <v>204</v>
      </c>
      <c r="G250">
        <v>20030404</v>
      </c>
      <c r="H250" t="s">
        <v>102</v>
      </c>
      <c r="I250">
        <v>2</v>
      </c>
      <c r="J250" t="s">
        <v>71</v>
      </c>
      <c r="L250">
        <v>4</v>
      </c>
      <c r="M250">
        <v>1849</v>
      </c>
      <c r="N250">
        <v>2100</v>
      </c>
      <c r="O250">
        <v>2100</v>
      </c>
      <c r="P250">
        <v>4760</v>
      </c>
      <c r="Q250">
        <v>1830</v>
      </c>
      <c r="R250">
        <v>1310</v>
      </c>
      <c r="S250">
        <v>1</v>
      </c>
      <c r="T250">
        <v>3996</v>
      </c>
      <c r="U250" t="s">
        <v>47</v>
      </c>
      <c r="V250">
        <v>8</v>
      </c>
      <c r="W250" t="b">
        <v>0</v>
      </c>
      <c r="X250" t="b">
        <v>0</v>
      </c>
      <c r="Y250" t="s">
        <v>42</v>
      </c>
      <c r="Z250" t="s">
        <v>48</v>
      </c>
      <c r="AA250" t="s">
        <v>452</v>
      </c>
      <c r="AD250" t="s">
        <v>50</v>
      </c>
      <c r="AE250">
        <v>5</v>
      </c>
      <c r="AF250" t="s">
        <v>207</v>
      </c>
      <c r="AG250">
        <v>1</v>
      </c>
      <c r="AH250">
        <v>536</v>
      </c>
      <c r="AI250">
        <v>284</v>
      </c>
      <c r="AJ250" t="s">
        <v>42</v>
      </c>
      <c r="AK250" t="s">
        <v>42</v>
      </c>
      <c r="AL250" t="s">
        <v>42</v>
      </c>
      <c r="AM250">
        <v>187870</v>
      </c>
      <c r="AN250" t="s">
        <v>453</v>
      </c>
      <c r="AO250">
        <v>4535342</v>
      </c>
    </row>
    <row r="251" spans="1:41" x14ac:dyDescent="0.25">
      <c r="A251" t="s">
        <v>41</v>
      </c>
      <c r="B251" s="1">
        <v>44683</v>
      </c>
      <c r="C251" t="s">
        <v>42</v>
      </c>
      <c r="D251">
        <v>1</v>
      </c>
      <c r="E251" t="s">
        <v>42</v>
      </c>
      <c r="F251" t="s">
        <v>42</v>
      </c>
      <c r="G251">
        <v>20070317</v>
      </c>
      <c r="H251" t="s">
        <v>102</v>
      </c>
      <c r="I251">
        <v>2</v>
      </c>
      <c r="J251" t="s">
        <v>42</v>
      </c>
      <c r="L251">
        <v>4</v>
      </c>
      <c r="M251">
        <v>1800</v>
      </c>
      <c r="N251">
        <v>2121</v>
      </c>
      <c r="O251">
        <v>2121</v>
      </c>
      <c r="P251">
        <v>4790</v>
      </c>
      <c r="Q251">
        <v>1890</v>
      </c>
      <c r="R251">
        <v>1320</v>
      </c>
      <c r="S251">
        <v>1</v>
      </c>
      <c r="T251">
        <v>4196</v>
      </c>
      <c r="U251" t="s">
        <v>156</v>
      </c>
      <c r="V251">
        <v>8</v>
      </c>
      <c r="W251" t="b">
        <v>1</v>
      </c>
      <c r="X251" t="b">
        <v>0</v>
      </c>
      <c r="Y251" t="s">
        <v>42</v>
      </c>
      <c r="Z251" t="s">
        <v>48</v>
      </c>
      <c r="AA251" t="s">
        <v>425</v>
      </c>
      <c r="AB251">
        <v>2</v>
      </c>
      <c r="AD251" t="s">
        <v>165</v>
      </c>
      <c r="AE251">
        <v>5</v>
      </c>
      <c r="AF251" t="s">
        <v>42</v>
      </c>
      <c r="AG251">
        <v>1</v>
      </c>
      <c r="AH251">
        <v>91</v>
      </c>
      <c r="AI251">
        <v>293</v>
      </c>
      <c r="AJ251" t="s">
        <v>42</v>
      </c>
      <c r="AK251" t="s">
        <v>42</v>
      </c>
      <c r="AL251" t="s">
        <v>42</v>
      </c>
      <c r="AM251">
        <v>134841</v>
      </c>
      <c r="AN251" t="s">
        <v>454</v>
      </c>
      <c r="AO251">
        <v>4608297</v>
      </c>
    </row>
    <row r="252" spans="1:41" x14ac:dyDescent="0.25">
      <c r="A252" t="s">
        <v>41</v>
      </c>
      <c r="B252" s="1">
        <v>45041</v>
      </c>
      <c r="C252" t="s">
        <v>42</v>
      </c>
      <c r="D252">
        <v>1</v>
      </c>
      <c r="E252" t="s">
        <v>42</v>
      </c>
      <c r="F252" t="s">
        <v>42</v>
      </c>
      <c r="G252">
        <v>20110000</v>
      </c>
      <c r="H252" t="s">
        <v>64</v>
      </c>
      <c r="I252">
        <v>2</v>
      </c>
      <c r="J252" t="s">
        <v>71</v>
      </c>
      <c r="L252">
        <v>4</v>
      </c>
      <c r="M252">
        <v>1865</v>
      </c>
      <c r="N252">
        <v>2104</v>
      </c>
      <c r="O252">
        <v>2104</v>
      </c>
      <c r="P252">
        <v>4790</v>
      </c>
      <c r="Q252">
        <v>1890</v>
      </c>
      <c r="R252">
        <v>1330</v>
      </c>
      <c r="S252">
        <v>1</v>
      </c>
      <c r="T252">
        <v>5000</v>
      </c>
      <c r="U252" t="s">
        <v>250</v>
      </c>
      <c r="V252">
        <v>8</v>
      </c>
      <c r="W252" t="b">
        <v>0</v>
      </c>
      <c r="X252" t="b">
        <v>0</v>
      </c>
      <c r="Y252" t="s">
        <v>42</v>
      </c>
      <c r="Z252" t="s">
        <v>48</v>
      </c>
      <c r="AA252" t="s">
        <v>446</v>
      </c>
      <c r="AB252">
        <v>2</v>
      </c>
      <c r="AD252" t="s">
        <v>50</v>
      </c>
      <c r="AE252">
        <v>5</v>
      </c>
      <c r="AF252" t="s">
        <v>42</v>
      </c>
      <c r="AG252">
        <v>1</v>
      </c>
      <c r="AH252">
        <v>853</v>
      </c>
      <c r="AJ252" t="s">
        <v>42</v>
      </c>
      <c r="AK252" t="s">
        <v>42</v>
      </c>
      <c r="AL252" t="s">
        <v>42</v>
      </c>
      <c r="AM252">
        <v>156802</v>
      </c>
      <c r="AN252" t="s">
        <v>455</v>
      </c>
      <c r="AO252">
        <v>4787436</v>
      </c>
    </row>
    <row r="253" spans="1:41" x14ac:dyDescent="0.25">
      <c r="A253" t="s">
        <v>41</v>
      </c>
      <c r="B253" s="1">
        <v>45495</v>
      </c>
      <c r="C253" t="s">
        <v>42</v>
      </c>
      <c r="D253">
        <v>1</v>
      </c>
      <c r="E253" t="s">
        <v>42</v>
      </c>
      <c r="F253" t="s">
        <v>42</v>
      </c>
      <c r="G253">
        <v>20080000</v>
      </c>
      <c r="H253" t="s">
        <v>173</v>
      </c>
      <c r="I253">
        <v>2</v>
      </c>
      <c r="J253" t="s">
        <v>71</v>
      </c>
      <c r="K253">
        <v>4</v>
      </c>
      <c r="L253">
        <v>2</v>
      </c>
      <c r="M253">
        <v>1735</v>
      </c>
      <c r="N253">
        <v>2072</v>
      </c>
      <c r="O253">
        <v>2072</v>
      </c>
      <c r="P253">
        <v>4790</v>
      </c>
      <c r="Q253">
        <v>1890</v>
      </c>
      <c r="R253">
        <v>1330</v>
      </c>
      <c r="S253">
        <v>1</v>
      </c>
      <c r="T253">
        <v>4190</v>
      </c>
      <c r="U253" t="s">
        <v>55</v>
      </c>
      <c r="V253">
        <v>8</v>
      </c>
      <c r="W253" t="b">
        <v>0</v>
      </c>
      <c r="X253" t="b">
        <v>0</v>
      </c>
      <c r="Y253" t="s">
        <v>42</v>
      </c>
      <c r="Z253" t="s">
        <v>48</v>
      </c>
      <c r="AA253" t="s">
        <v>236</v>
      </c>
      <c r="AB253">
        <v>2</v>
      </c>
      <c r="AD253" t="s">
        <v>50</v>
      </c>
      <c r="AE253">
        <v>5</v>
      </c>
      <c r="AF253" t="s">
        <v>42</v>
      </c>
      <c r="AG253">
        <v>1</v>
      </c>
      <c r="AH253">
        <v>604</v>
      </c>
      <c r="AI253">
        <v>258</v>
      </c>
      <c r="AJ253" t="s">
        <v>42</v>
      </c>
      <c r="AK253" t="s">
        <v>42</v>
      </c>
      <c r="AL253" t="s">
        <v>42</v>
      </c>
      <c r="AM253">
        <v>151562</v>
      </c>
      <c r="AN253" t="s">
        <v>456</v>
      </c>
      <c r="AO253">
        <v>4965347</v>
      </c>
    </row>
    <row r="254" spans="1:41" x14ac:dyDescent="0.25">
      <c r="A254" t="s">
        <v>41</v>
      </c>
      <c r="B254" s="1">
        <v>45845</v>
      </c>
      <c r="C254" t="s">
        <v>42</v>
      </c>
      <c r="D254">
        <v>1</v>
      </c>
      <c r="E254" t="s">
        <v>42</v>
      </c>
      <c r="F254" t="s">
        <v>42</v>
      </c>
      <c r="G254">
        <v>20070000</v>
      </c>
      <c r="H254" t="s">
        <v>45</v>
      </c>
      <c r="I254">
        <v>2</v>
      </c>
      <c r="J254" t="s">
        <v>46</v>
      </c>
      <c r="L254">
        <v>4</v>
      </c>
      <c r="M254">
        <v>1595</v>
      </c>
      <c r="N254">
        <v>2081</v>
      </c>
      <c r="O254">
        <v>2081</v>
      </c>
      <c r="P254">
        <v>4790</v>
      </c>
      <c r="Q254">
        <v>1892</v>
      </c>
      <c r="R254">
        <v>1320</v>
      </c>
      <c r="S254">
        <v>1</v>
      </c>
      <c r="T254">
        <v>4200</v>
      </c>
      <c r="U254" t="s">
        <v>156</v>
      </c>
      <c r="V254">
        <v>8</v>
      </c>
      <c r="W254" t="b">
        <v>1</v>
      </c>
      <c r="X254" t="b">
        <v>0</v>
      </c>
      <c r="Y254" t="s">
        <v>42</v>
      </c>
      <c r="Z254" t="s">
        <v>48</v>
      </c>
      <c r="AA254" t="s">
        <v>457</v>
      </c>
      <c r="AB254">
        <v>2</v>
      </c>
      <c r="AD254" t="s">
        <v>50</v>
      </c>
      <c r="AE254">
        <v>5</v>
      </c>
      <c r="AF254" t="s">
        <v>42</v>
      </c>
      <c r="AG254">
        <v>1</v>
      </c>
      <c r="AH254">
        <v>245</v>
      </c>
      <c r="AJ254" t="s">
        <v>42</v>
      </c>
      <c r="AK254" t="s">
        <v>42</v>
      </c>
      <c r="AL254" t="s">
        <v>42</v>
      </c>
      <c r="AM254">
        <v>111853</v>
      </c>
      <c r="AN254" t="s">
        <v>458</v>
      </c>
      <c r="AO254">
        <v>5043868</v>
      </c>
    </row>
    <row r="255" spans="1:41" x14ac:dyDescent="0.25">
      <c r="A255" t="s">
        <v>41</v>
      </c>
      <c r="B255" s="1">
        <v>45646</v>
      </c>
      <c r="C255" t="s">
        <v>42</v>
      </c>
      <c r="D255">
        <v>1</v>
      </c>
      <c r="E255" t="s">
        <v>107</v>
      </c>
      <c r="F255" t="s">
        <v>108</v>
      </c>
      <c r="G255">
        <v>20060615</v>
      </c>
      <c r="H255" t="s">
        <v>59</v>
      </c>
      <c r="I255">
        <v>2</v>
      </c>
      <c r="J255" t="s">
        <v>71</v>
      </c>
      <c r="L255">
        <v>4</v>
      </c>
      <c r="M255">
        <v>1735</v>
      </c>
      <c r="N255">
        <v>2075</v>
      </c>
      <c r="O255">
        <v>2075</v>
      </c>
      <c r="P255">
        <v>4790</v>
      </c>
      <c r="Q255">
        <v>1890</v>
      </c>
      <c r="R255">
        <v>1330</v>
      </c>
      <c r="S255">
        <v>1</v>
      </c>
      <c r="T255">
        <v>4190</v>
      </c>
      <c r="U255" t="s">
        <v>55</v>
      </c>
      <c r="V255">
        <v>8</v>
      </c>
      <c r="W255" t="b">
        <v>0</v>
      </c>
      <c r="X255" t="b">
        <v>0</v>
      </c>
      <c r="Y255" t="s">
        <v>42</v>
      </c>
      <c r="Z255" t="s">
        <v>48</v>
      </c>
      <c r="AA255" t="s">
        <v>236</v>
      </c>
      <c r="AB255">
        <v>2</v>
      </c>
      <c r="AD255" t="s">
        <v>50</v>
      </c>
      <c r="AE255">
        <v>5</v>
      </c>
      <c r="AF255" t="s">
        <v>106</v>
      </c>
      <c r="AG255">
        <v>1</v>
      </c>
      <c r="AH255">
        <v>200</v>
      </c>
      <c r="AI255">
        <v>269</v>
      </c>
      <c r="AJ255" t="s">
        <v>42</v>
      </c>
      <c r="AK255" t="s">
        <v>42</v>
      </c>
      <c r="AL255" t="s">
        <v>42</v>
      </c>
      <c r="AM255">
        <v>111844</v>
      </c>
      <c r="AN255" t="s">
        <v>459</v>
      </c>
      <c r="AO255">
        <v>5062875</v>
      </c>
    </row>
    <row r="256" spans="1:41" x14ac:dyDescent="0.25">
      <c r="A256" t="s">
        <v>41</v>
      </c>
      <c r="B256" s="1">
        <v>45897</v>
      </c>
      <c r="C256" t="s">
        <v>42</v>
      </c>
      <c r="D256">
        <v>1</v>
      </c>
      <c r="E256" t="s">
        <v>42</v>
      </c>
      <c r="F256" t="s">
        <v>42</v>
      </c>
      <c r="G256">
        <v>20070000</v>
      </c>
      <c r="H256" t="s">
        <v>64</v>
      </c>
      <c r="I256">
        <v>2</v>
      </c>
      <c r="J256" t="s">
        <v>71</v>
      </c>
      <c r="L256">
        <v>4</v>
      </c>
      <c r="M256">
        <v>1735</v>
      </c>
      <c r="N256">
        <v>2075</v>
      </c>
      <c r="O256">
        <v>2075</v>
      </c>
      <c r="P256">
        <v>4790</v>
      </c>
      <c r="Q256">
        <v>1890</v>
      </c>
      <c r="R256">
        <v>1330</v>
      </c>
      <c r="S256">
        <v>1</v>
      </c>
      <c r="T256">
        <v>4190</v>
      </c>
      <c r="U256" t="s">
        <v>55</v>
      </c>
      <c r="V256">
        <v>8</v>
      </c>
      <c r="W256" t="b">
        <v>0</v>
      </c>
      <c r="X256" t="b">
        <v>0</v>
      </c>
      <c r="Y256" t="s">
        <v>42</v>
      </c>
      <c r="Z256" t="s">
        <v>48</v>
      </c>
      <c r="AA256" t="s">
        <v>236</v>
      </c>
      <c r="AB256">
        <v>2</v>
      </c>
      <c r="AC256">
        <v>6</v>
      </c>
      <c r="AD256" t="s">
        <v>50</v>
      </c>
      <c r="AE256">
        <v>5</v>
      </c>
      <c r="AF256" t="s">
        <v>42</v>
      </c>
      <c r="AG256">
        <v>1</v>
      </c>
      <c r="AH256">
        <v>604</v>
      </c>
      <c r="AJ256" t="s">
        <v>42</v>
      </c>
      <c r="AK256" t="s">
        <v>42</v>
      </c>
      <c r="AL256" t="s">
        <v>42</v>
      </c>
      <c r="AM256">
        <v>173879</v>
      </c>
      <c r="AN256" t="s">
        <v>460</v>
      </c>
      <c r="AO256">
        <v>5162537</v>
      </c>
    </row>
    <row r="257" spans="1:41" x14ac:dyDescent="0.25">
      <c r="A257" t="s">
        <v>41</v>
      </c>
      <c r="B257" s="1">
        <v>45875</v>
      </c>
      <c r="C257" t="s">
        <v>42</v>
      </c>
      <c r="D257">
        <v>1</v>
      </c>
      <c r="E257" t="s">
        <v>53</v>
      </c>
      <c r="F257" t="s">
        <v>54</v>
      </c>
      <c r="G257">
        <v>20070516</v>
      </c>
      <c r="H257" t="s">
        <v>59</v>
      </c>
      <c r="I257">
        <v>2</v>
      </c>
      <c r="J257" t="s">
        <v>46</v>
      </c>
      <c r="K257">
        <v>1</v>
      </c>
      <c r="L257">
        <v>4</v>
      </c>
      <c r="M257">
        <v>1720</v>
      </c>
      <c r="N257">
        <v>2035</v>
      </c>
      <c r="O257">
        <v>2035</v>
      </c>
      <c r="P257">
        <v>4791</v>
      </c>
      <c r="Q257">
        <v>1893</v>
      </c>
      <c r="R257">
        <v>1322</v>
      </c>
      <c r="S257">
        <v>1</v>
      </c>
      <c r="T257">
        <v>4196</v>
      </c>
      <c r="U257" t="s">
        <v>273</v>
      </c>
      <c r="V257">
        <v>8</v>
      </c>
      <c r="W257" t="b">
        <v>0</v>
      </c>
      <c r="X257" t="b">
        <v>0</v>
      </c>
      <c r="Y257" t="s">
        <v>42</v>
      </c>
      <c r="Z257" t="s">
        <v>48</v>
      </c>
      <c r="AA257" t="s">
        <v>194</v>
      </c>
      <c r="AB257">
        <v>2</v>
      </c>
      <c r="AC257">
        <v>6</v>
      </c>
      <c r="AD257" t="s">
        <v>50</v>
      </c>
      <c r="AE257">
        <v>5</v>
      </c>
      <c r="AF257" t="s">
        <v>57</v>
      </c>
      <c r="AG257">
        <v>1</v>
      </c>
      <c r="AH257">
        <v>91</v>
      </c>
      <c r="AI257">
        <v>269</v>
      </c>
      <c r="AJ257" t="s">
        <v>42</v>
      </c>
      <c r="AK257" t="s">
        <v>42</v>
      </c>
      <c r="AL257" t="s">
        <v>42</v>
      </c>
      <c r="AM257">
        <v>116920</v>
      </c>
      <c r="AN257" t="s">
        <v>372</v>
      </c>
      <c r="AO257">
        <v>5164401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DF7D81-536B-4268-B2F0-C14BA73E5E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Trafi parsed</vt:lpstr>
      <vt:lpstr>Pivot</vt:lpstr>
      <vt:lpstr>Helper Cols</vt:lpstr>
      <vt:lpstr>Ajoneuvorekisteri-Parse Modern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Lind</dc:creator>
  <cp:lastModifiedBy>Tomi Lind</cp:lastModifiedBy>
  <dcterms:created xsi:type="dcterms:W3CDTF">2026-08-29T22:03:11Z</dcterms:created>
  <dcterms:modified xsi:type="dcterms:W3CDTF">2026-09-09T16:29:11Z</dcterms:modified>
</cp:coreProperties>
</file>