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lindfi-my.sharepoint.com/personal/tomi_lind_fi/Documents/_jagports/2.Myynti/Parts/"/>
    </mc:Choice>
  </mc:AlternateContent>
  <xr:revisionPtr revIDLastSave="50" documentId="13_ncr:1_{048AAE93-D37E-472C-A20A-A17B63E97385}" xr6:coauthVersionLast="47" xr6:coauthVersionMax="47" xr10:uidLastSave="{4183D265-18D0-4B67-81C7-B00E9EC1C48E}"/>
  <bookViews>
    <workbookView xWindow="-120" yWindow="-120" windowWidth="29040" windowHeight="15840" xr2:uid="{00000000-000D-0000-FFFF-FFFF00000000}"/>
  </bookViews>
  <sheets>
    <sheet name="Stock" sheetId="1" r:id="rId1"/>
    <sheet name="StockUnits" sheetId="2" r:id="rId2"/>
  </sheets>
  <externalReferences>
    <externalReference r:id="rId3"/>
  </externalReferences>
  <definedNames>
    <definedName name="BoxDropDown">Boxes[[#All],[Boxes]]</definedName>
    <definedName name="BoxSub1esDD">BoxSub1es[[#All],[BoxSub1es]]</definedName>
    <definedName name="BoxSub2esDD">BoxSub2es[[#All],[BoxSub2es]]</definedName>
    <definedName name="ShelfsDropDown">Shelfs[[#All],[Shelfs]]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1" i="1" l="1"/>
  <c r="G51" i="1"/>
  <c r="H51" i="1"/>
  <c r="J51" i="1"/>
  <c r="F50" i="1"/>
  <c r="G50" i="1"/>
  <c r="H50" i="1"/>
  <c r="J50" i="1"/>
  <c r="F49" i="1"/>
  <c r="G49" i="1"/>
  <c r="H49" i="1"/>
  <c r="J49" i="1"/>
  <c r="F48" i="1"/>
  <c r="G48" i="1"/>
  <c r="H48" i="1"/>
  <c r="J48" i="1"/>
  <c r="F21" i="1"/>
  <c r="G21" i="1"/>
  <c r="H21" i="1"/>
  <c r="J21" i="1"/>
  <c r="F27" i="1"/>
  <c r="G27" i="1"/>
  <c r="H27" i="1"/>
  <c r="J27" i="1"/>
  <c r="F22" i="1"/>
  <c r="G22" i="1"/>
  <c r="H22" i="1"/>
  <c r="J22" i="1"/>
  <c r="F32" i="1"/>
  <c r="G32" i="1" l="1"/>
  <c r="H32" i="1"/>
  <c r="J32" i="1"/>
  <c r="F6" i="1" l="1"/>
  <c r="G6" i="1"/>
  <c r="H6" i="1"/>
  <c r="J6" i="1"/>
  <c r="F42" i="1"/>
  <c r="G42" i="1"/>
  <c r="H42" i="1"/>
  <c r="J42" i="1"/>
  <c r="F39" i="1"/>
  <c r="G39" i="1"/>
  <c r="H39" i="1"/>
  <c r="J39" i="1"/>
  <c r="F40" i="1"/>
  <c r="H40" i="1"/>
  <c r="J40" i="1"/>
  <c r="F38" i="1"/>
  <c r="G38" i="1"/>
  <c r="H38" i="1"/>
  <c r="J38" i="1"/>
  <c r="F15" i="1"/>
  <c r="G15" i="1"/>
  <c r="H15" i="1"/>
  <c r="J15" i="1"/>
  <c r="F10" i="1"/>
  <c r="G10" i="1"/>
  <c r="H10" i="1"/>
  <c r="J10" i="1"/>
  <c r="F9" i="1"/>
  <c r="G9" i="1"/>
  <c r="H9" i="1"/>
  <c r="J9" i="1"/>
  <c r="F29" i="1"/>
  <c r="G29" i="1"/>
  <c r="H29" i="1"/>
  <c r="J29" i="1"/>
  <c r="F26" i="1"/>
  <c r="G26" i="1"/>
  <c r="H26" i="1"/>
  <c r="J26" i="1"/>
  <c r="J37" i="1"/>
  <c r="F37" i="1"/>
  <c r="G37" i="1"/>
  <c r="H37" i="1"/>
  <c r="F25" i="1"/>
  <c r="G25" i="1"/>
  <c r="H25" i="1"/>
  <c r="J25" i="1"/>
  <c r="F3" i="1"/>
  <c r="F4" i="1" l="1"/>
  <c r="F5" i="1"/>
  <c r="F7" i="1"/>
  <c r="F8" i="1"/>
  <c r="F11" i="1"/>
  <c r="F12" i="1"/>
  <c r="F13" i="1"/>
  <c r="F14" i="1"/>
  <c r="F16" i="1"/>
  <c r="F17" i="1"/>
  <c r="F20" i="1"/>
  <c r="F23" i="1"/>
  <c r="F24" i="1"/>
  <c r="F19" i="1"/>
  <c r="F18" i="1"/>
  <c r="F28" i="1"/>
  <c r="F30" i="1"/>
  <c r="F31" i="1"/>
  <c r="F33" i="1"/>
  <c r="F34" i="1"/>
  <c r="F35" i="1"/>
  <c r="F36" i="1"/>
  <c r="F41" i="1"/>
  <c r="F43" i="1"/>
  <c r="F44" i="1"/>
  <c r="F45" i="1"/>
  <c r="F46" i="1"/>
  <c r="F47" i="1"/>
  <c r="G8" i="1" l="1"/>
  <c r="H8" i="1"/>
  <c r="J8" i="1"/>
  <c r="G45" i="1" l="1"/>
  <c r="H45" i="1"/>
  <c r="J45" i="1"/>
  <c r="G24" i="1"/>
  <c r="H24" i="1"/>
  <c r="J24" i="1"/>
  <c r="G43" i="1"/>
  <c r="H43" i="1"/>
  <c r="J43" i="1"/>
  <c r="G7" i="1"/>
  <c r="H7" i="1"/>
  <c r="J7" i="1"/>
  <c r="G3" i="1"/>
  <c r="H3" i="1"/>
  <c r="J3" i="1"/>
  <c r="G5" i="1"/>
  <c r="H5" i="1"/>
  <c r="J5" i="1"/>
  <c r="G4" i="1"/>
  <c r="H4" i="1"/>
  <c r="J4" i="1"/>
  <c r="G11" i="1"/>
  <c r="H11" i="1"/>
  <c r="J11" i="1"/>
  <c r="J34" i="1"/>
  <c r="J13" i="1"/>
  <c r="J31" i="1"/>
  <c r="J20" i="1"/>
  <c r="J14" i="1"/>
  <c r="J35" i="1"/>
  <c r="J41" i="1"/>
  <c r="J46" i="1"/>
  <c r="J47" i="1"/>
  <c r="J16" i="1"/>
  <c r="J12" i="1"/>
  <c r="J33" i="1"/>
  <c r="J17" i="1"/>
  <c r="J18" i="1"/>
  <c r="J30" i="1"/>
  <c r="J28" i="1"/>
  <c r="J19" i="1"/>
  <c r="J36" i="1"/>
  <c r="J23" i="1"/>
  <c r="J44" i="1"/>
  <c r="H34" i="1"/>
  <c r="H13" i="1"/>
  <c r="H31" i="1"/>
  <c r="H20" i="1"/>
  <c r="H14" i="1"/>
  <c r="H35" i="1"/>
  <c r="H41" i="1"/>
  <c r="H46" i="1"/>
  <c r="H47" i="1"/>
  <c r="H16" i="1"/>
  <c r="H12" i="1"/>
  <c r="H33" i="1"/>
  <c r="H17" i="1"/>
  <c r="H18" i="1"/>
  <c r="H30" i="1"/>
  <c r="H28" i="1"/>
  <c r="H19" i="1"/>
  <c r="H36" i="1"/>
  <c r="H23" i="1"/>
  <c r="H44" i="1"/>
  <c r="G44" i="1"/>
  <c r="G47" i="1"/>
  <c r="G46" i="1"/>
  <c r="G20" i="1"/>
  <c r="G41" i="1"/>
  <c r="G35" i="1"/>
  <c r="G23" i="1"/>
  <c r="G36" i="1"/>
  <c r="G28" i="1"/>
  <c r="G30" i="1"/>
  <c r="G18" i="1"/>
  <c r="G19" i="1"/>
  <c r="G17" i="1"/>
  <c r="G12" i="1"/>
  <c r="G33" i="1" l="1"/>
  <c r="G14" i="1"/>
  <c r="G34" i="1"/>
  <c r="G16" i="1"/>
  <c r="G31" i="1"/>
  <c r="G13" i="1" l="1"/>
  <c r="G40" i="1" l="1"/>
</calcChain>
</file>

<file path=xl/sharedStrings.xml><?xml version="1.0" encoding="utf-8"?>
<sst xmlns="http://schemas.openxmlformats.org/spreadsheetml/2006/main" count="304" uniqueCount="153">
  <si>
    <t>PN</t>
  </si>
  <si>
    <t>Shelf</t>
  </si>
  <si>
    <t>Box</t>
  </si>
  <si>
    <t>BoxSub1</t>
  </si>
  <si>
    <t>Part-jag</t>
  </si>
  <si>
    <t>BoxSub2</t>
  </si>
  <si>
    <t>Jagmodel(s)</t>
  </si>
  <si>
    <t>Boxes</t>
  </si>
  <si>
    <t>BoxSub1es</t>
  </si>
  <si>
    <t>BoxSub2es</t>
  </si>
  <si>
    <t>R2A</t>
  </si>
  <si>
    <t>B01</t>
  </si>
  <si>
    <t>R1</t>
  </si>
  <si>
    <t>R2</t>
  </si>
  <si>
    <t>R3</t>
  </si>
  <si>
    <t>R4</t>
  </si>
  <si>
    <t>R5</t>
  </si>
  <si>
    <t>Riv1</t>
  </si>
  <si>
    <t>1/2</t>
  </si>
  <si>
    <t>2/2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</si>
  <si>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</si>
  <si>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</si>
  <si>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</si>
  <si>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</si>
  <si>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</si>
  <si>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</si>
  <si>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</si>
  <si>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</si>
  <si>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</si>
  <si>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</si>
  <si>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</si>
  <si>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</si>
  <si>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</si>
  <si>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</si>
  <si>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</si>
  <si>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</si>
  <si>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</si>
  <si>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</si>
  <si>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</si>
  <si>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</si>
  <si>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</si>
  <si>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</si>
  <si>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</si>
  <si>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</si>
  <si>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</si>
  <si>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R1A</t>
  </si>
  <si>
    <t>R1B</t>
  </si>
  <si>
    <t>R1C</t>
  </si>
  <si>
    <t>R1D</t>
  </si>
  <si>
    <t>R2B</t>
  </si>
  <si>
    <t>R2C</t>
  </si>
  <si>
    <t>R1E</t>
  </si>
  <si>
    <t>R1F</t>
  </si>
  <si>
    <t>B27</t>
  </si>
  <si>
    <t>Shelfs</t>
  </si>
  <si>
    <t>Formulas-&gt; Names - &gt; tables[#ALL]-&gt;xxxDD = Range to DataValidation "List" / Range</t>
  </si>
  <si>
    <t>Part-Short</t>
  </si>
  <si>
    <t>_N/A</t>
  </si>
  <si>
    <t>LNE1560AE</t>
  </si>
  <si>
    <t>ThrottleBody-Kroppa</t>
  </si>
  <si>
    <t>eBay</t>
  </si>
  <si>
    <t>HJA7783BC</t>
  </si>
  <si>
    <t>HJA7779BC</t>
  </si>
  <si>
    <t>HJA5363BA</t>
  </si>
  <si>
    <t>HJA5362BA</t>
  </si>
  <si>
    <t>LJA4900BD-Panel</t>
  </si>
  <si>
    <t>R2A1</t>
  </si>
  <si>
    <t>HJA8226EC</t>
  </si>
  <si>
    <t>XK 2000 Mittaristot</t>
  </si>
  <si>
    <t>LJE4300BB-106</t>
  </si>
  <si>
    <t>LJA4140BA+GJA1246AF</t>
  </si>
  <si>
    <t>pxlb KK RH</t>
  </si>
  <si>
    <t>LJA3692AB</t>
  </si>
  <si>
    <t>LJA2120AG-001</t>
  </si>
  <si>
    <t>NJC3921BB-NNE3921BB</t>
  </si>
  <si>
    <t>Left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</si>
  <si>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</si>
  <si>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</si>
  <si>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</si>
  <si>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</si>
  <si>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</si>
  <si>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</si>
  <si>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</si>
  <si>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</si>
  <si>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</si>
  <si>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</si>
  <si>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</si>
  <si>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</si>
  <si>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</si>
  <si>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</si>
  <si>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</si>
  <si>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MJA3750AB</t>
  </si>
  <si>
    <t>JLM12032JHH</t>
  </si>
  <si>
    <t>MJA2105AG</t>
  </si>
  <si>
    <t>2xMJA210AG</t>
  </si>
  <si>
    <t>NCA2270AC</t>
  </si>
  <si>
    <t>1 therm cap x</t>
  </si>
  <si>
    <t>JCR110765</t>
  </si>
  <si>
    <t>NJA6790BC</t>
  </si>
  <si>
    <t>SJ PXLB</t>
  </si>
  <si>
    <t>NJA6790CC</t>
  </si>
  <si>
    <t>B13.009</t>
  </si>
  <si>
    <t>NCA2603AF-NCA2602AF-Camshaft Mount</t>
  </si>
  <si>
    <t>Stock</t>
  </si>
  <si>
    <t>HJA3403AB</t>
  </si>
  <si>
    <t>Uuden rivin saa kun painaa TAB, viimeisen rivin</t>
  </si>
  <si>
    <t>tässä</t>
  </si>
  <si>
    <t>-&gt;solussa!&lt;-</t>
  </si>
  <si>
    <t>MNA6264AA+Cap-MNA6266AA</t>
  </si>
  <si>
    <t>CCC7028</t>
  </si>
  <si>
    <t>Balljoint-Boot</t>
  </si>
  <si>
    <t>EAZ1954</t>
  </si>
  <si>
    <t>NCA2542DAx</t>
  </si>
  <si>
    <t>Valve Caps &amp; Shims</t>
  </si>
  <si>
    <t>B13.008</t>
  </si>
  <si>
    <t>JLM1708</t>
  </si>
  <si>
    <t>B13.010 &amp; B13.011</t>
  </si>
  <si>
    <t>JLM1708*</t>
  </si>
  <si>
    <t>NJA6741BB</t>
  </si>
  <si>
    <t>LJA7641BB</t>
  </si>
  <si>
    <t>KK Subframe exhaus bush</t>
  </si>
  <si>
    <t>GJA1080FE</t>
  </si>
  <si>
    <t>ESPOO</t>
  </si>
  <si>
    <t>Avaa ensin jagports-parts.xlsx ja Shift F9 + TÄYTÄ PN!</t>
  </si>
  <si>
    <t>JLM20304</t>
  </si>
  <si>
    <t>B38</t>
  </si>
  <si>
    <t>MNA4979BA</t>
  </si>
  <si>
    <t>B38.1</t>
  </si>
  <si>
    <t>B38.2</t>
  </si>
  <si>
    <t>B38.001</t>
  </si>
  <si>
    <t>LJA4140AA</t>
  </si>
  <si>
    <t>B36.002</t>
  </si>
  <si>
    <t>GJA6608ACxxx</t>
  </si>
  <si>
    <t>GJA6609ACxxx</t>
  </si>
  <si>
    <t>PB2</t>
  </si>
  <si>
    <t>B36</t>
  </si>
  <si>
    <t>HJA7780BC</t>
  </si>
  <si>
    <t>B28</t>
  </si>
  <si>
    <t>B28.002</t>
  </si>
  <si>
    <t>MNC1628AA</t>
  </si>
  <si>
    <t>47/48</t>
  </si>
  <si>
    <t>MNC1830AA</t>
  </si>
  <si>
    <t xml:space="preserve">MNC1629AA  </t>
  </si>
  <si>
    <t>Lokerikko</t>
  </si>
  <si>
    <t>CCC7029</t>
  </si>
  <si>
    <t>LJA6201AD</t>
  </si>
  <si>
    <t>JCR110805</t>
  </si>
  <si>
    <t>LJA2226AA</t>
  </si>
  <si>
    <t>B32.009</t>
  </si>
  <si>
    <t>MJA6440AE</t>
  </si>
  <si>
    <t>HXF3131AB</t>
  </si>
  <si>
    <t>CBC480635</t>
  </si>
  <si>
    <t>B38.002/Espoo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</si>
</sst>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49" fontId="0" fillId="0" borderId="0" xfId="0" applyNumberFormat="1"/>
    <xf numFmtId="0" fontId="0" fillId="0" borderId="0" xfId="0" applyAlignment="1">
      <alignment horizontal="left" vertical="top"/>
    </xf>
    <xf numFmtId="0" fontId="3" fillId="0" borderId="0" xfId="0" quotePrefix="1" applyFont="1" applyAlignment="1">
      <alignment vertical="top"/>
    </xf>
    <xf numFmtId="0" fontId="0" fillId="0" borderId="0" xfId="0" quotePrefix="1"/>
    <xf numFmtId="0" fontId="0" fillId="0" borderId="0" xfId="0" quotePrefix="1" applyAlignment="1">
      <alignment vertical="top"/>
    </xf>
  </cellXfs>
  <cellStyles count="2">
    <cellStyle name="Currency 2" xfId="1" xr:uid="{AAF5FB82-4A37-4613-AEE4-5CACF1EA9BED}"/>
    <cellStyle name="Normal" xfId="0" builtinId="0"/>
  </cellStyles>
  <dxfs count="14">
    <dxf>
      <numFmt numFmtId="30" formatCode="@"/>
    </dxf>
    <dxf>
      <numFmt numFmtId="30" formatCode="@"/>
    </dxf>
    <dxf>
      <numFmt numFmtId="0" formatCode="General"/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0" formatCode="General"/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ndfi-my.sharepoint.com/personal/tomi_lind_fi/Documents/_jagports/2.Myynti/Parts/jagports-parts.xlsx" TargetMode="External"/><Relationship Id="rId1" Type="http://schemas.openxmlformats.org/officeDocument/2006/relationships/externalLinkPath" Target="jagports-p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sMaster"/>
      <sheetName val="eBay-TurboLister-2016071"/>
      <sheetName val="parts-eBay-UK-FileExchange"/>
    </sheet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3C9D4-92A1-4066-A25A-0E6A8611EFDE}" name="Table1" displayName="Table1" ref="A2:J51" totalsRowShown="0" headerRowDxfId="13" dataDxfId="12">
  <autoFilter ref="A2:J51" xr:uid="{F263C9D4-92A1-4066-A25A-0E6A8611EFDE}">
    <filterColumn colId="9">
      <filters>
        <filter val="1"/>
        <filter val="10"/>
        <filter val="16"/>
        <filter val="2"/>
        <filter val="24"/>
        <filter val="4"/>
      </filters>
    </filterColumn>
  </autoFilter>
  <sortState xmlns:xlrd2="http://schemas.microsoft.com/office/spreadsheetml/2017/richdata2" ref="A3:J47">
    <sortCondition ref="A2:A47"/>
  </sortState>
  <tableColumns count="10">
    <tableColumn id="1" xr3:uid="{852E72D3-6F50-4166-B57A-6CF2944EDFE2}" name="PN" dataDxfId="11"/>
    <tableColumn id="2" xr3:uid="{9EA044EA-2B00-4323-BB4A-03D0BC5DD345}" name="Shelf" dataDxfId="10"/>
    <tableColumn id="3" xr3:uid="{055EDD36-6FF1-46E7-AA84-49371584F986}" name="Box" dataDxfId="9"/>
    <tableColumn id="4" xr3:uid="{5BE764D0-7ADE-4059-AB2E-23472D040079}" name="BoxSub1" dataDxfId="8"/>
    <tableColumn id="5" xr3:uid="{F1088539-4559-42D2-B08C-848BADA24979}" name="BoxSub2" dataDxfId="7"/>
    <tableColumn id="6" xr3:uid="{0A437810-4B38-4CFD-8812-9EC7B6437735}" name="Jagmodel(s)" dataDxfId="6">
      <calculatedColumnFormula>VLOOKUP($A3,[1]!Parts[#All],2,)</calculatedColumnFormula>
    </tableColumn>
    <tableColumn id="8" xr3:uid="{13A751C2-9431-4A99-A0F1-4330C4C45810}" name="Part-Short" dataDxfId="5">
      <calculatedColumnFormula>VLOOKUP($A3,[1]!Parts[#All],3,)</calculatedColumnFormula>
    </tableColumn>
    <tableColumn id="7" xr3:uid="{7023121C-0CE3-4E77-A1FD-AF172073D73C}" name="Part-jag" dataDxfId="4">
      <calculatedColumnFormula>VLOOKUP($A3,[1]!Parts[#All],5,)</calculatedColumnFormula>
    </tableColumn>
    <tableColumn id="9" xr3:uid="{6C989EF2-9B73-409B-B2EB-5516FF2C3599}" name="eBay" dataDxfId="3"/>
    <tableColumn id="10" xr3:uid="{61CE6B26-C500-4684-896B-A22F84076D0D}" name="Stock" dataDxfId="2">
      <calculatedColumnFormula>VLOOKUP($A3,[1]!Parts[#All],4,)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73DB6E-743C-4773-937E-F51EA18682E4}" name="Shelfs" displayName="Shelfs" ref="A2:A14" totalsRowShown="0">
  <autoFilter ref="A2:A14" xr:uid="{1D73DB6E-743C-4773-937E-F51EA18682E4}"/>
  <sortState xmlns:xlrd2="http://schemas.microsoft.com/office/spreadsheetml/2017/richdata2" ref="A3:A12">
    <sortCondition ref="A2:A12"/>
  </sortState>
  <tableColumns count="1">
    <tableColumn id="1" xr3:uid="{B54B173E-AA1D-49D3-A42B-8E746AEF3598}" name="Shelf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F0C2EA-849A-4B94-80EF-19E9BA975B25}" name="Boxes" displayName="Boxes" ref="C2:C43" totalsRowShown="0">
  <autoFilter ref="C2:C43" xr:uid="{C9F0C2EA-849A-4B94-80EF-19E9BA975B25}"/>
  <sortState xmlns:xlrd2="http://schemas.microsoft.com/office/spreadsheetml/2017/richdata2" ref="C3:C30">
    <sortCondition ref="C2:C30"/>
  </sortState>
  <tableColumns count="1">
    <tableColumn id="1" xr3:uid="{B17CBEAA-962F-4F27-B073-76D9C1945D5A}" name="Boxe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2037CE0-D4D5-463A-9EC6-E9284DBAA966}" name="BoxSub1es" displayName="BoxSub1es" ref="E2:E32" totalsRowShown="0" dataDxfId="1">
  <autoFilter ref="E2:E32" xr:uid="{72037CE0-D4D5-463A-9EC6-E9284DBAA966}"/>
  <sortState xmlns:xlrd2="http://schemas.microsoft.com/office/spreadsheetml/2017/richdata2" ref="E3:E12">
    <sortCondition ref="E2:E12"/>
  </sortState>
  <tableColumns count="1">
    <tableColumn id="1" xr3:uid="{8E2293B1-0B0B-45D6-BA5B-B8CB39D16382}" name="BoxSub1es" dataDxfId="0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50FC850-49D2-4438-826B-F5042232F96A}" name="BoxSub2es" displayName="BoxSub2es" ref="G2:G11" totalsRowShown="0">
  <autoFilter ref="G2:G11" xr:uid="{450FC850-49D2-4438-826B-F5042232F96A}"/>
  <sortState xmlns:xlrd2="http://schemas.microsoft.com/office/spreadsheetml/2017/richdata2" ref="G3:G11">
    <sortCondition ref="G2:G11"/>
  </sortState>
  <tableColumns count="1">
    <tableColumn id="1" xr3:uid="{739C52D7-9402-4D83-BCB9-4EC2723FD35F}" name="BoxSub2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zoomScale="70" zoomScaleNormal="70" workbookViewId="0">
      <pane xSplit="1" ySplit="2" topLeftCell="B26" activePane="bottomRight" state="frozen"/>
      <selection pane="topRight" activeCell="B1" sqref="B1"/>
      <selection pane="bottomLeft" activeCell="A3" sqref="A3"/>
      <selection pane="bottomRight" activeCell="D51" sqref="D51"/>
    </sheetView>
  </sheetViews>
  <sheetFormatPr defaultColWidth="9.140625" defaultRowHeight="15" x14ac:dyDescent="0.25"/>
  <cols>
    <col min="1" max="1" width="65" style="2" bestFit="1" customWidth="1"/>
    <col min="2" max="2" width="11.5703125" style="2" bestFit="1" customWidth="1"/>
    <col min="3" max="3" width="9.28515625" style="2" bestFit="1" customWidth="1"/>
    <col min="4" max="4" width="19.85546875" style="2" bestFit="1" customWidth="1"/>
    <col min="5" max="5" width="26.85546875" style="2" bestFit="1" customWidth="1"/>
    <col min="6" max="6" width="34.140625" style="2" bestFit="1" customWidth="1"/>
    <col min="7" max="7" width="48.42578125" style="3" customWidth="1"/>
    <col min="8" max="8" width="64.5703125" style="3" bestFit="1" customWidth="1"/>
    <col min="9" max="9" width="9.140625" style="2"/>
    <col min="10" max="12" width="11.5703125" style="2" bestFit="1" customWidth="1"/>
    <col min="13" max="16384" width="9.140625" style="2"/>
  </cols>
  <sheetData>
    <row r="1" spans="1:10" x14ac:dyDescent="0.25">
      <c r="A1" s="4" t="s">
        <v>123</v>
      </c>
      <c r="B1" s="1">
        <v>45515</v>
      </c>
      <c r="H1" s="4" t="s">
        <v>105</v>
      </c>
      <c r="I1" s="4" t="s">
        <v>106</v>
      </c>
      <c r="J1" s="7" t="s">
        <v>107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6</v>
      </c>
      <c r="G2" s="3" t="s">
        <v>56</v>
      </c>
      <c r="H2" s="3" t="s">
        <v>4</v>
      </c>
      <c r="I2" s="2" t="s">
        <v>60</v>
      </c>
      <c r="J2" s="2" t="s">
        <v>103</v>
      </c>
    </row>
    <row r="3" spans="1:10" x14ac:dyDescent="0.25">
      <c r="A3" s="6" t="s">
        <v>110</v>
      </c>
      <c r="B3" s="2" t="s">
        <v>10</v>
      </c>
      <c r="C3" s="2" t="s">
        <v>31</v>
      </c>
      <c r="D3" s="2" t="s">
        <v>82</v>
      </c>
      <c r="E3" s="2" t="s">
        <v>57</v>
      </c>
      <c r="F3" s="2" t="str">
        <f>VLOOKUP($A3,[1]!Parts[#All],2,)</f>
        <v>Jaguar XK8 XKR X100 XJ8 XJR X308</v>
      </c>
      <c r="G3" s="3" t="str">
        <f>VLOOKUP($A3,[1]!Parts[#All],3,)</f>
        <v>Ball joint boot</v>
      </c>
      <c r="H3" s="3" t="str">
        <f>VLOOKUP($A3,[1]!Parts[#All],5,)</f>
        <v>N/A</v>
      </c>
      <c r="J3" s="2">
        <f>VLOOKUP($A3,[1]!Parts[#All],4,)</f>
        <v>4</v>
      </c>
    </row>
    <row r="4" spans="1:10" hidden="1" x14ac:dyDescent="0.25">
      <c r="A4" s="6" t="s">
        <v>108</v>
      </c>
      <c r="B4" s="2" t="s">
        <v>10</v>
      </c>
      <c r="C4" s="2" t="s">
        <v>11</v>
      </c>
      <c r="D4" s="2" t="s">
        <v>84</v>
      </c>
      <c r="E4" s="2" t="s">
        <v>57</v>
      </c>
      <c r="F4" s="2" t="str">
        <f>VLOOKUP($A4,[1]!Parts[#All],2,)</f>
        <v>Jaguar XK8 XKR X100 XJ8 XJR X308</v>
      </c>
      <c r="G4" s="3" t="str">
        <f>VLOOKUP($A4,[1]!Parts[#All],3,)</f>
        <v>Locking wheel nut + Cap -kit</v>
      </c>
      <c r="H4" s="3" t="str">
        <f>VLOOKUP($A4,[1]!Parts[#All],5,)</f>
        <v>STEERING AND SUSPENSION/WHEELS - Locking wheel nut + Cap</v>
      </c>
      <c r="J4" s="2">
        <f>VLOOKUP($A4,[1]!Parts[#All],4,)</f>
        <v>0</v>
      </c>
    </row>
    <row r="5" spans="1:10" ht="30" hidden="1" x14ac:dyDescent="0.25">
      <c r="A5" s="2" t="s">
        <v>109</v>
      </c>
      <c r="B5" s="2" t="s">
        <v>10</v>
      </c>
      <c r="C5" s="2" t="s">
        <v>11</v>
      </c>
      <c r="D5" s="2" t="s">
        <v>84</v>
      </c>
      <c r="E5" s="2" t="s">
        <v>57</v>
      </c>
      <c r="F5" s="2" t="str">
        <f>VLOOKUP($A5,[1]!Parts[#All],2,)</f>
        <v>Jaguar XK8 XKR X100 XJ8 XJR X308</v>
      </c>
      <c r="G5" s="3" t="str">
        <f>VLOOKUP($A5,[1]!Parts[#All],3,)</f>
        <v>Domed wheel nut - Standard Shaft</v>
      </c>
      <c r="H5" s="3" t="str">
        <f>VLOOKUP($A5,[1]!Parts[#All],5,)</f>
        <v>STEERING AND SUSPENSION/WHEELS - Domed wheel nut - Standard Shaft</v>
      </c>
      <c r="J5" s="2">
        <f>VLOOKUP($A5,[1]!Parts[#All],4,)</f>
        <v>6</v>
      </c>
    </row>
    <row r="6" spans="1:10" x14ac:dyDescent="0.25">
      <c r="A6" s="6" t="s">
        <v>144</v>
      </c>
      <c r="C6" s="2" t="s">
        <v>143</v>
      </c>
      <c r="F6" s="2" t="str">
        <f>VLOOKUP($A6,[1]!Parts[#All],2,)</f>
        <v>Jaguar XK8 XKR X100 XJ8 XJR X308</v>
      </c>
      <c r="G6" s="3" t="str">
        <f>VLOOKUP($A6,[1]!Parts[#All],3,)</f>
        <v>Domed wheel nut - Long Shaft</v>
      </c>
      <c r="H6" s="3" t="str">
        <f>VLOOKUP($A6,[1]!Parts[#All],5,)</f>
        <v>STEERING AND SUSPENSION/WHEELS - Domed wheel nut - Long Shaft</v>
      </c>
      <c r="J6" s="2">
        <f>VLOOKUP($A6,[1]!Parts[#All],4,)</f>
        <v>24</v>
      </c>
    </row>
    <row r="7" spans="1:10" ht="30" x14ac:dyDescent="0.25">
      <c r="A7" s="6" t="s">
        <v>111</v>
      </c>
      <c r="B7" s="2" t="s">
        <v>10</v>
      </c>
      <c r="C7" s="2" t="s">
        <v>31</v>
      </c>
      <c r="D7" s="2" t="s">
        <v>114</v>
      </c>
      <c r="E7" s="2" t="s">
        <v>113</v>
      </c>
      <c r="F7" s="2" t="str">
        <f>VLOOKUP($A7,[1]!Parts[#All],2,)</f>
        <v>Jaguar XK8 XKR X100 XJ8 XJR X308</v>
      </c>
      <c r="G7" s="3" t="str">
        <f>VLOOKUP($A7,[1]!Parts[#All],3,)</f>
        <v>Tappet</v>
      </c>
      <c r="H7" s="3" t="str">
        <f>VLOOKUP($A7,[1]!Parts[#All],5,)</f>
        <v>ENGINE/CAMSHAFTS AND VALVE GEAR - Tappet</v>
      </c>
      <c r="J7" s="2">
        <f>VLOOKUP($A7,[1]!Parts[#All],4,)</f>
        <v>16</v>
      </c>
    </row>
    <row r="8" spans="1:10" x14ac:dyDescent="0.25">
      <c r="A8" s="2" t="s">
        <v>121</v>
      </c>
      <c r="B8" s="2" t="s">
        <v>122</v>
      </c>
      <c r="F8" s="2" t="str">
        <f>VLOOKUP($A8,[1]!Parts[#All],2,)</f>
        <v>Jaguar XK8 XKR X100</v>
      </c>
      <c r="G8" s="3" t="str">
        <f>VLOOKUP($A8,[1]!Parts[#All],3,)</f>
        <v>Door latch</v>
      </c>
      <c r="H8" s="3" t="str">
        <f>VLOOKUP($A8,[1]!Parts[#All],5,)</f>
        <v>BODY CLOSURES AND SEALING/DOOR HANDLES AND LOCKS - Door latch - RH</v>
      </c>
      <c r="J8" s="2">
        <f>VLOOKUP($A8,[1]!Parts[#All],4,)</f>
        <v>1</v>
      </c>
    </row>
    <row r="9" spans="1:10" x14ac:dyDescent="0.25">
      <c r="A9" s="6" t="s">
        <v>132</v>
      </c>
      <c r="C9" s="2" t="s">
        <v>79</v>
      </c>
      <c r="F9" s="2" t="str">
        <f>VLOOKUP($A9,[1]!Parts[#All],2,)</f>
        <v>Jaguar XK8 XKR X100</v>
      </c>
      <c r="G9" s="3" t="str">
        <f>VLOOKUP($A9,[1]!Parts[#All],3,)</f>
        <v>Dashboard Speaker Grille</v>
      </c>
      <c r="H9" s="3" t="str">
        <f>VLOOKUP($A9,[1]!Parts[#All],5,)</f>
        <v xml:space="preserve">Speaker Grille Facia - Dashboard </v>
      </c>
      <c r="J9" s="2">
        <f>VLOOKUP($A9,[1]!Parts[#All],4,)</f>
        <v>1</v>
      </c>
    </row>
    <row r="10" spans="1:10" ht="30" x14ac:dyDescent="0.25">
      <c r="A10" s="6" t="s">
        <v>133</v>
      </c>
      <c r="C10" s="2" t="s">
        <v>134</v>
      </c>
      <c r="F10" s="2" t="str">
        <f>VLOOKUP($A10,[1]!Parts[#All],2,)</f>
        <v>Jaguar XK8 XKR X100</v>
      </c>
      <c r="G10" s="3" t="str">
        <f>VLOOKUP($A10,[1]!Parts[#All],3,)</f>
        <v>Dashboard Speaker Grille</v>
      </c>
      <c r="H10" s="3" t="str">
        <f>VLOOKUP($A10,[1]!Parts[#All],5,)</f>
        <v xml:space="preserve">Speaker Grille Facia - Dashboard </v>
      </c>
      <c r="J10" s="2">
        <f>VLOOKUP($A10,[1]!Parts[#All],4,)</f>
        <v>1</v>
      </c>
    </row>
    <row r="11" spans="1:10" ht="30" x14ac:dyDescent="0.25">
      <c r="A11" s="2" t="s">
        <v>104</v>
      </c>
      <c r="B11" s="2" t="s">
        <v>10</v>
      </c>
      <c r="C11" s="2" t="s">
        <v>32</v>
      </c>
      <c r="D11" s="2" t="s">
        <v>57</v>
      </c>
      <c r="E11" s="2" t="s">
        <v>57</v>
      </c>
      <c r="F11" s="2" t="str">
        <f>VLOOKUP($A11,[1]!Parts[#All],2,)</f>
        <v>Jaguar XK8 XKR X100</v>
      </c>
      <c r="G11" s="3" t="str">
        <f>VLOOKUP($A11,[1]!Parts[#All],3,)</f>
        <v>Door mirror - US</v>
      </c>
      <c r="H11" s="3" t="str">
        <f>VLOOKUP($A11,[1]!Parts[#All],5,)</f>
        <v>EXTERIOR FITTINGS AND SUNROOF/DOOR MIRRORS - Door mirror - Less glass/backcover - electrochromatic</v>
      </c>
      <c r="J11" s="2">
        <f>VLOOKUP($A11,[1]!Parts[#All],4,)</f>
        <v>1</v>
      </c>
    </row>
    <row r="12" spans="1:10" ht="30" x14ac:dyDescent="0.25">
      <c r="A12" s="2" t="s">
        <v>64</v>
      </c>
      <c r="B12" s="2" t="s">
        <v>10</v>
      </c>
      <c r="C12" s="2" t="s">
        <v>25</v>
      </c>
      <c r="D12" s="2" t="s">
        <v>57</v>
      </c>
      <c r="E12" s="2" t="s">
        <v>57</v>
      </c>
      <c r="F12" s="2" t="str">
        <f>VLOOKUP($A12,[1]!Parts[#All],2,)</f>
        <v>Jaguar XK8 XKR X100</v>
      </c>
      <c r="G12" s="3" t="str">
        <f>VLOOKUP($A12,[1]!Parts[#All],3,)</f>
        <v>Door seal - RH</v>
      </c>
      <c r="H12" s="3" t="str">
        <f>VLOOKUP($A12,[1]!Parts[#All],5,)</f>
        <v>BODY CLOSURES AND SEALING/DOOR SEALS - Door seal - Convertible - RH</v>
      </c>
      <c r="J12" s="2">
        <f>VLOOKUP($A12,[1]!Parts[#All],4,)</f>
        <v>1</v>
      </c>
    </row>
    <row r="13" spans="1:10" x14ac:dyDescent="0.25">
      <c r="A13" s="2" t="s">
        <v>63</v>
      </c>
      <c r="B13" s="2" t="s">
        <v>10</v>
      </c>
      <c r="C13" s="2" t="s">
        <v>20</v>
      </c>
      <c r="D13" s="2" t="s">
        <v>57</v>
      </c>
      <c r="E13" s="2" t="s">
        <v>57</v>
      </c>
      <c r="F13" s="2" t="str">
        <f>VLOOKUP($A13,[1]!Parts[#All],2,)</f>
        <v>Jaguar XK8 XKR X100</v>
      </c>
      <c r="G13" s="3" t="str">
        <f>VLOOKUP($A13,[1]!Parts[#All],3,)</f>
        <v>Door seal - LH</v>
      </c>
      <c r="H13" s="3" t="str">
        <f>VLOOKUP($A13,[1]!Parts[#All],5,)</f>
        <v>BODY CLOSURES AND SEALING/DOOR SEALS - Door seal - Convertible - LH</v>
      </c>
      <c r="J13" s="2">
        <f>VLOOKUP($A13,[1]!Parts[#All],4,)</f>
        <v>1</v>
      </c>
    </row>
    <row r="14" spans="1:10" x14ac:dyDescent="0.25">
      <c r="A14" s="2" t="s">
        <v>62</v>
      </c>
      <c r="B14" s="2" t="s">
        <v>66</v>
      </c>
      <c r="C14" s="2" t="s">
        <v>23</v>
      </c>
      <c r="D14" s="2" t="s">
        <v>57</v>
      </c>
      <c r="E14" s="2" t="s">
        <v>57</v>
      </c>
      <c r="F14" s="2" t="str">
        <f>VLOOKUP($A14,[1]!Parts[#All],2,)</f>
        <v>Jaguar XK8 XKR X100</v>
      </c>
      <c r="G14" s="3" t="str">
        <f>VLOOKUP($A14,[1]!Parts[#All],3,)</f>
        <v>Hood frame seal Convertible LH Front</v>
      </c>
      <c r="H14" s="3" t="str">
        <f>VLOOKUP($A14,[1]!Parts[#All],5,)</f>
        <v>BODY CLOSURES AND SEALING/CONVERTABLE HOOD AND SEALS - LH</v>
      </c>
      <c r="J14" s="2">
        <f>VLOOKUP($A14,[1]!Parts[#All],4,)</f>
        <v>1</v>
      </c>
    </row>
    <row r="15" spans="1:10" x14ac:dyDescent="0.25">
      <c r="A15" s="6" t="s">
        <v>136</v>
      </c>
      <c r="B15" s="2" t="s">
        <v>66</v>
      </c>
      <c r="C15" s="2" t="s">
        <v>137</v>
      </c>
      <c r="D15" s="2" t="s">
        <v>138</v>
      </c>
      <c r="F15" s="2" t="str">
        <f>VLOOKUP($A15,[1]!Parts[#All],2,)</f>
        <v>Jaguar XK8 XKR X100</v>
      </c>
      <c r="G15" s="3" t="str">
        <f>VLOOKUP($A15,[1]!Parts[#All],3,)</f>
        <v>Hood frame seal Convertible RH Center</v>
      </c>
      <c r="H15" s="3" t="str">
        <f>VLOOKUP($A15,[1]!Parts[#All],5,)</f>
        <v>BODY CLOSURES AND SEALING/CONVERTABLE HOOD AND SEALS - RH</v>
      </c>
      <c r="J15" s="2">
        <f>VLOOKUP($A15,[1]!Parts[#All],4,)</f>
        <v>1</v>
      </c>
    </row>
    <row r="16" spans="1:10" ht="30" x14ac:dyDescent="0.25">
      <c r="A16" s="2" t="s">
        <v>61</v>
      </c>
      <c r="B16" s="2" t="s">
        <v>66</v>
      </c>
      <c r="C16" s="2" t="s">
        <v>24</v>
      </c>
      <c r="D16" s="2" t="s">
        <v>57</v>
      </c>
      <c r="E16" s="2" t="s">
        <v>57</v>
      </c>
      <c r="F16" s="2" t="str">
        <f>VLOOKUP($A16,[1]!Parts[#All],2,)</f>
        <v>Jaguar XK8 XKR X100</v>
      </c>
      <c r="G16" s="3" t="str">
        <f>VLOOKUP($A16,[1]!Parts[#All],3,)</f>
        <v>Hood frame seal Convertible LH Rear</v>
      </c>
      <c r="H16" s="3" t="str">
        <f>VLOOKUP($A16,[1]!Parts[#All],5,)</f>
        <v>BODY CLOSURES AND SEALING/CONVERTABLE HOOD AND SEALS - RH</v>
      </c>
      <c r="J16" s="2">
        <f>VLOOKUP($A16,[1]!Parts[#All],4,)</f>
        <v>1</v>
      </c>
    </row>
    <row r="17" spans="1:10" ht="30" x14ac:dyDescent="0.25">
      <c r="A17" s="2" t="s">
        <v>67</v>
      </c>
      <c r="B17" s="2" t="s">
        <v>66</v>
      </c>
      <c r="C17" s="2" t="s">
        <v>27</v>
      </c>
      <c r="D17" s="2" t="s">
        <v>57</v>
      </c>
      <c r="E17" s="2" t="s">
        <v>57</v>
      </c>
      <c r="F17" s="2" t="str">
        <f>VLOOKUP($A17,[1]!Parts[#All],2,)</f>
        <v>Jaguar XK8 XKR X100</v>
      </c>
      <c r="G17" s="3" t="str">
        <f>VLOOKUP($A17,[1]!Parts[#All],3,)</f>
        <v>Hood Latch Plate</v>
      </c>
      <c r="H17" s="3" t="str">
        <f>VLOOKUP($A17,[1]!Parts[#All],5,)</f>
        <v>BODY CLOSURES AND SEALING/CONVERTIBLE HOOD AND SEALS - Hood Latch Plate Assembly To VIN (024686)</v>
      </c>
      <c r="J17" s="2">
        <f>VLOOKUP($A17,[1]!Parts[#All],4,)</f>
        <v>1</v>
      </c>
    </row>
    <row r="18" spans="1:10" hidden="1" x14ac:dyDescent="0.25">
      <c r="A18" s="2" t="s">
        <v>74</v>
      </c>
      <c r="B18" s="2" t="s">
        <v>10</v>
      </c>
      <c r="C18" s="2" t="s">
        <v>28</v>
      </c>
      <c r="D18" s="2" t="s">
        <v>57</v>
      </c>
      <c r="E18" s="2" t="s">
        <v>57</v>
      </c>
      <c r="F18" s="2" t="str">
        <f>VLOOKUP($A18,[1]!Parts[#All],2,)</f>
        <v>Jaguar XK8 XKR X100 XJ8 XJR X308</v>
      </c>
      <c r="G18" s="3" t="str">
        <f>VLOOKUP($A18,[1]!Parts[#All],3,)</f>
        <v>Engine Cover</v>
      </c>
      <c r="H18" s="3" t="str">
        <f>VLOOKUP($A18,[1]!Parts[#All],5,)</f>
        <v>ENGINE/ENGINE ASSEMBLY - Engine Cover</v>
      </c>
      <c r="J18" s="2">
        <f>VLOOKUP($A18,[1]!Parts[#All],4,)</f>
        <v>0</v>
      </c>
    </row>
    <row r="19" spans="1:10" ht="30" hidden="1" x14ac:dyDescent="0.25">
      <c r="A19" s="2" t="s">
        <v>73</v>
      </c>
      <c r="B19" s="2" t="s">
        <v>10</v>
      </c>
      <c r="C19" s="2" t="s">
        <v>31</v>
      </c>
      <c r="D19" s="2" t="s">
        <v>57</v>
      </c>
      <c r="E19" s="2" t="s">
        <v>57</v>
      </c>
      <c r="F19" s="2" t="str">
        <f>VLOOKUP($A19,[1]!Parts[#All],2,)</f>
        <v>Jaguar XK8 XKR X100</v>
      </c>
      <c r="G19" s="3" t="str">
        <f>VLOOKUP($A19,[1]!Parts[#All],3,)</f>
        <v>Door Module</v>
      </c>
      <c r="H19" s="3" t="str">
        <f>VLOOKUP($A19,[1]!Parts[#All],5,)</f>
        <v>INFORMATION SYSTEMS AND CONTROLS/INFORMATION SYSTEM CONTROL MODULE - Door Module</v>
      </c>
      <c r="J19" s="2">
        <f>VLOOKUP($A19,[1]!Parts[#All],4,)</f>
        <v>0</v>
      </c>
    </row>
    <row r="20" spans="1:10" ht="30" x14ac:dyDescent="0.25">
      <c r="A20" s="6" t="s">
        <v>97</v>
      </c>
      <c r="C20" s="2" t="s">
        <v>21</v>
      </c>
      <c r="D20" s="2" t="s">
        <v>81</v>
      </c>
      <c r="F20" s="2" t="str">
        <f>VLOOKUP($A20,[1]!Parts[#All],2,)</f>
        <v>Jaguar XK8 XKR X100</v>
      </c>
      <c r="G20" s="3" t="str">
        <f>VLOOKUP($A20,[1]!Parts[#All],3,)</f>
        <v>Circlip - Front Suspension (76.0mm dia bearing)</v>
      </c>
      <c r="H20" s="3" t="str">
        <f>VLOOKUP($A20,[1]!Parts[#All],5,)</f>
        <v>STEERING AND SUSPENSION/WISHBONE AND HUB ASSEMBLY-FRONT - Circlip - Front Suspension (76.0mm dia bearing)</v>
      </c>
      <c r="J20" s="2">
        <f>VLOOKUP($A20,[1]!Parts[#All],4,)</f>
        <v>3</v>
      </c>
    </row>
    <row r="21" spans="1:10" x14ac:dyDescent="0.25">
      <c r="A21" s="2" t="s">
        <v>97</v>
      </c>
      <c r="C21" s="2" t="s">
        <v>82</v>
      </c>
      <c r="D21" s="2" t="s">
        <v>148</v>
      </c>
      <c r="F21" s="2" t="str">
        <f>VLOOKUP($A21,[1]!Parts[#All],2,)</f>
        <v>Jaguar XK8 XKR X100</v>
      </c>
      <c r="G21" s="3" t="str">
        <f>VLOOKUP($A21,[1]!Parts[#All],3,)</f>
        <v>Circlip - Front Suspension (76.0mm dia bearing)</v>
      </c>
      <c r="H21" s="3" t="str">
        <f>VLOOKUP($A21,[1]!Parts[#All],5,)</f>
        <v>STEERING AND SUSPENSION/WISHBONE AND HUB ASSEMBLY-FRONT - Circlip - Front Suspension (76.0mm dia bearing)</v>
      </c>
      <c r="J21" s="2">
        <f>VLOOKUP($A21,[1]!Parts[#All],4,)</f>
        <v>3</v>
      </c>
    </row>
    <row r="22" spans="1:10" ht="30" x14ac:dyDescent="0.25">
      <c r="A22" s="6" t="s">
        <v>146</v>
      </c>
      <c r="C22" s="2" t="s">
        <v>82</v>
      </c>
      <c r="F22" s="2" t="str">
        <f>VLOOKUP($A22,[1]!Parts[#All],2,)</f>
        <v>Jaguar XK8 XKR X100 XJ8 XJR X308</v>
      </c>
      <c r="G22" s="3" t="str">
        <f>VLOOKUP($A22,[1]!Parts[#All],3,)</f>
        <v>Circlip Front Wheel Bearing 80mm</v>
      </c>
      <c r="H22" s="3">
        <f>VLOOKUP($A22,[1]!Parts[#All],5,)</f>
        <v>0</v>
      </c>
      <c r="J22" s="2">
        <f>VLOOKUP($A22,[1]!Parts[#All],4,)</f>
        <v>4</v>
      </c>
    </row>
    <row r="23" spans="1:10" ht="30" x14ac:dyDescent="0.25">
      <c r="A23" s="2" t="s">
        <v>92</v>
      </c>
      <c r="B23" s="2" t="s">
        <v>10</v>
      </c>
      <c r="C23" s="2" t="s">
        <v>31</v>
      </c>
      <c r="D23" s="2" t="s">
        <v>78</v>
      </c>
      <c r="E23" s="2" t="s">
        <v>57</v>
      </c>
      <c r="F23" s="2" t="str">
        <f>VLOOKUP($A23,[1]!Parts[#All],2,)</f>
        <v>Jaguar XK8 XKR X100 XJ8 XJR X308 XJ6</v>
      </c>
      <c r="G23" s="3" t="str">
        <f>VLOOKUP($A23,[1]!Parts[#All],3,)</f>
        <v>Door handle</v>
      </c>
      <c r="H23" s="3" t="str">
        <f>VLOOKUP($A23,[1]!Parts[#All],5,)</f>
        <v>BODY CLOSURES AND SEALING/DOOR HANDLES AND LOCKS Door handle - Chromed flap without lock - Antigua - LHD</v>
      </c>
      <c r="J23" s="2">
        <f>VLOOKUP($A23,[1]!Parts[#All],4,)</f>
        <v>1</v>
      </c>
    </row>
    <row r="24" spans="1:10" ht="30" x14ac:dyDescent="0.25">
      <c r="A24" s="2" t="s">
        <v>115</v>
      </c>
      <c r="B24" s="2" t="s">
        <v>10</v>
      </c>
      <c r="C24" s="2" t="s">
        <v>31</v>
      </c>
      <c r="D24" s="2" t="s">
        <v>116</v>
      </c>
      <c r="E24" s="2" t="s">
        <v>117</v>
      </c>
      <c r="F24" s="2" t="str">
        <f>VLOOKUP($A24,[1]!Parts[#All],2,)</f>
        <v>Jaguar XK8 XKR X100</v>
      </c>
      <c r="G24" s="3" t="str">
        <f>VLOOKUP($A24,[1]!Parts[#All],3,)</f>
        <v>Wheel Bearing Kit - Rear</v>
      </c>
      <c r="H24" s="3" t="str">
        <f>VLOOKUP($A24,[1]!Parts[#All],5,)</f>
        <v>STEERING AND SUSPENSION/HUB AND CARRIER-REAR - Hub bearing kit</v>
      </c>
      <c r="J24" s="2">
        <f>VLOOKUP($A24,[1]!Parts[#All],4,)</f>
        <v>2</v>
      </c>
    </row>
    <row r="25" spans="1:10" x14ac:dyDescent="0.25">
      <c r="A25" s="2" t="s">
        <v>124</v>
      </c>
      <c r="C25" s="2" t="s">
        <v>125</v>
      </c>
      <c r="D25" s="2" t="s">
        <v>76</v>
      </c>
      <c r="F25" s="2" t="str">
        <f>VLOOKUP($A25,[1]!Parts[#All],2,)</f>
        <v>Jaguar XK8 XKR X100</v>
      </c>
      <c r="G25" s="3" t="str">
        <f>VLOOKUP($A25,[1]!Parts[#All],3,)</f>
        <v>Switch J-Gate</v>
      </c>
      <c r="H25" s="3" t="str">
        <f>VLOOKUP($A25,[1]!Parts[#All],5,)</f>
        <v>TRANSMISSION AND DRIVELINE/CONTROLS AND LINKAGE-AUTOMATIC GEARBOX</v>
      </c>
      <c r="J25" s="2">
        <f>VLOOKUP($A25,[1]!Parts[#All],4,)</f>
        <v>1</v>
      </c>
    </row>
    <row r="26" spans="1:10" ht="45" x14ac:dyDescent="0.25">
      <c r="A26" s="2" t="s">
        <v>124</v>
      </c>
      <c r="B26" s="2" t="s">
        <v>48</v>
      </c>
      <c r="C26" s="2" t="s">
        <v>125</v>
      </c>
      <c r="D26" s="2" t="s">
        <v>127</v>
      </c>
      <c r="E26" s="9" t="s">
        <v>129</v>
      </c>
      <c r="F26" s="2" t="str">
        <f>VLOOKUP($A26,[1]!Parts[#All],2,)</f>
        <v>Jaguar XK8 XKR X100</v>
      </c>
      <c r="G26" s="3" t="str">
        <f>VLOOKUP($A26,[1]!Parts[#All],3,)</f>
        <v>Switch J-Gate</v>
      </c>
      <c r="H26" s="3" t="str">
        <f>VLOOKUP($A26,[1]!Parts[#All],5,)</f>
        <v>TRANSMISSION AND DRIVELINE/CONTROLS AND LINKAGE-AUTOMATIC GEARBOX</v>
      </c>
      <c r="J26" s="2">
        <f>VLOOKUP($A26,[1]!Parts[#All],4,)</f>
        <v>1</v>
      </c>
    </row>
    <row r="27" spans="1:10" x14ac:dyDescent="0.25">
      <c r="A27" s="6" t="s">
        <v>147</v>
      </c>
      <c r="C27" s="2" t="s">
        <v>82</v>
      </c>
      <c r="D27" s="2" t="s">
        <v>148</v>
      </c>
      <c r="F27" s="2" t="str">
        <f>VLOOKUP($A27,[1]!Parts[#All],2,)</f>
        <v>Jaguar XK8 XKR X100</v>
      </c>
      <c r="G27" s="3" t="str">
        <f>VLOOKUP($A27,[1]!Parts[#All],3,)</f>
        <v>ABS Sensor</v>
      </c>
      <c r="H27" s="3" t="str">
        <f>VLOOKUP($A27,[1]!Parts[#All],5,)</f>
        <v>Wheel Speed Sensor</v>
      </c>
      <c r="J27" s="2">
        <f>VLOOKUP($A27,[1]!Parts[#All],4,)</f>
        <v>4</v>
      </c>
    </row>
    <row r="28" spans="1:10" ht="60" x14ac:dyDescent="0.25">
      <c r="A28" s="2" t="s">
        <v>72</v>
      </c>
      <c r="B28" s="2" t="s">
        <v>10</v>
      </c>
      <c r="C28" s="2" t="s">
        <v>30</v>
      </c>
      <c r="D28" s="2" t="s">
        <v>57</v>
      </c>
      <c r="E28" s="2" t="s">
        <v>57</v>
      </c>
      <c r="F28" s="2" t="str">
        <f>VLOOKUP($A28,[1]!Parts[#All],2,)</f>
        <v>Jaguar XK8 XKR X100</v>
      </c>
      <c r="G28" s="3" t="str">
        <f>VLOOKUP($A28,[1]!Parts[#All],3,)</f>
        <v>Positive battery extension cable</v>
      </c>
      <c r="H28" s="3" t="str">
        <f>VLOOKUP($A28,[1]!Parts[#All],5,)</f>
        <v>ELECTRICAL DISTRIBUTION SYSTEM/FUSEBOXES - Positive battery extension cable</v>
      </c>
      <c r="J28" s="2">
        <f>VLOOKUP($A28,[1]!Parts[#All],4,)</f>
        <v>1</v>
      </c>
    </row>
    <row r="29" spans="1:10" ht="30" x14ac:dyDescent="0.25">
      <c r="A29" s="6" t="s">
        <v>130</v>
      </c>
      <c r="C29" s="2" t="s">
        <v>79</v>
      </c>
      <c r="D29" s="2" t="s">
        <v>131</v>
      </c>
      <c r="F29" s="2" t="str">
        <f>VLOOKUP($A29,[1]!Parts[#All],2,)</f>
        <v>Jaguar XK8 XKR X100</v>
      </c>
      <c r="G29" s="3" t="str">
        <f>VLOOKUP($A29,[1]!Parts[#All],3,)</f>
        <v>Dashbord to speaker for Premium audio</v>
      </c>
      <c r="H29" s="3" t="str">
        <f>VLOOKUP($A29,[1]!Parts[#All],5,)</f>
        <v>Single cone loudspeaker premium sound front 2.5" diameter</v>
      </c>
      <c r="J29" s="2">
        <f>VLOOKUP($A29,[1]!Parts[#All],4,)</f>
        <v>2</v>
      </c>
    </row>
    <row r="30" spans="1:10" x14ac:dyDescent="0.25">
      <c r="A30" s="2" t="s">
        <v>70</v>
      </c>
      <c r="B30" s="2" t="s">
        <v>10</v>
      </c>
      <c r="C30" s="2" t="s">
        <v>29</v>
      </c>
      <c r="D30" s="2" t="s">
        <v>71</v>
      </c>
      <c r="E30" s="2" t="s">
        <v>57</v>
      </c>
      <c r="F30" s="2" t="str">
        <f>VLOOKUP($A30,[1]!Parts[#All],2,)</f>
        <v>Jaguar XK8 XKR X100</v>
      </c>
      <c r="G30" s="3" t="str">
        <f>VLOOKUP($A30,[1]!Parts[#All],3,)</f>
        <v>Speaker Element (Harman-Kardon Premium Audio) + Loudspeaker bracket RH</v>
      </c>
      <c r="H30" s="3" t="str">
        <f>VLOOKUP($A30,[1]!Parts[#All],5,)</f>
        <v>IN CAR ENTERTAINMENT/AMPLIFIER/LOUDSPEAKERS - Single cone loudspeaker - Convertible 2+2 - premium sound - 6" + Loudspeaker bracket RH front door</v>
      </c>
      <c r="J30" s="2">
        <f>VLOOKUP($A30,[1]!Parts[#All],4,)</f>
        <v>1</v>
      </c>
    </row>
    <row r="31" spans="1:10" ht="30" x14ac:dyDescent="0.25">
      <c r="A31" s="2" t="s">
        <v>65</v>
      </c>
      <c r="B31" s="2" t="s">
        <v>10</v>
      </c>
      <c r="C31" s="2" t="s">
        <v>21</v>
      </c>
      <c r="D31" s="2" t="s">
        <v>57</v>
      </c>
      <c r="E31" s="2" t="s">
        <v>57</v>
      </c>
      <c r="F31" s="2" t="str">
        <f>VLOOKUP($A31,[1]!Parts[#All],2,)</f>
        <v>Jaguar XK8 XKR X100</v>
      </c>
      <c r="G31" s="3" t="str">
        <f>VLOOKUP($A31,[1]!Parts[#All],3,)</f>
        <v>Tail Light Bulp Panel Right</v>
      </c>
      <c r="H31" s="3" t="str">
        <f>VLOOKUP($A31,[1]!Parts[#All],5,)</f>
        <v>N/A</v>
      </c>
      <c r="J31" s="2">
        <f>VLOOKUP($A31,[1]!Parts[#All],4,)</f>
        <v>1</v>
      </c>
    </row>
    <row r="32" spans="1:10" ht="30" x14ac:dyDescent="0.25">
      <c r="A32" s="6" t="s">
        <v>145</v>
      </c>
      <c r="B32" s="2" t="s">
        <v>122</v>
      </c>
      <c r="C32" s="2" t="s">
        <v>7</v>
      </c>
      <c r="F32" s="2" t="str">
        <f>VLOOKUP($A32,[1]!Parts[#All],2,)</f>
        <v>Jaguar XK8 XKR X100 XJ8 XJR X308</v>
      </c>
      <c r="G32" s="3" t="str">
        <f>VLOOKUP($A32,[1]!Parts[#All],3,)</f>
        <v>Automatic Gearbox Rotary Switch</v>
      </c>
      <c r="H32" s="3">
        <f>VLOOKUP($A32,[1]!Parts[#All],5,)</f>
        <v>0</v>
      </c>
      <c r="J32" s="2">
        <f>VLOOKUP($A32,[1]!Parts[#All],4,)</f>
        <v>1</v>
      </c>
    </row>
    <row r="33" spans="1:10" ht="30" x14ac:dyDescent="0.25">
      <c r="A33" s="2" t="s">
        <v>69</v>
      </c>
      <c r="B33" s="2" t="s">
        <v>10</v>
      </c>
      <c r="C33" s="2" t="s">
        <v>26</v>
      </c>
      <c r="D33" s="2" t="s">
        <v>68</v>
      </c>
      <c r="E33" s="2" t="s">
        <v>57</v>
      </c>
      <c r="F33" s="2" t="str">
        <f>VLOOKUP($A33,[1]!Parts[#All],2,)</f>
        <v>Jaguar XK8 XKR X100 XJ8 XJR X308</v>
      </c>
      <c r="G33" s="3" t="str">
        <f>VLOOKUP($A33,[1]!Parts[#All],3,)</f>
        <v>Major Instrument Pack</v>
      </c>
      <c r="H33" s="3" t="str">
        <f>VLOOKUP($A33,[1]!Parts[#All],5,)</f>
        <v>INFORMATION SYSTEMS AND CONTROLS/SPEEDOMETER/TACHOMETER AND GAUGES - Major instrument pack - Except 4.0 Litre supercharged - KPH - From VIN (A11051)</v>
      </c>
      <c r="J33" s="2">
        <f>VLOOKUP($A33,[1]!Parts[#All],4,)</f>
        <v>1</v>
      </c>
    </row>
    <row r="34" spans="1:10" x14ac:dyDescent="0.25">
      <c r="A34" s="2" t="s">
        <v>58</v>
      </c>
      <c r="B34" s="2" t="s">
        <v>10</v>
      </c>
      <c r="C34" s="2" t="s">
        <v>11</v>
      </c>
      <c r="D34" s="2" t="s">
        <v>59</v>
      </c>
      <c r="E34" s="2" t="s">
        <v>57</v>
      </c>
      <c r="F34" s="2" t="str">
        <f>VLOOKUP($A34,[1]!Parts[#All],2,)</f>
        <v>Jaguar XK8 XKR X100 XJ8 XJR X308</v>
      </c>
      <c r="G34" s="3" t="str">
        <f>VLOOKUP($A34,[1]!Parts[#All],3,)</f>
        <v>Throttle Body</v>
      </c>
      <c r="H34" s="3" t="str">
        <f>VLOOKUP($A34,[1]!Parts[#All],5,)</f>
        <v>AIR AND FUEL DELIVERY SYSTEMS/AIR DELIVERY SYSTEM COMPONENTS - AIR DELIVERY SYSTEM COMPONENTS  - Throttle body</v>
      </c>
      <c r="J34" s="2">
        <f>VLOOKUP($A34,[1]!Parts[#All],4,)</f>
        <v>1</v>
      </c>
    </row>
    <row r="35" spans="1:10" ht="30" x14ac:dyDescent="0.25">
      <c r="A35" s="2" t="s">
        <v>93</v>
      </c>
      <c r="B35" s="2" t="s">
        <v>10</v>
      </c>
      <c r="C35" s="2" t="s">
        <v>23</v>
      </c>
      <c r="D35" s="2" t="s">
        <v>94</v>
      </c>
      <c r="E35" s="2" t="s">
        <v>57</v>
      </c>
      <c r="F35" s="2" t="str">
        <f>VLOOKUP($A35,[1]!Parts[#All],2,)</f>
        <v>Jaguar XK8 XKR X100 XJ8 X308</v>
      </c>
      <c r="G35" s="3" t="str">
        <f>VLOOKUP($A35,[1]!Parts[#All],3,)</f>
        <v>Anti Roll Bar Link</v>
      </c>
      <c r="H35" s="3" t="str">
        <f>VLOOKUP($A35,[1]!Parts[#All],5,)</f>
        <v>STEERING AND SUSPENSION/ANTI ROLL BAR - Anti roll bar link</v>
      </c>
      <c r="J35" s="2">
        <f>VLOOKUP($A35,[1]!Parts[#All],4,)</f>
        <v>2</v>
      </c>
    </row>
    <row r="36" spans="1:10" ht="30" x14ac:dyDescent="0.25">
      <c r="A36" s="6" t="s">
        <v>91</v>
      </c>
      <c r="B36" s="2" t="s">
        <v>10</v>
      </c>
      <c r="C36" s="2" t="s">
        <v>31</v>
      </c>
      <c r="D36" s="2" t="s">
        <v>76</v>
      </c>
      <c r="E36" s="2" t="s">
        <v>57</v>
      </c>
      <c r="F36" s="2" t="str">
        <f>VLOOKUP($A36,[1]!Parts[#All],2,)</f>
        <v>Jaguar XK8 XKR X100 XJ8 X308</v>
      </c>
      <c r="G36" s="3" t="str">
        <f>VLOOKUP($A36,[1]!Parts[#All],3,)</f>
        <v>Suspension Bumpstop - Rear</v>
      </c>
      <c r="H36" s="3" t="str">
        <f>VLOOKUP($A36,[1]!Parts[#All],5,)</f>
        <v>STEERING AND SUSPENSION/SUSPENSION WISHBONES AND ARMS-REAR - Suspension bumpstop - Rear</v>
      </c>
      <c r="J36" s="2">
        <f>VLOOKUP($A36,[1]!Parts[#All],4,)</f>
        <v>1</v>
      </c>
    </row>
    <row r="37" spans="1:10" ht="45" x14ac:dyDescent="0.25">
      <c r="A37" s="2" t="s">
        <v>126</v>
      </c>
      <c r="B37" s="2" t="s">
        <v>122</v>
      </c>
      <c r="F37" s="2" t="str">
        <f>VLOOKUP($A37,[1]!Parts[#All],2,)</f>
        <v>Jaguar XK8 XKR X100</v>
      </c>
      <c r="G37" s="3" t="str">
        <f>VLOOKUP($A37,[1]!Parts[#All],3,)</f>
        <v>Gear change knob - walnut without logo wooden</v>
      </c>
      <c r="H37" s="3" t="str">
        <f>VLOOKUP($A37,[1]!Parts[#All],5,)</f>
        <v>TRANSMISSION AND DRIVELINE/CONTROLS AND LINKAGE-AUTOMATIC GEARBOX</v>
      </c>
      <c r="J37" s="2">
        <f>VLOOKUP($A37,[1]!Parts[#All],4,)</f>
        <v>0</v>
      </c>
    </row>
    <row r="38" spans="1:10" ht="45" x14ac:dyDescent="0.25">
      <c r="A38" s="2" t="s">
        <v>139</v>
      </c>
      <c r="C38" s="2" t="s">
        <v>140</v>
      </c>
      <c r="F38" s="2" t="str">
        <f>VLOOKUP($A38,[1]!Parts[#All],2,)</f>
        <v>Jaguar XK8 XKR X100</v>
      </c>
      <c r="G38" s="3" t="str">
        <f>VLOOKUP($A38,[1]!Parts[#All],3,)</f>
        <v>Wheel Hub Vertical Link</v>
      </c>
      <c r="H38" s="3" t="str">
        <f>VLOOKUP($A38,[1]!Parts[#All],5,)</f>
        <v>STEERING AND SUSPENSION/WISHBONE AND HUB ASSEMBLY-FRONT - Vertical Link RH</v>
      </c>
      <c r="J38" s="2">
        <f>VLOOKUP($A38,[1]!Parts[#All],4,)</f>
        <v>2</v>
      </c>
    </row>
    <row r="39" spans="1:10" ht="30" x14ac:dyDescent="0.25">
      <c r="A39" s="6" t="s">
        <v>142</v>
      </c>
      <c r="C39" s="2" t="s">
        <v>140</v>
      </c>
      <c r="F39" s="2" t="str">
        <f>VLOOKUP($A39,[1]!Parts[#All],2,)</f>
        <v>Jaguar XK8 XKR X100</v>
      </c>
      <c r="G39" s="3" t="str">
        <f>VLOOKUP($A39,[1]!Parts[#All],3,)</f>
        <v>Wheel Hub Vertical Link</v>
      </c>
      <c r="H39" s="3" t="str">
        <f>VLOOKUP($A39,[1]!Parts[#All],5,)</f>
        <v>STEERING AND SUSPENSION/WISHBONE AND HUB ASSEMBLY-FRONT - Vertical Link LH</v>
      </c>
      <c r="J39" s="2">
        <f>VLOOKUP($A39,[1]!Parts[#All],4,)</f>
        <v>1</v>
      </c>
    </row>
    <row r="40" spans="1:10" x14ac:dyDescent="0.25">
      <c r="A40" s="6" t="s">
        <v>141</v>
      </c>
      <c r="C40" s="2" t="s">
        <v>82</v>
      </c>
      <c r="F40" s="2" t="str">
        <f>VLOOKUP($A40,[1]!Parts[#All],2,)</f>
        <v>Jaguar XK8 XKR X100 XJ8 XJR X308</v>
      </c>
      <c r="G40" s="3" t="str">
        <f>VLOOKUP($A40,[1]!Parts[#All],3,)</f>
        <v>WHEEL BEARING-FRONT</v>
      </c>
      <c r="H40" s="3">
        <f>VLOOKUP($A40,[1]!Parts[#All],5,)</f>
        <v>0</v>
      </c>
      <c r="J40" s="2">
        <f>VLOOKUP($A40,[1]!Parts[#All],4,)</f>
        <v>2</v>
      </c>
    </row>
    <row r="41" spans="1:10" ht="30" x14ac:dyDescent="0.25">
      <c r="A41" s="6" t="s">
        <v>95</v>
      </c>
      <c r="B41" s="2" t="s">
        <v>10</v>
      </c>
      <c r="C41" s="2" t="s">
        <v>23</v>
      </c>
      <c r="D41" s="2" t="s">
        <v>96</v>
      </c>
      <c r="F41" s="2" t="str">
        <f>VLOOKUP($A41,[1]!Parts[#All],2,)</f>
        <v>Jaguar XK8 X100 XJ8 X308</v>
      </c>
      <c r="G41" s="3" t="str">
        <f>VLOOKUP($A41,[1]!Parts[#All],3,)</f>
        <v>Thermostat housing cap</v>
      </c>
      <c r="H41" s="3" t="str">
        <f>VLOOKUP($A41,[1]!Parts[#All],5,)</f>
        <v>ENGINE COOLING SYSTEM/WATER RAIL AND THERMOSTAT - Thermostat housing cap</v>
      </c>
      <c r="J41" s="2">
        <f>VLOOKUP($A41,[1]!Parts[#All],4,)</f>
        <v>2</v>
      </c>
    </row>
    <row r="42" spans="1:10" ht="30" hidden="1" x14ac:dyDescent="0.25">
      <c r="A42" s="6" t="s">
        <v>109</v>
      </c>
      <c r="C42" s="2" t="s">
        <v>143</v>
      </c>
      <c r="F42" s="2" t="str">
        <f>VLOOKUP($A42,[1]!Parts[#All],2,)</f>
        <v>Jaguar XK8 XKR X100 XJ8 XJR X308</v>
      </c>
      <c r="G42" s="3" t="str">
        <f>VLOOKUP($A42,[1]!Parts[#All],3,)</f>
        <v>Domed wheel nut - Standard Shaft</v>
      </c>
      <c r="H42" s="3" t="str">
        <f>VLOOKUP($A42,[1]!Parts[#All],5,)</f>
        <v>STEERING AND SUSPENSION/WHEELS - Domed wheel nut - Standard Shaft</v>
      </c>
      <c r="J42" s="2">
        <f>VLOOKUP($A42,[1]!Parts[#All],4,)</f>
        <v>6</v>
      </c>
    </row>
    <row r="43" spans="1:10" x14ac:dyDescent="0.25">
      <c r="A43" s="6" t="s">
        <v>112</v>
      </c>
      <c r="B43" s="2" t="s">
        <v>10</v>
      </c>
      <c r="C43" s="2" t="s">
        <v>31</v>
      </c>
      <c r="D43" s="2" t="s">
        <v>114</v>
      </c>
      <c r="E43" s="2" t="s">
        <v>113</v>
      </c>
      <c r="F43" s="2" t="str">
        <f>VLOOKUP($A43,[1]!Parts[#All],2,)</f>
        <v>Jaguar XK8 XKR X100 XJ8 XJR X308</v>
      </c>
      <c r="G43" s="3" t="str">
        <f>VLOOKUP($A43,[1]!Parts[#All],3,)</f>
        <v>Tappet Adjustment Shim</v>
      </c>
      <c r="H43" s="3" t="str">
        <f>VLOOKUP($A43,[1]!Parts[#All],5,)</f>
        <v>ENGINE/CAMSHAFTS AND VALVE GEAR - Tappet Adjustment Shim</v>
      </c>
      <c r="J43" s="2">
        <f>VLOOKUP($A43,[1]!Parts[#All],4,)</f>
        <v>24</v>
      </c>
    </row>
    <row r="44" spans="1:10" ht="30" x14ac:dyDescent="0.25">
      <c r="A44" s="6" t="s">
        <v>102</v>
      </c>
      <c r="B44" s="2" t="s">
        <v>10</v>
      </c>
      <c r="C44" s="2" t="s">
        <v>31</v>
      </c>
      <c r="D44" s="2" t="s">
        <v>101</v>
      </c>
      <c r="E44" s="2" t="s">
        <v>57</v>
      </c>
      <c r="F44" s="2" t="str">
        <f>VLOOKUP($A44,[1]!Parts[#All],2,)</f>
        <v>Jaguar XK8 XKR X100 XJ8 XJR X308</v>
      </c>
      <c r="G44" s="3" t="str">
        <f>VLOOKUP($A44,[1]!Parts[#All],3,)</f>
        <v>Camshaft Mount and Bolts</v>
      </c>
      <c r="H44" s="3" t="str">
        <f>VLOOKUP($A44,[1]!Parts[#All],5,)</f>
        <v>ENGINE/CYLINDER HEAD - Cylinder head - with valves - Hexagonal head flanged bolt M6 x 35mm (and Camshaft Mount)</v>
      </c>
      <c r="J44" s="2">
        <f>VLOOKUP($A44,[1]!Parts[#All],4,)</f>
        <v>10</v>
      </c>
    </row>
    <row r="45" spans="1:10" ht="30" x14ac:dyDescent="0.25">
      <c r="A45" s="6" t="s">
        <v>118</v>
      </c>
      <c r="B45" s="2" t="s">
        <v>10</v>
      </c>
      <c r="C45" s="2" t="s">
        <v>23</v>
      </c>
      <c r="D45" s="2" t="s">
        <v>119</v>
      </c>
      <c r="E45" s="2" t="s">
        <v>120</v>
      </c>
      <c r="F45" s="2" t="str">
        <f>VLOOKUP($A45,[1]!Parts[#All],2,)</f>
        <v>Jaguar XK8 XKR X100</v>
      </c>
      <c r="G45" s="3" t="str">
        <f>VLOOKUP($A45,[1]!Parts[#All],3,)</f>
        <v>Exhaust Bracket bush</v>
      </c>
      <c r="H45" s="3" t="str">
        <f>VLOOKUP($A45,[1]!Parts[#All],5,)</f>
        <v>EXHAUST SYSTEM AND COMPONENTS/EXHAUST SYSTEM - Exhaust mounting rubber - Rear</v>
      </c>
      <c r="J45" s="2">
        <f>VLOOKUP($A45,[1]!Parts[#All],4,)</f>
        <v>1</v>
      </c>
    </row>
    <row r="46" spans="1:10" ht="45" x14ac:dyDescent="0.25">
      <c r="A46" s="2" t="s">
        <v>98</v>
      </c>
      <c r="B46" s="2" t="s">
        <v>10</v>
      </c>
      <c r="C46" s="2" t="s">
        <v>23</v>
      </c>
      <c r="D46" s="2" t="s">
        <v>99</v>
      </c>
      <c r="E46" s="2" t="s">
        <v>57</v>
      </c>
      <c r="F46" s="2" t="str">
        <f>VLOOKUP($A46,[1]!Parts[#All],2,)</f>
        <v>Jaguar XK8 X100 XJ8 X308</v>
      </c>
      <c r="G46" s="3" t="str">
        <f>VLOOKUP($A46,[1]!Parts[#All],3,)</f>
        <v>Engine Cover Mounting Long</v>
      </c>
      <c r="H46" s="3" t="str">
        <f>VLOOKUP($A46,[1]!Parts[#All],5,)</f>
        <v xml:space="preserve">ENGINE/ENGINE Assembly - Engine Cover engine bay cover engine bay fuel pipes rubber
</v>
      </c>
      <c r="J46" s="2">
        <f>VLOOKUP($A46,[1]!Parts[#All],4,)</f>
        <v>2</v>
      </c>
    </row>
    <row r="47" spans="1:10" ht="45" x14ac:dyDescent="0.25">
      <c r="A47" s="6" t="s">
        <v>100</v>
      </c>
      <c r="B47" s="2" t="s">
        <v>10</v>
      </c>
      <c r="C47" s="2" t="s">
        <v>23</v>
      </c>
      <c r="D47" s="2" t="s">
        <v>99</v>
      </c>
      <c r="E47" s="2" t="s">
        <v>57</v>
      </c>
      <c r="F47" s="2" t="str">
        <f>VLOOKUP($A47,[1]!Parts[#All],2,)</f>
        <v>Jaguar XK8 X100 XJ8 X308</v>
      </c>
      <c r="G47" s="3" t="str">
        <f>VLOOKUP($A47,[1]!Parts[#All],3,)</f>
        <v>Engine Cover Mounting Short</v>
      </c>
      <c r="H47" s="3" t="str">
        <f>VLOOKUP($A47,[1]!Parts[#All],5,)</f>
        <v xml:space="preserve">ENGINE/ENGINE Assembly - Engine Cover engine bay rubber
</v>
      </c>
      <c r="J47" s="2">
        <f>VLOOKUP($A47,[1]!Parts[#All],4,)</f>
        <v>1</v>
      </c>
    </row>
    <row r="48" spans="1:10" ht="30" x14ac:dyDescent="0.25">
      <c r="A48" s="6" t="s">
        <v>149</v>
      </c>
      <c r="B48" s="2" t="s">
        <v>10</v>
      </c>
      <c r="C48" s="2" t="s">
        <v>33</v>
      </c>
      <c r="F48" s="2" t="str">
        <f>VLOOKUP($A48,[1]!Parts[#All],2,)</f>
        <v>Jaguar XK8 XKR X100</v>
      </c>
      <c r="G48" s="3" t="str">
        <f>VLOOKUP($A48,[1]!Parts[#All],3,)</f>
        <v>Air Conditioning Evaporator Heater Matrix Core</v>
      </c>
      <c r="H48" s="3" t="str">
        <f>VLOOKUP($A48,[1]!Parts[#All],5,)</f>
        <v>AIR CONDITIONING/HEATING/VENTILATION/EVAPORATOR AND HEATER MATRIX - Heater core and outlet thermistor</v>
      </c>
      <c r="J48" s="2">
        <f>VLOOKUP($A48,[1]!Parts[#All],4,)</f>
        <v>1</v>
      </c>
    </row>
    <row r="49" spans="1:10" x14ac:dyDescent="0.25">
      <c r="A49" s="6" t="s">
        <v>150</v>
      </c>
      <c r="C49" s="2" t="s">
        <v>76</v>
      </c>
      <c r="D49" s="2" t="s">
        <v>128</v>
      </c>
      <c r="F49" s="2" t="str">
        <f>VLOOKUP($A49,[1]!Parts[#All],2,)</f>
        <v>Jaguar XK8 XKR X100</v>
      </c>
      <c r="G49" s="3" t="str">
        <f>VLOOKUP($A49,[1]!Parts[#All],3,)</f>
        <v xml:space="preserve">Rearview Mirror stem cover </v>
      </c>
      <c r="H49" s="3">
        <f>VLOOKUP($A49,[1]!Parts[#All],5,)</f>
        <v>0</v>
      </c>
      <c r="J49" s="2">
        <f>VLOOKUP($A49,[1]!Parts[#All],4,)</f>
        <v>1</v>
      </c>
    </row>
    <row r="50" spans="1:10" x14ac:dyDescent="0.25">
      <c r="A50" s="2" t="s">
        <v>151</v>
      </c>
      <c r="C50" s="2" t="s">
        <v>81</v>
      </c>
      <c r="F50" s="2" t="str">
        <f>VLOOKUP($A50,[1]!Parts[#All],2,)</f>
        <v>Jaguar XK8 XKR X100 XJ8 XJR X308</v>
      </c>
      <c r="G50" s="3" t="str">
        <f>VLOOKUP($A50,[1]!Parts[#All],3,)</f>
        <v>Halfshaft spacer 3,5mm</v>
      </c>
      <c r="H50" s="3" t="str">
        <f>VLOOKUP($A50,[1]!Parts[#All],5,)</f>
        <v>Halfshaft spacer 3,5mm</v>
      </c>
      <c r="J50" s="2">
        <f>VLOOKUP($A50,[1]!Parts[#All],4,)</f>
        <v>2</v>
      </c>
    </row>
    <row r="51" spans="1:10" ht="30" x14ac:dyDescent="0.25">
      <c r="A51" s="6" t="s">
        <v>124</v>
      </c>
      <c r="C51" s="2" t="s">
        <v>125</v>
      </c>
      <c r="D51" s="2" t="s">
        <v>76</v>
      </c>
      <c r="E51" s="2" t="s">
        <v>152</v>
      </c>
      <c r="F51" s="2" t="str">
        <f>VLOOKUP($A51,[1]!Parts[#All],2,)</f>
        <v>Jaguar XK8 XKR X100</v>
      </c>
      <c r="G51" s="3" t="str">
        <f>VLOOKUP($A51,[1]!Parts[#All],3,)</f>
        <v>Switch J-Gate</v>
      </c>
      <c r="H51" s="3" t="str">
        <f>VLOOKUP($A51,[1]!Parts[#All],5,)</f>
        <v>TRANSMISSION AND DRIVELINE/CONTROLS AND LINKAGE-AUTOMATIC GEARBOX</v>
      </c>
      <c r="J51" s="2">
        <f>VLOOKUP($A51,[1]!Parts[#All],4,)</f>
        <v>1</v>
      </c>
    </row>
  </sheetData>
  <phoneticPr fontId="1" type="noConversion"/>
  <dataValidations count="4">
    <dataValidation type="list" allowBlank="1" showInputMessage="1" showErrorMessage="1" sqref="B3:B51" xr:uid="{8E11475E-CCCC-4DC2-92AA-B3F81E396081}">
      <formula1>ShelfsDropDown</formula1>
    </dataValidation>
    <dataValidation type="list" allowBlank="1" showInputMessage="1" showErrorMessage="1" sqref="C3:C51" xr:uid="{19EF618D-C04D-4DA9-B756-D2FEF96ADCAE}">
      <formula1>BoxDropDown</formula1>
    </dataValidation>
    <dataValidation type="list" allowBlank="1" showInputMessage="1" showErrorMessage="1" sqref="E27:E28 D3:D51" xr:uid="{C4883110-8514-4DD4-8E0E-274685BAC117}">
      <formula1>BoxSub1esDD</formula1>
    </dataValidation>
    <dataValidation type="list" allowBlank="1" showInputMessage="1" showErrorMessage="1" sqref="E3:E26" xr:uid="{454E0BEF-10C3-408E-B03D-11B222AB1E65}">
      <formula1>BoxSub2esDD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EA1B-83BF-404F-89C6-26370FC8C64C}">
  <dimension ref="A2:I43"/>
  <sheetViews>
    <sheetView topLeftCell="A2" zoomScaleNormal="100" workbookViewId="0">
      <selection activeCell="E33" sqref="E33"/>
    </sheetView>
  </sheetViews>
  <sheetFormatPr defaultRowHeight="15" x14ac:dyDescent="0.25"/>
  <cols>
    <col min="1" max="1" width="13.42578125" bestFit="1" customWidth="1"/>
    <col min="2" max="2" width="11.140625" customWidth="1"/>
    <col min="5" max="5" width="19.85546875" bestFit="1" customWidth="1"/>
    <col min="6" max="6" width="10.5703125" customWidth="1"/>
    <col min="7" max="7" width="19.85546875" bestFit="1" customWidth="1"/>
  </cols>
  <sheetData>
    <row r="2" spans="1:9" x14ac:dyDescent="0.25">
      <c r="A2" t="s">
        <v>54</v>
      </c>
      <c r="C2" t="s">
        <v>7</v>
      </c>
      <c r="E2" t="s">
        <v>8</v>
      </c>
      <c r="G2" t="s">
        <v>9</v>
      </c>
      <c r="I2" t="s">
        <v>55</v>
      </c>
    </row>
    <row r="3" spans="1:9" x14ac:dyDescent="0.25">
      <c r="A3" t="s">
        <v>122</v>
      </c>
      <c r="C3" t="s">
        <v>57</v>
      </c>
      <c r="E3" s="5" t="s">
        <v>57</v>
      </c>
      <c r="G3" t="s">
        <v>57</v>
      </c>
    </row>
    <row r="4" spans="1:9" x14ac:dyDescent="0.25">
      <c r="A4" t="s">
        <v>45</v>
      </c>
      <c r="C4" t="s">
        <v>11</v>
      </c>
      <c r="E4" s="5" t="s">
        <v>76</v>
      </c>
      <c r="G4" t="s">
        <v>18</v>
      </c>
    </row>
    <row r="5" spans="1:9" x14ac:dyDescent="0.25">
      <c r="A5" t="s">
        <v>46</v>
      </c>
      <c r="C5" t="s">
        <v>20</v>
      </c>
      <c r="E5" s="5" t="s">
        <v>77</v>
      </c>
      <c r="G5" t="s">
        <v>19</v>
      </c>
    </row>
    <row r="6" spans="1:9" x14ac:dyDescent="0.25">
      <c r="A6" t="s">
        <v>47</v>
      </c>
      <c r="C6" t="s">
        <v>21</v>
      </c>
      <c r="E6" s="5" t="s">
        <v>78</v>
      </c>
      <c r="G6" t="s">
        <v>12</v>
      </c>
    </row>
    <row r="7" spans="1:9" x14ac:dyDescent="0.25">
      <c r="A7" t="s">
        <v>48</v>
      </c>
      <c r="C7" t="s">
        <v>22</v>
      </c>
      <c r="E7" s="5" t="s">
        <v>79</v>
      </c>
      <c r="G7" t="s">
        <v>13</v>
      </c>
    </row>
    <row r="8" spans="1:9" x14ac:dyDescent="0.25">
      <c r="A8" t="s">
        <v>51</v>
      </c>
      <c r="C8" t="s">
        <v>23</v>
      </c>
      <c r="E8" s="5" t="s">
        <v>80</v>
      </c>
      <c r="G8" t="s">
        <v>14</v>
      </c>
    </row>
    <row r="9" spans="1:9" x14ac:dyDescent="0.25">
      <c r="A9" t="s">
        <v>52</v>
      </c>
      <c r="C9" t="s">
        <v>24</v>
      </c>
      <c r="E9" s="5" t="s">
        <v>81</v>
      </c>
      <c r="G9" t="s">
        <v>15</v>
      </c>
    </row>
    <row r="10" spans="1:9" x14ac:dyDescent="0.25">
      <c r="A10" t="s">
        <v>10</v>
      </c>
      <c r="C10" t="s">
        <v>25</v>
      </c>
      <c r="E10" s="5" t="s">
        <v>82</v>
      </c>
      <c r="G10" t="s">
        <v>16</v>
      </c>
    </row>
    <row r="11" spans="1:9" x14ac:dyDescent="0.25">
      <c r="A11" t="s">
        <v>49</v>
      </c>
      <c r="C11" t="s">
        <v>26</v>
      </c>
      <c r="E11" s="5" t="s">
        <v>83</v>
      </c>
      <c r="G11" t="s">
        <v>17</v>
      </c>
    </row>
    <row r="12" spans="1:9" x14ac:dyDescent="0.25">
      <c r="A12" t="s">
        <v>50</v>
      </c>
      <c r="C12" t="s">
        <v>27</v>
      </c>
      <c r="E12" s="5" t="s">
        <v>84</v>
      </c>
    </row>
    <row r="13" spans="1:9" x14ac:dyDescent="0.25">
      <c r="A13" t="s">
        <v>66</v>
      </c>
      <c r="C13" t="s">
        <v>28</v>
      </c>
      <c r="E13" s="5" t="s">
        <v>59</v>
      </c>
    </row>
    <row r="14" spans="1:9" x14ac:dyDescent="0.25">
      <c r="A14" t="s">
        <v>57</v>
      </c>
      <c r="C14" t="s">
        <v>29</v>
      </c>
      <c r="E14" s="5" t="s">
        <v>68</v>
      </c>
    </row>
    <row r="15" spans="1:9" x14ac:dyDescent="0.25">
      <c r="C15" t="s">
        <v>30</v>
      </c>
      <c r="E15" s="5" t="s">
        <v>71</v>
      </c>
    </row>
    <row r="16" spans="1:9" x14ac:dyDescent="0.25">
      <c r="C16" t="s">
        <v>31</v>
      </c>
      <c r="E16" s="5" t="s">
        <v>75</v>
      </c>
    </row>
    <row r="17" spans="3:5" x14ac:dyDescent="0.25">
      <c r="C17" t="s">
        <v>32</v>
      </c>
      <c r="E17" s="5" t="s">
        <v>85</v>
      </c>
    </row>
    <row r="18" spans="3:5" x14ac:dyDescent="0.25">
      <c r="C18" t="s">
        <v>33</v>
      </c>
      <c r="E18" s="5" t="s">
        <v>86</v>
      </c>
    </row>
    <row r="19" spans="3:5" x14ac:dyDescent="0.25">
      <c r="C19" t="s">
        <v>34</v>
      </c>
      <c r="E19" s="5" t="s">
        <v>87</v>
      </c>
    </row>
    <row r="20" spans="3:5" x14ac:dyDescent="0.25">
      <c r="C20" t="s">
        <v>35</v>
      </c>
      <c r="E20" s="5" t="s">
        <v>88</v>
      </c>
    </row>
    <row r="21" spans="3:5" x14ac:dyDescent="0.25">
      <c r="C21" t="s">
        <v>36</v>
      </c>
      <c r="E21" s="5" t="s">
        <v>89</v>
      </c>
    </row>
    <row r="22" spans="3:5" x14ac:dyDescent="0.25">
      <c r="C22" t="s">
        <v>37</v>
      </c>
      <c r="E22" s="5" t="s">
        <v>90</v>
      </c>
    </row>
    <row r="23" spans="3:5" x14ac:dyDescent="0.25">
      <c r="C23" t="s">
        <v>38</v>
      </c>
      <c r="E23" s="5" t="s">
        <v>94</v>
      </c>
    </row>
    <row r="24" spans="3:5" x14ac:dyDescent="0.25">
      <c r="C24" t="s">
        <v>39</v>
      </c>
      <c r="E24" s="5" t="s">
        <v>96</v>
      </c>
    </row>
    <row r="25" spans="3:5" x14ac:dyDescent="0.25">
      <c r="C25" t="s">
        <v>40</v>
      </c>
      <c r="E25" s="5" t="s">
        <v>99</v>
      </c>
    </row>
    <row r="26" spans="3:5" x14ac:dyDescent="0.25">
      <c r="C26" t="s">
        <v>41</v>
      </c>
      <c r="E26" s="5" t="s">
        <v>101</v>
      </c>
    </row>
    <row r="27" spans="3:5" x14ac:dyDescent="0.25">
      <c r="C27" t="s">
        <v>42</v>
      </c>
      <c r="E27" s="5" t="s">
        <v>127</v>
      </c>
    </row>
    <row r="28" spans="3:5" x14ac:dyDescent="0.25">
      <c r="C28" t="s">
        <v>43</v>
      </c>
      <c r="E28" s="5" t="s">
        <v>128</v>
      </c>
    </row>
    <row r="29" spans="3:5" x14ac:dyDescent="0.25">
      <c r="C29" t="s">
        <v>44</v>
      </c>
      <c r="E29" s="5" t="s">
        <v>131</v>
      </c>
    </row>
    <row r="30" spans="3:5" x14ac:dyDescent="0.25">
      <c r="C30" t="s">
        <v>53</v>
      </c>
      <c r="E30" s="5" t="s">
        <v>138</v>
      </c>
    </row>
    <row r="31" spans="3:5" x14ac:dyDescent="0.25">
      <c r="C31" t="s">
        <v>135</v>
      </c>
      <c r="E31" s="5" t="s">
        <v>148</v>
      </c>
    </row>
    <row r="32" spans="3:5" x14ac:dyDescent="0.25">
      <c r="C32" t="s">
        <v>125</v>
      </c>
      <c r="E32" s="5" t="s">
        <v>128</v>
      </c>
    </row>
    <row r="33" spans="3:3" x14ac:dyDescent="0.25">
      <c r="C33" s="8" t="s">
        <v>76</v>
      </c>
    </row>
    <row r="34" spans="3:3" x14ac:dyDescent="0.25">
      <c r="C34" s="8" t="s">
        <v>77</v>
      </c>
    </row>
    <row r="35" spans="3:3" x14ac:dyDescent="0.25">
      <c r="C35" s="8" t="s">
        <v>78</v>
      </c>
    </row>
    <row r="36" spans="3:3" x14ac:dyDescent="0.25">
      <c r="C36" s="8" t="s">
        <v>79</v>
      </c>
    </row>
    <row r="37" spans="3:3" x14ac:dyDescent="0.25">
      <c r="C37" s="8" t="s">
        <v>80</v>
      </c>
    </row>
    <row r="38" spans="3:3" x14ac:dyDescent="0.25">
      <c r="C38" s="8" t="s">
        <v>81</v>
      </c>
    </row>
    <row r="39" spans="3:3" x14ac:dyDescent="0.25">
      <c r="C39" s="8" t="s">
        <v>82</v>
      </c>
    </row>
    <row r="40" spans="3:3" x14ac:dyDescent="0.25">
      <c r="C40" t="s">
        <v>134</v>
      </c>
    </row>
    <row r="41" spans="3:3" x14ac:dyDescent="0.25">
      <c r="C41" t="s">
        <v>137</v>
      </c>
    </row>
    <row r="42" spans="3:3" x14ac:dyDescent="0.25">
      <c r="C42" t="s">
        <v>140</v>
      </c>
    </row>
    <row r="43" spans="3:3" x14ac:dyDescent="0.25">
      <c r="C43" t="s">
        <v>143</v>
      </c>
    </row>
  </sheetData>
  <sortState xmlns:xlrd2="http://schemas.microsoft.com/office/spreadsheetml/2017/richdata2" ref="A3:A10">
    <sortCondition ref="A3:A10"/>
  </sortState>
  <phoneticPr fontId="1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70A443-3277-4C2C-BAD8-D78DB97B47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Stock</vt:lpstr>
      <vt:lpstr>StockUnits</vt:lpstr>
      <vt:lpstr>BoxDropDown</vt:lpstr>
      <vt:lpstr>BoxSub1esDD</vt:lpstr>
      <vt:lpstr>BoxSub2esDD</vt:lpstr>
      <vt:lpstr>ShelfsDropDown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Lind</dc:creator>
  <cp:lastModifiedBy>Tomi Lind</cp:lastModifiedBy>
  <dcterms:created xsi:type="dcterms:W3CDTF">2015-06-05T18:17:20Z</dcterms:created>
  <dcterms:modified xsi:type="dcterms:W3CDTF">2026-07-16T11:46:05Z</dcterms:modified>
</cp:coreProperties>
</file>